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hann\Documents\University\"/>
    </mc:Choice>
  </mc:AlternateContent>
  <xr:revisionPtr revIDLastSave="0" documentId="13_ncr:1_{D56137AE-4BC4-473C-9521-D213A95591AF}" xr6:coauthVersionLast="45" xr6:coauthVersionMax="45" xr10:uidLastSave="{00000000-0000-0000-0000-000000000000}"/>
  <bookViews>
    <workbookView xWindow="-110" yWindow="-110" windowWidth="19420" windowHeight="10420" activeTab="4" xr2:uid="{EEBE7E6C-C1DD-460A-B35A-99ED0E320FDA}"/>
  </bookViews>
  <sheets>
    <sheet name="Per Game Stats" sheetId="8" r:id="rId1"/>
    <sheet name="Current Teams" sheetId="6" r:id="rId2"/>
    <sheet name="Rankings" sheetId="4" r:id="rId3"/>
    <sheet name="Lookup Tables" sheetId="7" r:id="rId4"/>
    <sheet name="Results" sheetId="9" r:id="rId5"/>
  </sheets>
  <definedNames>
    <definedName name="_xlnm._FilterDatabase" localSheetId="2" hidden="1">Rankings!$A$1:$Z$243</definedName>
    <definedName name="Abbreviations">'Lookup Tables'!$A$2:$B$32</definedName>
    <definedName name="Ast_Range">Rankings!$L$2:$L$511</definedName>
    <definedName name="Blk_Range">Rankings!$N$2:$N$511</definedName>
    <definedName name="Compare_Range">'Lookup Tables'!$D$2:$F$534</definedName>
    <definedName name="ExternalData_1" localSheetId="1" hidden="1">'Current Teams'!$A$1:$B$491</definedName>
    <definedName name="ExternalData_1" localSheetId="0" hidden="1">'Per Game Stats'!$A$1:$P$625</definedName>
    <definedName name="FG_Range">Rankings!$G$2:$G$511</definedName>
    <definedName name="FT_RANGE">Rankings!$J$2:$J$511</definedName>
    <definedName name="Pts_Range">Rankings!$P$2:$P$511</definedName>
    <definedName name="Reb_Range">Rankings!$K$2:$K$511</definedName>
    <definedName name="Roster_Range">'Current Teams'!$A$1:$B$505</definedName>
    <definedName name="Stl_Range">Rankings!$M$2:$M$511</definedName>
    <definedName name="Three_Range">Rankings!$H$2:$H$511</definedName>
    <definedName name="Tov_Range">Rankings!$O$2:$O$511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3" i="4" l="1"/>
  <c r="R3" i="4"/>
  <c r="S3" i="4"/>
  <c r="T3" i="4"/>
  <c r="U3" i="4"/>
  <c r="Z3" i="4" s="1"/>
  <c r="V3" i="4"/>
  <c r="W3" i="4"/>
  <c r="X3" i="4"/>
  <c r="Y3" i="4"/>
  <c r="Q4" i="4"/>
  <c r="R4" i="4"/>
  <c r="S4" i="4"/>
  <c r="Z4" i="4" s="1"/>
  <c r="T4" i="4"/>
  <c r="U4" i="4"/>
  <c r="V4" i="4"/>
  <c r="W4" i="4"/>
  <c r="X4" i="4"/>
  <c r="Y4" i="4"/>
  <c r="Q5" i="4"/>
  <c r="Z5" i="4" s="1"/>
  <c r="R5" i="4"/>
  <c r="S5" i="4"/>
  <c r="T5" i="4"/>
  <c r="U5" i="4"/>
  <c r="V5" i="4"/>
  <c r="W5" i="4"/>
  <c r="X5" i="4"/>
  <c r="Y5" i="4"/>
  <c r="Q6" i="4"/>
  <c r="Z6" i="4" s="1"/>
  <c r="R6" i="4"/>
  <c r="S6" i="4"/>
  <c r="T6" i="4"/>
  <c r="U6" i="4"/>
  <c r="V6" i="4"/>
  <c r="W6" i="4"/>
  <c r="X6" i="4"/>
  <c r="Y6" i="4"/>
  <c r="Q7" i="4"/>
  <c r="Z7" i="4" s="1"/>
  <c r="R7" i="4"/>
  <c r="S7" i="4"/>
  <c r="T7" i="4"/>
  <c r="U7" i="4"/>
  <c r="V7" i="4"/>
  <c r="W7" i="4"/>
  <c r="X7" i="4"/>
  <c r="Y7" i="4"/>
  <c r="Q8" i="4"/>
  <c r="Z8" i="4" s="1"/>
  <c r="R8" i="4"/>
  <c r="S8" i="4"/>
  <c r="T8" i="4"/>
  <c r="U8" i="4"/>
  <c r="V8" i="4"/>
  <c r="W8" i="4"/>
  <c r="X8" i="4"/>
  <c r="Y8" i="4"/>
  <c r="Q9" i="4"/>
  <c r="Z9" i="4" s="1"/>
  <c r="R9" i="4"/>
  <c r="S9" i="4"/>
  <c r="T9" i="4"/>
  <c r="U9" i="4"/>
  <c r="V9" i="4"/>
  <c r="W9" i="4"/>
  <c r="X9" i="4"/>
  <c r="Y9" i="4"/>
  <c r="Q10" i="4"/>
  <c r="Z10" i="4" s="1"/>
  <c r="R10" i="4"/>
  <c r="S10" i="4"/>
  <c r="T10" i="4"/>
  <c r="U10" i="4"/>
  <c r="V10" i="4"/>
  <c r="W10" i="4"/>
  <c r="X10" i="4"/>
  <c r="Y10" i="4"/>
  <c r="Q11" i="4"/>
  <c r="Z11" i="4" s="1"/>
  <c r="R11" i="4"/>
  <c r="S11" i="4"/>
  <c r="T11" i="4"/>
  <c r="U11" i="4"/>
  <c r="V11" i="4"/>
  <c r="W11" i="4"/>
  <c r="X11" i="4"/>
  <c r="Y11" i="4"/>
  <c r="Q12" i="4"/>
  <c r="Z12" i="4" s="1"/>
  <c r="R12" i="4"/>
  <c r="S12" i="4"/>
  <c r="T12" i="4"/>
  <c r="U12" i="4"/>
  <c r="V12" i="4"/>
  <c r="W12" i="4"/>
  <c r="X12" i="4"/>
  <c r="Y12" i="4"/>
  <c r="Q13" i="4"/>
  <c r="Z13" i="4" s="1"/>
  <c r="R13" i="4"/>
  <c r="S13" i="4"/>
  <c r="T13" i="4"/>
  <c r="U13" i="4"/>
  <c r="V13" i="4"/>
  <c r="W13" i="4"/>
  <c r="X13" i="4"/>
  <c r="Y13" i="4"/>
  <c r="Q14" i="4"/>
  <c r="Z14" i="4" s="1"/>
  <c r="R14" i="4"/>
  <c r="S14" i="4"/>
  <c r="T14" i="4"/>
  <c r="U14" i="4"/>
  <c r="V14" i="4"/>
  <c r="W14" i="4"/>
  <c r="X14" i="4"/>
  <c r="Y14" i="4"/>
  <c r="Q15" i="4"/>
  <c r="Z15" i="4" s="1"/>
  <c r="R15" i="4"/>
  <c r="S15" i="4"/>
  <c r="T15" i="4"/>
  <c r="U15" i="4"/>
  <c r="V15" i="4"/>
  <c r="W15" i="4"/>
  <c r="X15" i="4"/>
  <c r="Y15" i="4"/>
  <c r="Q16" i="4"/>
  <c r="Z16" i="4" s="1"/>
  <c r="R16" i="4"/>
  <c r="S16" i="4"/>
  <c r="T16" i="4"/>
  <c r="U16" i="4"/>
  <c r="V16" i="4"/>
  <c r="W16" i="4"/>
  <c r="X16" i="4"/>
  <c r="Y16" i="4"/>
  <c r="Q17" i="4"/>
  <c r="Z17" i="4" s="1"/>
  <c r="R17" i="4"/>
  <c r="S17" i="4"/>
  <c r="T17" i="4"/>
  <c r="U17" i="4"/>
  <c r="V17" i="4"/>
  <c r="W17" i="4"/>
  <c r="X17" i="4"/>
  <c r="Y17" i="4"/>
  <c r="Q18" i="4"/>
  <c r="Z18" i="4" s="1"/>
  <c r="R18" i="4"/>
  <c r="S18" i="4"/>
  <c r="T18" i="4"/>
  <c r="U18" i="4"/>
  <c r="V18" i="4"/>
  <c r="W18" i="4"/>
  <c r="X18" i="4"/>
  <c r="Y18" i="4"/>
  <c r="Q19" i="4"/>
  <c r="Z19" i="4" s="1"/>
  <c r="R19" i="4"/>
  <c r="S19" i="4"/>
  <c r="T19" i="4"/>
  <c r="U19" i="4"/>
  <c r="V19" i="4"/>
  <c r="W19" i="4"/>
  <c r="X19" i="4"/>
  <c r="Y19" i="4"/>
  <c r="Q20" i="4"/>
  <c r="Z20" i="4" s="1"/>
  <c r="R20" i="4"/>
  <c r="S20" i="4"/>
  <c r="T20" i="4"/>
  <c r="U20" i="4"/>
  <c r="V20" i="4"/>
  <c r="W20" i="4"/>
  <c r="X20" i="4"/>
  <c r="Y20" i="4"/>
  <c r="Q21" i="4"/>
  <c r="Z21" i="4" s="1"/>
  <c r="R21" i="4"/>
  <c r="S21" i="4"/>
  <c r="T21" i="4"/>
  <c r="U21" i="4"/>
  <c r="V21" i="4"/>
  <c r="W21" i="4"/>
  <c r="X21" i="4"/>
  <c r="Y21" i="4"/>
  <c r="Q22" i="4"/>
  <c r="Z22" i="4" s="1"/>
  <c r="R22" i="4"/>
  <c r="S22" i="4"/>
  <c r="T22" i="4"/>
  <c r="U22" i="4"/>
  <c r="V22" i="4"/>
  <c r="W22" i="4"/>
  <c r="X22" i="4"/>
  <c r="Y22" i="4"/>
  <c r="Q23" i="4"/>
  <c r="Z23" i="4" s="1"/>
  <c r="R23" i="4"/>
  <c r="S23" i="4"/>
  <c r="T23" i="4"/>
  <c r="U23" i="4"/>
  <c r="V23" i="4"/>
  <c r="W23" i="4"/>
  <c r="X23" i="4"/>
  <c r="Y23" i="4"/>
  <c r="Q24" i="4"/>
  <c r="Z24" i="4" s="1"/>
  <c r="R24" i="4"/>
  <c r="S24" i="4"/>
  <c r="T24" i="4"/>
  <c r="U24" i="4"/>
  <c r="V24" i="4"/>
  <c r="W24" i="4"/>
  <c r="X24" i="4"/>
  <c r="Y24" i="4"/>
  <c r="Q25" i="4"/>
  <c r="Z25" i="4" s="1"/>
  <c r="R25" i="4"/>
  <c r="S25" i="4"/>
  <c r="T25" i="4"/>
  <c r="U25" i="4"/>
  <c r="V25" i="4"/>
  <c r="W25" i="4"/>
  <c r="X25" i="4"/>
  <c r="Y25" i="4"/>
  <c r="Q26" i="4"/>
  <c r="Z26" i="4" s="1"/>
  <c r="R26" i="4"/>
  <c r="S26" i="4"/>
  <c r="T26" i="4"/>
  <c r="U26" i="4"/>
  <c r="V26" i="4"/>
  <c r="W26" i="4"/>
  <c r="X26" i="4"/>
  <c r="Y26" i="4"/>
  <c r="Q27" i="4"/>
  <c r="Z27" i="4" s="1"/>
  <c r="R27" i="4"/>
  <c r="S27" i="4"/>
  <c r="T27" i="4"/>
  <c r="U27" i="4"/>
  <c r="V27" i="4"/>
  <c r="W27" i="4"/>
  <c r="X27" i="4"/>
  <c r="Y27" i="4"/>
  <c r="Q28" i="4"/>
  <c r="Z28" i="4" s="1"/>
  <c r="R28" i="4"/>
  <c r="S28" i="4"/>
  <c r="T28" i="4"/>
  <c r="U28" i="4"/>
  <c r="V28" i="4"/>
  <c r="W28" i="4"/>
  <c r="X28" i="4"/>
  <c r="Y28" i="4"/>
  <c r="Q29" i="4"/>
  <c r="Z29" i="4" s="1"/>
  <c r="R29" i="4"/>
  <c r="S29" i="4"/>
  <c r="T29" i="4"/>
  <c r="U29" i="4"/>
  <c r="V29" i="4"/>
  <c r="W29" i="4"/>
  <c r="X29" i="4"/>
  <c r="Y29" i="4"/>
  <c r="Q30" i="4"/>
  <c r="Z30" i="4" s="1"/>
  <c r="R30" i="4"/>
  <c r="S30" i="4"/>
  <c r="T30" i="4"/>
  <c r="U30" i="4"/>
  <c r="V30" i="4"/>
  <c r="W30" i="4"/>
  <c r="X30" i="4"/>
  <c r="Y30" i="4"/>
  <c r="Q31" i="4"/>
  <c r="Z31" i="4" s="1"/>
  <c r="R31" i="4"/>
  <c r="S31" i="4"/>
  <c r="T31" i="4"/>
  <c r="U31" i="4"/>
  <c r="V31" i="4"/>
  <c r="W31" i="4"/>
  <c r="X31" i="4"/>
  <c r="Y31" i="4"/>
  <c r="Q32" i="4"/>
  <c r="Z32" i="4" s="1"/>
  <c r="R32" i="4"/>
  <c r="S32" i="4"/>
  <c r="T32" i="4"/>
  <c r="U32" i="4"/>
  <c r="V32" i="4"/>
  <c r="W32" i="4"/>
  <c r="X32" i="4"/>
  <c r="Y32" i="4"/>
  <c r="Q33" i="4"/>
  <c r="Z33" i="4" s="1"/>
  <c r="R33" i="4"/>
  <c r="S33" i="4"/>
  <c r="T33" i="4"/>
  <c r="U33" i="4"/>
  <c r="V33" i="4"/>
  <c r="W33" i="4"/>
  <c r="X33" i="4"/>
  <c r="Y33" i="4"/>
  <c r="Q34" i="4"/>
  <c r="Z34" i="4" s="1"/>
  <c r="R34" i="4"/>
  <c r="S34" i="4"/>
  <c r="T34" i="4"/>
  <c r="U34" i="4"/>
  <c r="V34" i="4"/>
  <c r="W34" i="4"/>
  <c r="X34" i="4"/>
  <c r="Y34" i="4"/>
  <c r="Q35" i="4"/>
  <c r="Z35" i="4" s="1"/>
  <c r="R35" i="4"/>
  <c r="S35" i="4"/>
  <c r="T35" i="4"/>
  <c r="U35" i="4"/>
  <c r="V35" i="4"/>
  <c r="W35" i="4"/>
  <c r="X35" i="4"/>
  <c r="Y35" i="4"/>
  <c r="Q36" i="4"/>
  <c r="Z36" i="4" s="1"/>
  <c r="R36" i="4"/>
  <c r="S36" i="4"/>
  <c r="T36" i="4"/>
  <c r="U36" i="4"/>
  <c r="V36" i="4"/>
  <c r="W36" i="4"/>
  <c r="X36" i="4"/>
  <c r="Y36" i="4"/>
  <c r="Q37" i="4"/>
  <c r="Z37" i="4" s="1"/>
  <c r="R37" i="4"/>
  <c r="S37" i="4"/>
  <c r="T37" i="4"/>
  <c r="U37" i="4"/>
  <c r="V37" i="4"/>
  <c r="W37" i="4"/>
  <c r="X37" i="4"/>
  <c r="Y37" i="4"/>
  <c r="Q38" i="4"/>
  <c r="Z38" i="4" s="1"/>
  <c r="R38" i="4"/>
  <c r="S38" i="4"/>
  <c r="T38" i="4"/>
  <c r="U38" i="4"/>
  <c r="V38" i="4"/>
  <c r="W38" i="4"/>
  <c r="X38" i="4"/>
  <c r="Y38" i="4"/>
  <c r="Q39" i="4"/>
  <c r="Z39" i="4" s="1"/>
  <c r="R39" i="4"/>
  <c r="S39" i="4"/>
  <c r="T39" i="4"/>
  <c r="U39" i="4"/>
  <c r="V39" i="4"/>
  <c r="W39" i="4"/>
  <c r="X39" i="4"/>
  <c r="Y39" i="4"/>
  <c r="Q40" i="4"/>
  <c r="Z40" i="4" s="1"/>
  <c r="R40" i="4"/>
  <c r="S40" i="4"/>
  <c r="T40" i="4"/>
  <c r="U40" i="4"/>
  <c r="V40" i="4"/>
  <c r="W40" i="4"/>
  <c r="X40" i="4"/>
  <c r="Y40" i="4"/>
  <c r="Q41" i="4"/>
  <c r="Z41" i="4" s="1"/>
  <c r="R41" i="4"/>
  <c r="S41" i="4"/>
  <c r="T41" i="4"/>
  <c r="U41" i="4"/>
  <c r="V41" i="4"/>
  <c r="W41" i="4"/>
  <c r="X41" i="4"/>
  <c r="Y41" i="4"/>
  <c r="Q42" i="4"/>
  <c r="Z42" i="4" s="1"/>
  <c r="R42" i="4"/>
  <c r="S42" i="4"/>
  <c r="T42" i="4"/>
  <c r="U42" i="4"/>
  <c r="V42" i="4"/>
  <c r="W42" i="4"/>
  <c r="X42" i="4"/>
  <c r="Y42" i="4"/>
  <c r="Q43" i="4"/>
  <c r="Z43" i="4" s="1"/>
  <c r="R43" i="4"/>
  <c r="S43" i="4"/>
  <c r="T43" i="4"/>
  <c r="U43" i="4"/>
  <c r="V43" i="4"/>
  <c r="W43" i="4"/>
  <c r="X43" i="4"/>
  <c r="Y43" i="4"/>
  <c r="Q44" i="4"/>
  <c r="Z44" i="4" s="1"/>
  <c r="R44" i="4"/>
  <c r="S44" i="4"/>
  <c r="T44" i="4"/>
  <c r="U44" i="4"/>
  <c r="V44" i="4"/>
  <c r="W44" i="4"/>
  <c r="X44" i="4"/>
  <c r="Y44" i="4"/>
  <c r="Q45" i="4"/>
  <c r="Z45" i="4" s="1"/>
  <c r="R45" i="4"/>
  <c r="S45" i="4"/>
  <c r="T45" i="4"/>
  <c r="U45" i="4"/>
  <c r="V45" i="4"/>
  <c r="W45" i="4"/>
  <c r="X45" i="4"/>
  <c r="Y45" i="4"/>
  <c r="Q46" i="4"/>
  <c r="Z46" i="4" s="1"/>
  <c r="R46" i="4"/>
  <c r="S46" i="4"/>
  <c r="T46" i="4"/>
  <c r="U46" i="4"/>
  <c r="V46" i="4"/>
  <c r="W46" i="4"/>
  <c r="X46" i="4"/>
  <c r="Y46" i="4"/>
  <c r="Q47" i="4"/>
  <c r="Z47" i="4" s="1"/>
  <c r="R47" i="4"/>
  <c r="S47" i="4"/>
  <c r="T47" i="4"/>
  <c r="U47" i="4"/>
  <c r="V47" i="4"/>
  <c r="W47" i="4"/>
  <c r="X47" i="4"/>
  <c r="Y47" i="4"/>
  <c r="Q48" i="4"/>
  <c r="Z48" i="4" s="1"/>
  <c r="R48" i="4"/>
  <c r="S48" i="4"/>
  <c r="T48" i="4"/>
  <c r="U48" i="4"/>
  <c r="V48" i="4"/>
  <c r="W48" i="4"/>
  <c r="X48" i="4"/>
  <c r="Y48" i="4"/>
  <c r="Q49" i="4"/>
  <c r="Z49" i="4" s="1"/>
  <c r="R49" i="4"/>
  <c r="S49" i="4"/>
  <c r="T49" i="4"/>
  <c r="U49" i="4"/>
  <c r="V49" i="4"/>
  <c r="W49" i="4"/>
  <c r="X49" i="4"/>
  <c r="Y49" i="4"/>
  <c r="Q50" i="4"/>
  <c r="Z50" i="4" s="1"/>
  <c r="R50" i="4"/>
  <c r="S50" i="4"/>
  <c r="T50" i="4"/>
  <c r="U50" i="4"/>
  <c r="V50" i="4"/>
  <c r="W50" i="4"/>
  <c r="X50" i="4"/>
  <c r="Y50" i="4"/>
  <c r="Q51" i="4"/>
  <c r="Z51" i="4" s="1"/>
  <c r="R51" i="4"/>
  <c r="S51" i="4"/>
  <c r="T51" i="4"/>
  <c r="U51" i="4"/>
  <c r="V51" i="4"/>
  <c r="W51" i="4"/>
  <c r="X51" i="4"/>
  <c r="Y51" i="4"/>
  <c r="Q52" i="4"/>
  <c r="Z52" i="4" s="1"/>
  <c r="R52" i="4"/>
  <c r="S52" i="4"/>
  <c r="T52" i="4"/>
  <c r="U52" i="4"/>
  <c r="V52" i="4"/>
  <c r="W52" i="4"/>
  <c r="X52" i="4"/>
  <c r="Y52" i="4"/>
  <c r="Q53" i="4"/>
  <c r="Z53" i="4" s="1"/>
  <c r="R53" i="4"/>
  <c r="S53" i="4"/>
  <c r="T53" i="4"/>
  <c r="U53" i="4"/>
  <c r="V53" i="4"/>
  <c r="W53" i="4"/>
  <c r="X53" i="4"/>
  <c r="Y53" i="4"/>
  <c r="Q54" i="4"/>
  <c r="Z54" i="4" s="1"/>
  <c r="R54" i="4"/>
  <c r="S54" i="4"/>
  <c r="T54" i="4"/>
  <c r="U54" i="4"/>
  <c r="V54" i="4"/>
  <c r="W54" i="4"/>
  <c r="X54" i="4"/>
  <c r="Y54" i="4"/>
  <c r="Q55" i="4"/>
  <c r="Z55" i="4" s="1"/>
  <c r="R55" i="4"/>
  <c r="S55" i="4"/>
  <c r="T55" i="4"/>
  <c r="U55" i="4"/>
  <c r="V55" i="4"/>
  <c r="W55" i="4"/>
  <c r="X55" i="4"/>
  <c r="Y55" i="4"/>
  <c r="Q56" i="4"/>
  <c r="Z56" i="4" s="1"/>
  <c r="R56" i="4"/>
  <c r="S56" i="4"/>
  <c r="T56" i="4"/>
  <c r="U56" i="4"/>
  <c r="V56" i="4"/>
  <c r="W56" i="4"/>
  <c r="X56" i="4"/>
  <c r="Y56" i="4"/>
  <c r="Q57" i="4"/>
  <c r="Z57" i="4" s="1"/>
  <c r="R57" i="4"/>
  <c r="S57" i="4"/>
  <c r="T57" i="4"/>
  <c r="U57" i="4"/>
  <c r="V57" i="4"/>
  <c r="W57" i="4"/>
  <c r="X57" i="4"/>
  <c r="Y57" i="4"/>
  <c r="Q58" i="4"/>
  <c r="Z58" i="4" s="1"/>
  <c r="R58" i="4"/>
  <c r="S58" i="4"/>
  <c r="T58" i="4"/>
  <c r="U58" i="4"/>
  <c r="V58" i="4"/>
  <c r="W58" i="4"/>
  <c r="X58" i="4"/>
  <c r="Y58" i="4"/>
  <c r="Q59" i="4"/>
  <c r="Z59" i="4" s="1"/>
  <c r="R59" i="4"/>
  <c r="S59" i="4"/>
  <c r="T59" i="4"/>
  <c r="U59" i="4"/>
  <c r="V59" i="4"/>
  <c r="W59" i="4"/>
  <c r="X59" i="4"/>
  <c r="Y59" i="4"/>
  <c r="Q60" i="4"/>
  <c r="Z60" i="4" s="1"/>
  <c r="R60" i="4"/>
  <c r="S60" i="4"/>
  <c r="T60" i="4"/>
  <c r="U60" i="4"/>
  <c r="V60" i="4"/>
  <c r="W60" i="4"/>
  <c r="X60" i="4"/>
  <c r="Y60" i="4"/>
  <c r="Q61" i="4"/>
  <c r="Z61" i="4" s="1"/>
  <c r="R61" i="4"/>
  <c r="S61" i="4"/>
  <c r="T61" i="4"/>
  <c r="U61" i="4"/>
  <c r="V61" i="4"/>
  <c r="W61" i="4"/>
  <c r="X61" i="4"/>
  <c r="Y61" i="4"/>
  <c r="Q62" i="4"/>
  <c r="Z62" i="4" s="1"/>
  <c r="R62" i="4"/>
  <c r="S62" i="4"/>
  <c r="T62" i="4"/>
  <c r="U62" i="4"/>
  <c r="V62" i="4"/>
  <c r="W62" i="4"/>
  <c r="X62" i="4"/>
  <c r="Y62" i="4"/>
  <c r="Q63" i="4"/>
  <c r="Z63" i="4" s="1"/>
  <c r="R63" i="4"/>
  <c r="S63" i="4"/>
  <c r="T63" i="4"/>
  <c r="U63" i="4"/>
  <c r="V63" i="4"/>
  <c r="W63" i="4"/>
  <c r="X63" i="4"/>
  <c r="Y63" i="4"/>
  <c r="Q64" i="4"/>
  <c r="Z64" i="4" s="1"/>
  <c r="R64" i="4"/>
  <c r="S64" i="4"/>
  <c r="T64" i="4"/>
  <c r="U64" i="4"/>
  <c r="V64" i="4"/>
  <c r="W64" i="4"/>
  <c r="X64" i="4"/>
  <c r="Y64" i="4"/>
  <c r="Q65" i="4"/>
  <c r="Z65" i="4" s="1"/>
  <c r="R65" i="4"/>
  <c r="S65" i="4"/>
  <c r="T65" i="4"/>
  <c r="U65" i="4"/>
  <c r="V65" i="4"/>
  <c r="W65" i="4"/>
  <c r="X65" i="4"/>
  <c r="Y65" i="4"/>
  <c r="Q66" i="4"/>
  <c r="Z66" i="4" s="1"/>
  <c r="R66" i="4"/>
  <c r="S66" i="4"/>
  <c r="T66" i="4"/>
  <c r="U66" i="4"/>
  <c r="V66" i="4"/>
  <c r="W66" i="4"/>
  <c r="X66" i="4"/>
  <c r="Y66" i="4"/>
  <c r="Q67" i="4"/>
  <c r="Z67" i="4" s="1"/>
  <c r="R67" i="4"/>
  <c r="S67" i="4"/>
  <c r="T67" i="4"/>
  <c r="U67" i="4"/>
  <c r="V67" i="4"/>
  <c r="W67" i="4"/>
  <c r="X67" i="4"/>
  <c r="Y67" i="4"/>
  <c r="Q68" i="4"/>
  <c r="Z68" i="4" s="1"/>
  <c r="R68" i="4"/>
  <c r="S68" i="4"/>
  <c r="T68" i="4"/>
  <c r="U68" i="4"/>
  <c r="V68" i="4"/>
  <c r="W68" i="4"/>
  <c r="X68" i="4"/>
  <c r="Y68" i="4"/>
  <c r="Q69" i="4"/>
  <c r="Z69" i="4" s="1"/>
  <c r="R69" i="4"/>
  <c r="S69" i="4"/>
  <c r="T69" i="4"/>
  <c r="U69" i="4"/>
  <c r="V69" i="4"/>
  <c r="W69" i="4"/>
  <c r="X69" i="4"/>
  <c r="Y69" i="4"/>
  <c r="Q70" i="4"/>
  <c r="Z70" i="4" s="1"/>
  <c r="R70" i="4"/>
  <c r="S70" i="4"/>
  <c r="T70" i="4"/>
  <c r="U70" i="4"/>
  <c r="V70" i="4"/>
  <c r="W70" i="4"/>
  <c r="X70" i="4"/>
  <c r="Y70" i="4"/>
  <c r="Q71" i="4"/>
  <c r="Z71" i="4" s="1"/>
  <c r="R71" i="4"/>
  <c r="S71" i="4"/>
  <c r="T71" i="4"/>
  <c r="U71" i="4"/>
  <c r="V71" i="4"/>
  <c r="W71" i="4"/>
  <c r="X71" i="4"/>
  <c r="Y71" i="4"/>
  <c r="Q72" i="4"/>
  <c r="Z72" i="4" s="1"/>
  <c r="R72" i="4"/>
  <c r="S72" i="4"/>
  <c r="T72" i="4"/>
  <c r="U72" i="4"/>
  <c r="V72" i="4"/>
  <c r="W72" i="4"/>
  <c r="X72" i="4"/>
  <c r="Y72" i="4"/>
  <c r="Q73" i="4"/>
  <c r="Z73" i="4" s="1"/>
  <c r="R73" i="4"/>
  <c r="S73" i="4"/>
  <c r="T73" i="4"/>
  <c r="U73" i="4"/>
  <c r="V73" i="4"/>
  <c r="W73" i="4"/>
  <c r="X73" i="4"/>
  <c r="Y73" i="4"/>
  <c r="Q74" i="4"/>
  <c r="Z74" i="4" s="1"/>
  <c r="R74" i="4"/>
  <c r="S74" i="4"/>
  <c r="T74" i="4"/>
  <c r="U74" i="4"/>
  <c r="V74" i="4"/>
  <c r="W74" i="4"/>
  <c r="X74" i="4"/>
  <c r="Y74" i="4"/>
  <c r="Q75" i="4"/>
  <c r="Z75" i="4" s="1"/>
  <c r="R75" i="4"/>
  <c r="S75" i="4"/>
  <c r="T75" i="4"/>
  <c r="U75" i="4"/>
  <c r="V75" i="4"/>
  <c r="W75" i="4"/>
  <c r="X75" i="4"/>
  <c r="Y75" i="4"/>
  <c r="Q76" i="4"/>
  <c r="Z76" i="4" s="1"/>
  <c r="R76" i="4"/>
  <c r="S76" i="4"/>
  <c r="T76" i="4"/>
  <c r="U76" i="4"/>
  <c r="V76" i="4"/>
  <c r="W76" i="4"/>
  <c r="X76" i="4"/>
  <c r="Y76" i="4"/>
  <c r="Q77" i="4"/>
  <c r="Z77" i="4" s="1"/>
  <c r="R77" i="4"/>
  <c r="S77" i="4"/>
  <c r="T77" i="4"/>
  <c r="U77" i="4"/>
  <c r="V77" i="4"/>
  <c r="W77" i="4"/>
  <c r="X77" i="4"/>
  <c r="Y77" i="4"/>
  <c r="Q78" i="4"/>
  <c r="Z78" i="4" s="1"/>
  <c r="R78" i="4"/>
  <c r="S78" i="4"/>
  <c r="T78" i="4"/>
  <c r="U78" i="4"/>
  <c r="V78" i="4"/>
  <c r="W78" i="4"/>
  <c r="X78" i="4"/>
  <c r="Y78" i="4"/>
  <c r="Q79" i="4"/>
  <c r="Z79" i="4" s="1"/>
  <c r="R79" i="4"/>
  <c r="S79" i="4"/>
  <c r="T79" i="4"/>
  <c r="U79" i="4"/>
  <c r="V79" i="4"/>
  <c r="W79" i="4"/>
  <c r="X79" i="4"/>
  <c r="Y79" i="4"/>
  <c r="Q80" i="4"/>
  <c r="Z80" i="4" s="1"/>
  <c r="R80" i="4"/>
  <c r="S80" i="4"/>
  <c r="T80" i="4"/>
  <c r="U80" i="4"/>
  <c r="V80" i="4"/>
  <c r="W80" i="4"/>
  <c r="X80" i="4"/>
  <c r="Y80" i="4"/>
  <c r="Q81" i="4"/>
  <c r="Z81" i="4" s="1"/>
  <c r="R81" i="4"/>
  <c r="S81" i="4"/>
  <c r="T81" i="4"/>
  <c r="U81" i="4"/>
  <c r="V81" i="4"/>
  <c r="W81" i="4"/>
  <c r="X81" i="4"/>
  <c r="Y81" i="4"/>
  <c r="Q82" i="4"/>
  <c r="Z82" i="4" s="1"/>
  <c r="R82" i="4"/>
  <c r="S82" i="4"/>
  <c r="T82" i="4"/>
  <c r="U82" i="4"/>
  <c r="V82" i="4"/>
  <c r="W82" i="4"/>
  <c r="X82" i="4"/>
  <c r="Y82" i="4"/>
  <c r="Q83" i="4"/>
  <c r="Z83" i="4" s="1"/>
  <c r="R83" i="4"/>
  <c r="S83" i="4"/>
  <c r="T83" i="4"/>
  <c r="U83" i="4"/>
  <c r="V83" i="4"/>
  <c r="W83" i="4"/>
  <c r="X83" i="4"/>
  <c r="Y83" i="4"/>
  <c r="Q84" i="4"/>
  <c r="Z84" i="4" s="1"/>
  <c r="R84" i="4"/>
  <c r="S84" i="4"/>
  <c r="T84" i="4"/>
  <c r="U84" i="4"/>
  <c r="V84" i="4"/>
  <c r="W84" i="4"/>
  <c r="X84" i="4"/>
  <c r="Y84" i="4"/>
  <c r="Q85" i="4"/>
  <c r="Z85" i="4" s="1"/>
  <c r="R85" i="4"/>
  <c r="S85" i="4"/>
  <c r="T85" i="4"/>
  <c r="U85" i="4"/>
  <c r="V85" i="4"/>
  <c r="W85" i="4"/>
  <c r="X85" i="4"/>
  <c r="Y85" i="4"/>
  <c r="Q86" i="4"/>
  <c r="Z86" i="4" s="1"/>
  <c r="R86" i="4"/>
  <c r="S86" i="4"/>
  <c r="T86" i="4"/>
  <c r="U86" i="4"/>
  <c r="V86" i="4"/>
  <c r="W86" i="4"/>
  <c r="X86" i="4"/>
  <c r="Y86" i="4"/>
  <c r="Q87" i="4"/>
  <c r="Z87" i="4" s="1"/>
  <c r="R87" i="4"/>
  <c r="S87" i="4"/>
  <c r="T87" i="4"/>
  <c r="U87" i="4"/>
  <c r="V87" i="4"/>
  <c r="W87" i="4"/>
  <c r="X87" i="4"/>
  <c r="Y87" i="4"/>
  <c r="Q88" i="4"/>
  <c r="Z88" i="4" s="1"/>
  <c r="R88" i="4"/>
  <c r="S88" i="4"/>
  <c r="T88" i="4"/>
  <c r="U88" i="4"/>
  <c r="V88" i="4"/>
  <c r="W88" i="4"/>
  <c r="X88" i="4"/>
  <c r="Y88" i="4"/>
  <c r="Q89" i="4"/>
  <c r="Z89" i="4" s="1"/>
  <c r="R89" i="4"/>
  <c r="S89" i="4"/>
  <c r="T89" i="4"/>
  <c r="U89" i="4"/>
  <c r="V89" i="4"/>
  <c r="W89" i="4"/>
  <c r="X89" i="4"/>
  <c r="Y89" i="4"/>
  <c r="Q90" i="4"/>
  <c r="Z90" i="4" s="1"/>
  <c r="R90" i="4"/>
  <c r="S90" i="4"/>
  <c r="T90" i="4"/>
  <c r="U90" i="4"/>
  <c r="V90" i="4"/>
  <c r="W90" i="4"/>
  <c r="X90" i="4"/>
  <c r="Y90" i="4"/>
  <c r="Q91" i="4"/>
  <c r="Z91" i="4" s="1"/>
  <c r="R91" i="4"/>
  <c r="S91" i="4"/>
  <c r="T91" i="4"/>
  <c r="U91" i="4"/>
  <c r="V91" i="4"/>
  <c r="W91" i="4"/>
  <c r="X91" i="4"/>
  <c r="Y91" i="4"/>
  <c r="Q92" i="4"/>
  <c r="Z92" i="4" s="1"/>
  <c r="R92" i="4"/>
  <c r="S92" i="4"/>
  <c r="T92" i="4"/>
  <c r="U92" i="4"/>
  <c r="V92" i="4"/>
  <c r="W92" i="4"/>
  <c r="X92" i="4"/>
  <c r="Y92" i="4"/>
  <c r="Q93" i="4"/>
  <c r="Z93" i="4" s="1"/>
  <c r="R93" i="4"/>
  <c r="S93" i="4"/>
  <c r="T93" i="4"/>
  <c r="U93" i="4"/>
  <c r="V93" i="4"/>
  <c r="W93" i="4"/>
  <c r="X93" i="4"/>
  <c r="Y93" i="4"/>
  <c r="Q94" i="4"/>
  <c r="Z94" i="4" s="1"/>
  <c r="R94" i="4"/>
  <c r="S94" i="4"/>
  <c r="T94" i="4"/>
  <c r="U94" i="4"/>
  <c r="V94" i="4"/>
  <c r="W94" i="4"/>
  <c r="X94" i="4"/>
  <c r="Y94" i="4"/>
  <c r="Q95" i="4"/>
  <c r="Z95" i="4" s="1"/>
  <c r="R95" i="4"/>
  <c r="S95" i="4"/>
  <c r="T95" i="4"/>
  <c r="U95" i="4"/>
  <c r="V95" i="4"/>
  <c r="W95" i="4"/>
  <c r="X95" i="4"/>
  <c r="Y95" i="4"/>
  <c r="Q96" i="4"/>
  <c r="Z96" i="4" s="1"/>
  <c r="R96" i="4"/>
  <c r="S96" i="4"/>
  <c r="T96" i="4"/>
  <c r="U96" i="4"/>
  <c r="V96" i="4"/>
  <c r="W96" i="4"/>
  <c r="X96" i="4"/>
  <c r="Y96" i="4"/>
  <c r="Q97" i="4"/>
  <c r="Z97" i="4" s="1"/>
  <c r="R97" i="4"/>
  <c r="S97" i="4"/>
  <c r="T97" i="4"/>
  <c r="U97" i="4"/>
  <c r="V97" i="4"/>
  <c r="W97" i="4"/>
  <c r="X97" i="4"/>
  <c r="Y97" i="4"/>
  <c r="Q98" i="4"/>
  <c r="Z98" i="4" s="1"/>
  <c r="R98" i="4"/>
  <c r="S98" i="4"/>
  <c r="T98" i="4"/>
  <c r="U98" i="4"/>
  <c r="V98" i="4"/>
  <c r="W98" i="4"/>
  <c r="X98" i="4"/>
  <c r="Y98" i="4"/>
  <c r="Q99" i="4"/>
  <c r="Z99" i="4" s="1"/>
  <c r="R99" i="4"/>
  <c r="S99" i="4"/>
  <c r="T99" i="4"/>
  <c r="U99" i="4"/>
  <c r="V99" i="4"/>
  <c r="W99" i="4"/>
  <c r="X99" i="4"/>
  <c r="Y99" i="4"/>
  <c r="Q100" i="4"/>
  <c r="Z100" i="4" s="1"/>
  <c r="R100" i="4"/>
  <c r="S100" i="4"/>
  <c r="T100" i="4"/>
  <c r="U100" i="4"/>
  <c r="V100" i="4"/>
  <c r="W100" i="4"/>
  <c r="X100" i="4"/>
  <c r="Y100" i="4"/>
  <c r="Q101" i="4"/>
  <c r="Z101" i="4" s="1"/>
  <c r="R101" i="4"/>
  <c r="S101" i="4"/>
  <c r="T101" i="4"/>
  <c r="U101" i="4"/>
  <c r="V101" i="4"/>
  <c r="W101" i="4"/>
  <c r="X101" i="4"/>
  <c r="Y101" i="4"/>
  <c r="Q102" i="4"/>
  <c r="Z102" i="4" s="1"/>
  <c r="R102" i="4"/>
  <c r="S102" i="4"/>
  <c r="T102" i="4"/>
  <c r="U102" i="4"/>
  <c r="V102" i="4"/>
  <c r="W102" i="4"/>
  <c r="X102" i="4"/>
  <c r="Y102" i="4"/>
  <c r="Q103" i="4"/>
  <c r="Z103" i="4" s="1"/>
  <c r="R103" i="4"/>
  <c r="S103" i="4"/>
  <c r="T103" i="4"/>
  <c r="U103" i="4"/>
  <c r="V103" i="4"/>
  <c r="W103" i="4"/>
  <c r="X103" i="4"/>
  <c r="Y103" i="4"/>
  <c r="Q104" i="4"/>
  <c r="Z104" i="4" s="1"/>
  <c r="R104" i="4"/>
  <c r="S104" i="4"/>
  <c r="T104" i="4"/>
  <c r="U104" i="4"/>
  <c r="V104" i="4"/>
  <c r="W104" i="4"/>
  <c r="X104" i="4"/>
  <c r="Y104" i="4"/>
  <c r="Q105" i="4"/>
  <c r="Z105" i="4" s="1"/>
  <c r="R105" i="4"/>
  <c r="S105" i="4"/>
  <c r="T105" i="4"/>
  <c r="U105" i="4"/>
  <c r="V105" i="4"/>
  <c r="W105" i="4"/>
  <c r="X105" i="4"/>
  <c r="Y105" i="4"/>
  <c r="Q106" i="4"/>
  <c r="Z106" i="4" s="1"/>
  <c r="R106" i="4"/>
  <c r="S106" i="4"/>
  <c r="T106" i="4"/>
  <c r="U106" i="4"/>
  <c r="V106" i="4"/>
  <c r="W106" i="4"/>
  <c r="X106" i="4"/>
  <c r="Y106" i="4"/>
  <c r="Q107" i="4"/>
  <c r="Z107" i="4" s="1"/>
  <c r="R107" i="4"/>
  <c r="S107" i="4"/>
  <c r="T107" i="4"/>
  <c r="U107" i="4"/>
  <c r="V107" i="4"/>
  <c r="W107" i="4"/>
  <c r="X107" i="4"/>
  <c r="Y107" i="4"/>
  <c r="Q108" i="4"/>
  <c r="Z108" i="4" s="1"/>
  <c r="R108" i="4"/>
  <c r="S108" i="4"/>
  <c r="T108" i="4"/>
  <c r="U108" i="4"/>
  <c r="V108" i="4"/>
  <c r="W108" i="4"/>
  <c r="X108" i="4"/>
  <c r="Y108" i="4"/>
  <c r="Q109" i="4"/>
  <c r="Z109" i="4" s="1"/>
  <c r="R109" i="4"/>
  <c r="S109" i="4"/>
  <c r="T109" i="4"/>
  <c r="U109" i="4"/>
  <c r="V109" i="4"/>
  <c r="W109" i="4"/>
  <c r="X109" i="4"/>
  <c r="Y109" i="4"/>
  <c r="Q110" i="4"/>
  <c r="Z110" i="4" s="1"/>
  <c r="R110" i="4"/>
  <c r="S110" i="4"/>
  <c r="T110" i="4"/>
  <c r="U110" i="4"/>
  <c r="V110" i="4"/>
  <c r="W110" i="4"/>
  <c r="X110" i="4"/>
  <c r="Y110" i="4"/>
  <c r="Q111" i="4"/>
  <c r="Z111" i="4" s="1"/>
  <c r="R111" i="4"/>
  <c r="S111" i="4"/>
  <c r="T111" i="4"/>
  <c r="U111" i="4"/>
  <c r="V111" i="4"/>
  <c r="W111" i="4"/>
  <c r="X111" i="4"/>
  <c r="Y111" i="4"/>
  <c r="Q112" i="4"/>
  <c r="Z112" i="4" s="1"/>
  <c r="R112" i="4"/>
  <c r="S112" i="4"/>
  <c r="T112" i="4"/>
  <c r="U112" i="4"/>
  <c r="V112" i="4"/>
  <c r="W112" i="4"/>
  <c r="X112" i="4"/>
  <c r="Y112" i="4"/>
  <c r="Q113" i="4"/>
  <c r="Z113" i="4" s="1"/>
  <c r="R113" i="4"/>
  <c r="S113" i="4"/>
  <c r="T113" i="4"/>
  <c r="U113" i="4"/>
  <c r="V113" i="4"/>
  <c r="W113" i="4"/>
  <c r="X113" i="4"/>
  <c r="Y113" i="4"/>
  <c r="Q114" i="4"/>
  <c r="Z114" i="4" s="1"/>
  <c r="R114" i="4"/>
  <c r="S114" i="4"/>
  <c r="T114" i="4"/>
  <c r="U114" i="4"/>
  <c r="V114" i="4"/>
  <c r="W114" i="4"/>
  <c r="X114" i="4"/>
  <c r="Y114" i="4"/>
  <c r="Q115" i="4"/>
  <c r="Z115" i="4" s="1"/>
  <c r="R115" i="4"/>
  <c r="S115" i="4"/>
  <c r="T115" i="4"/>
  <c r="U115" i="4"/>
  <c r="V115" i="4"/>
  <c r="W115" i="4"/>
  <c r="X115" i="4"/>
  <c r="Y115" i="4"/>
  <c r="Q116" i="4"/>
  <c r="Z116" i="4" s="1"/>
  <c r="R116" i="4"/>
  <c r="S116" i="4"/>
  <c r="T116" i="4"/>
  <c r="U116" i="4"/>
  <c r="V116" i="4"/>
  <c r="W116" i="4"/>
  <c r="X116" i="4"/>
  <c r="Y116" i="4"/>
  <c r="Q117" i="4"/>
  <c r="R117" i="4"/>
  <c r="S117" i="4"/>
  <c r="T117" i="4"/>
  <c r="U117" i="4"/>
  <c r="V117" i="4"/>
  <c r="W117" i="4"/>
  <c r="X117" i="4"/>
  <c r="Y117" i="4"/>
  <c r="Q118" i="4"/>
  <c r="R118" i="4"/>
  <c r="S118" i="4"/>
  <c r="T118" i="4"/>
  <c r="U118" i="4"/>
  <c r="V118" i="4"/>
  <c r="W118" i="4"/>
  <c r="X118" i="4"/>
  <c r="Y118" i="4"/>
  <c r="Q119" i="4"/>
  <c r="Z119" i="4" s="1"/>
  <c r="R119" i="4"/>
  <c r="S119" i="4"/>
  <c r="T119" i="4"/>
  <c r="U119" i="4"/>
  <c r="V119" i="4"/>
  <c r="W119" i="4"/>
  <c r="X119" i="4"/>
  <c r="Y119" i="4"/>
  <c r="Q120" i="4"/>
  <c r="R120" i="4"/>
  <c r="S120" i="4"/>
  <c r="T120" i="4"/>
  <c r="U120" i="4"/>
  <c r="V120" i="4"/>
  <c r="W120" i="4"/>
  <c r="X120" i="4"/>
  <c r="Y120" i="4"/>
  <c r="Q121" i="4"/>
  <c r="R121" i="4"/>
  <c r="S121" i="4"/>
  <c r="T121" i="4"/>
  <c r="U121" i="4"/>
  <c r="V121" i="4"/>
  <c r="W121" i="4"/>
  <c r="X121" i="4"/>
  <c r="Y121" i="4"/>
  <c r="Q122" i="4"/>
  <c r="R122" i="4"/>
  <c r="S122" i="4"/>
  <c r="T122" i="4"/>
  <c r="U122" i="4"/>
  <c r="V122" i="4"/>
  <c r="W122" i="4"/>
  <c r="X122" i="4"/>
  <c r="Y122" i="4"/>
  <c r="Q123" i="4"/>
  <c r="Z123" i="4" s="1"/>
  <c r="R123" i="4"/>
  <c r="S123" i="4"/>
  <c r="T123" i="4"/>
  <c r="U123" i="4"/>
  <c r="V123" i="4"/>
  <c r="W123" i="4"/>
  <c r="X123" i="4"/>
  <c r="Y123" i="4"/>
  <c r="Q124" i="4"/>
  <c r="R124" i="4"/>
  <c r="S124" i="4"/>
  <c r="T124" i="4"/>
  <c r="U124" i="4"/>
  <c r="V124" i="4"/>
  <c r="W124" i="4"/>
  <c r="X124" i="4"/>
  <c r="Y124" i="4"/>
  <c r="Q125" i="4"/>
  <c r="R125" i="4"/>
  <c r="S125" i="4"/>
  <c r="T125" i="4"/>
  <c r="U125" i="4"/>
  <c r="V125" i="4"/>
  <c r="W125" i="4"/>
  <c r="X125" i="4"/>
  <c r="Y125" i="4"/>
  <c r="Q126" i="4"/>
  <c r="R126" i="4"/>
  <c r="S126" i="4"/>
  <c r="T126" i="4"/>
  <c r="U126" i="4"/>
  <c r="V126" i="4"/>
  <c r="W126" i="4"/>
  <c r="X126" i="4"/>
  <c r="Y126" i="4"/>
  <c r="Q127" i="4"/>
  <c r="R127" i="4"/>
  <c r="S127" i="4"/>
  <c r="T127" i="4"/>
  <c r="U127" i="4"/>
  <c r="V127" i="4"/>
  <c r="W127" i="4"/>
  <c r="X127" i="4"/>
  <c r="Y127" i="4"/>
  <c r="Q128" i="4"/>
  <c r="R128" i="4"/>
  <c r="S128" i="4"/>
  <c r="T128" i="4"/>
  <c r="U128" i="4"/>
  <c r="V128" i="4"/>
  <c r="W128" i="4"/>
  <c r="X128" i="4"/>
  <c r="Y128" i="4"/>
  <c r="Q129" i="4"/>
  <c r="R129" i="4"/>
  <c r="S129" i="4"/>
  <c r="T129" i="4"/>
  <c r="U129" i="4"/>
  <c r="V129" i="4"/>
  <c r="W129" i="4"/>
  <c r="X129" i="4"/>
  <c r="Y129" i="4"/>
  <c r="Q130" i="4"/>
  <c r="R130" i="4"/>
  <c r="S130" i="4"/>
  <c r="T130" i="4"/>
  <c r="U130" i="4"/>
  <c r="V130" i="4"/>
  <c r="W130" i="4"/>
  <c r="X130" i="4"/>
  <c r="Y130" i="4"/>
  <c r="Q131" i="4"/>
  <c r="R131" i="4"/>
  <c r="S131" i="4"/>
  <c r="T131" i="4"/>
  <c r="U131" i="4"/>
  <c r="V131" i="4"/>
  <c r="W131" i="4"/>
  <c r="X131" i="4"/>
  <c r="Y131" i="4"/>
  <c r="Q132" i="4"/>
  <c r="R132" i="4"/>
  <c r="S132" i="4"/>
  <c r="T132" i="4"/>
  <c r="U132" i="4"/>
  <c r="V132" i="4"/>
  <c r="W132" i="4"/>
  <c r="X132" i="4"/>
  <c r="Y132" i="4"/>
  <c r="Q133" i="4"/>
  <c r="R133" i="4"/>
  <c r="S133" i="4"/>
  <c r="T133" i="4"/>
  <c r="U133" i="4"/>
  <c r="V133" i="4"/>
  <c r="W133" i="4"/>
  <c r="X133" i="4"/>
  <c r="Y133" i="4"/>
  <c r="Q134" i="4"/>
  <c r="R134" i="4"/>
  <c r="S134" i="4"/>
  <c r="T134" i="4"/>
  <c r="U134" i="4"/>
  <c r="V134" i="4"/>
  <c r="W134" i="4"/>
  <c r="X134" i="4"/>
  <c r="Y134" i="4"/>
  <c r="Q135" i="4"/>
  <c r="R135" i="4"/>
  <c r="S135" i="4"/>
  <c r="T135" i="4"/>
  <c r="U135" i="4"/>
  <c r="V135" i="4"/>
  <c r="W135" i="4"/>
  <c r="X135" i="4"/>
  <c r="Y135" i="4"/>
  <c r="Q136" i="4"/>
  <c r="R136" i="4"/>
  <c r="S136" i="4"/>
  <c r="T136" i="4"/>
  <c r="U136" i="4"/>
  <c r="V136" i="4"/>
  <c r="W136" i="4"/>
  <c r="X136" i="4"/>
  <c r="Y136" i="4"/>
  <c r="Q137" i="4"/>
  <c r="R137" i="4"/>
  <c r="S137" i="4"/>
  <c r="T137" i="4"/>
  <c r="U137" i="4"/>
  <c r="V137" i="4"/>
  <c r="W137" i="4"/>
  <c r="X137" i="4"/>
  <c r="Y137" i="4"/>
  <c r="Q138" i="4"/>
  <c r="R138" i="4"/>
  <c r="S138" i="4"/>
  <c r="T138" i="4"/>
  <c r="U138" i="4"/>
  <c r="V138" i="4"/>
  <c r="W138" i="4"/>
  <c r="X138" i="4"/>
  <c r="Y138" i="4"/>
  <c r="Q139" i="4"/>
  <c r="R139" i="4"/>
  <c r="S139" i="4"/>
  <c r="T139" i="4"/>
  <c r="U139" i="4"/>
  <c r="V139" i="4"/>
  <c r="W139" i="4"/>
  <c r="X139" i="4"/>
  <c r="Y139" i="4"/>
  <c r="Q140" i="4"/>
  <c r="R140" i="4"/>
  <c r="S140" i="4"/>
  <c r="T140" i="4"/>
  <c r="U140" i="4"/>
  <c r="V140" i="4"/>
  <c r="W140" i="4"/>
  <c r="X140" i="4"/>
  <c r="Y140" i="4"/>
  <c r="Q141" i="4"/>
  <c r="R141" i="4"/>
  <c r="S141" i="4"/>
  <c r="T141" i="4"/>
  <c r="U141" i="4"/>
  <c r="V141" i="4"/>
  <c r="W141" i="4"/>
  <c r="X141" i="4"/>
  <c r="Y141" i="4"/>
  <c r="Q142" i="4"/>
  <c r="R142" i="4"/>
  <c r="S142" i="4"/>
  <c r="T142" i="4"/>
  <c r="U142" i="4"/>
  <c r="V142" i="4"/>
  <c r="W142" i="4"/>
  <c r="X142" i="4"/>
  <c r="Y142" i="4"/>
  <c r="Q143" i="4"/>
  <c r="R143" i="4"/>
  <c r="S143" i="4"/>
  <c r="T143" i="4"/>
  <c r="U143" i="4"/>
  <c r="V143" i="4"/>
  <c r="W143" i="4"/>
  <c r="X143" i="4"/>
  <c r="Y143" i="4"/>
  <c r="Q144" i="4"/>
  <c r="R144" i="4"/>
  <c r="S144" i="4"/>
  <c r="T144" i="4"/>
  <c r="U144" i="4"/>
  <c r="V144" i="4"/>
  <c r="W144" i="4"/>
  <c r="X144" i="4"/>
  <c r="Y144" i="4"/>
  <c r="Q145" i="4"/>
  <c r="R145" i="4"/>
  <c r="S145" i="4"/>
  <c r="T145" i="4"/>
  <c r="U145" i="4"/>
  <c r="V145" i="4"/>
  <c r="W145" i="4"/>
  <c r="X145" i="4"/>
  <c r="Y145" i="4"/>
  <c r="Q146" i="4"/>
  <c r="R146" i="4"/>
  <c r="S146" i="4"/>
  <c r="T146" i="4"/>
  <c r="U146" i="4"/>
  <c r="V146" i="4"/>
  <c r="W146" i="4"/>
  <c r="X146" i="4"/>
  <c r="Y146" i="4"/>
  <c r="Q147" i="4"/>
  <c r="R147" i="4"/>
  <c r="S147" i="4"/>
  <c r="T147" i="4"/>
  <c r="U147" i="4"/>
  <c r="V147" i="4"/>
  <c r="W147" i="4"/>
  <c r="X147" i="4"/>
  <c r="Y147" i="4"/>
  <c r="Q148" i="4"/>
  <c r="R148" i="4"/>
  <c r="S148" i="4"/>
  <c r="T148" i="4"/>
  <c r="U148" i="4"/>
  <c r="V148" i="4"/>
  <c r="W148" i="4"/>
  <c r="X148" i="4"/>
  <c r="Y148" i="4"/>
  <c r="Q149" i="4"/>
  <c r="R149" i="4"/>
  <c r="S149" i="4"/>
  <c r="T149" i="4"/>
  <c r="U149" i="4"/>
  <c r="V149" i="4"/>
  <c r="W149" i="4"/>
  <c r="X149" i="4"/>
  <c r="Y149" i="4"/>
  <c r="Q150" i="4"/>
  <c r="R150" i="4"/>
  <c r="S150" i="4"/>
  <c r="T150" i="4"/>
  <c r="U150" i="4"/>
  <c r="V150" i="4"/>
  <c r="W150" i="4"/>
  <c r="X150" i="4"/>
  <c r="Y150" i="4"/>
  <c r="Q151" i="4"/>
  <c r="R151" i="4"/>
  <c r="S151" i="4"/>
  <c r="T151" i="4"/>
  <c r="U151" i="4"/>
  <c r="V151" i="4"/>
  <c r="W151" i="4"/>
  <c r="X151" i="4"/>
  <c r="Y151" i="4"/>
  <c r="Q152" i="4"/>
  <c r="R152" i="4"/>
  <c r="S152" i="4"/>
  <c r="T152" i="4"/>
  <c r="U152" i="4"/>
  <c r="V152" i="4"/>
  <c r="W152" i="4"/>
  <c r="X152" i="4"/>
  <c r="Y152" i="4"/>
  <c r="Q153" i="4"/>
  <c r="R153" i="4"/>
  <c r="S153" i="4"/>
  <c r="T153" i="4"/>
  <c r="U153" i="4"/>
  <c r="V153" i="4"/>
  <c r="W153" i="4"/>
  <c r="X153" i="4"/>
  <c r="Y153" i="4"/>
  <c r="Q154" i="4"/>
  <c r="R154" i="4"/>
  <c r="S154" i="4"/>
  <c r="T154" i="4"/>
  <c r="U154" i="4"/>
  <c r="V154" i="4"/>
  <c r="W154" i="4"/>
  <c r="X154" i="4"/>
  <c r="Y154" i="4"/>
  <c r="Q155" i="4"/>
  <c r="R155" i="4"/>
  <c r="S155" i="4"/>
  <c r="T155" i="4"/>
  <c r="U155" i="4"/>
  <c r="V155" i="4"/>
  <c r="W155" i="4"/>
  <c r="X155" i="4"/>
  <c r="Y155" i="4"/>
  <c r="Q156" i="4"/>
  <c r="R156" i="4"/>
  <c r="S156" i="4"/>
  <c r="T156" i="4"/>
  <c r="U156" i="4"/>
  <c r="V156" i="4"/>
  <c r="W156" i="4"/>
  <c r="X156" i="4"/>
  <c r="Y156" i="4"/>
  <c r="Q157" i="4"/>
  <c r="R157" i="4"/>
  <c r="S157" i="4"/>
  <c r="T157" i="4"/>
  <c r="U157" i="4"/>
  <c r="V157" i="4"/>
  <c r="W157" i="4"/>
  <c r="X157" i="4"/>
  <c r="Y157" i="4"/>
  <c r="Q158" i="4"/>
  <c r="R158" i="4"/>
  <c r="S158" i="4"/>
  <c r="T158" i="4"/>
  <c r="U158" i="4"/>
  <c r="V158" i="4"/>
  <c r="W158" i="4"/>
  <c r="X158" i="4"/>
  <c r="Y158" i="4"/>
  <c r="Q159" i="4"/>
  <c r="R159" i="4"/>
  <c r="S159" i="4"/>
  <c r="T159" i="4"/>
  <c r="U159" i="4"/>
  <c r="V159" i="4"/>
  <c r="W159" i="4"/>
  <c r="X159" i="4"/>
  <c r="Y159" i="4"/>
  <c r="Q160" i="4"/>
  <c r="R160" i="4"/>
  <c r="S160" i="4"/>
  <c r="T160" i="4"/>
  <c r="U160" i="4"/>
  <c r="V160" i="4"/>
  <c r="W160" i="4"/>
  <c r="X160" i="4"/>
  <c r="Y160" i="4"/>
  <c r="Q161" i="4"/>
  <c r="R161" i="4"/>
  <c r="S161" i="4"/>
  <c r="T161" i="4"/>
  <c r="U161" i="4"/>
  <c r="V161" i="4"/>
  <c r="W161" i="4"/>
  <c r="X161" i="4"/>
  <c r="Y161" i="4"/>
  <c r="Q162" i="4"/>
  <c r="R162" i="4"/>
  <c r="S162" i="4"/>
  <c r="T162" i="4"/>
  <c r="U162" i="4"/>
  <c r="V162" i="4"/>
  <c r="W162" i="4"/>
  <c r="X162" i="4"/>
  <c r="Y162" i="4"/>
  <c r="Q163" i="4"/>
  <c r="R163" i="4"/>
  <c r="S163" i="4"/>
  <c r="T163" i="4"/>
  <c r="U163" i="4"/>
  <c r="V163" i="4"/>
  <c r="W163" i="4"/>
  <c r="X163" i="4"/>
  <c r="Y163" i="4"/>
  <c r="Q164" i="4"/>
  <c r="R164" i="4"/>
  <c r="S164" i="4"/>
  <c r="T164" i="4"/>
  <c r="U164" i="4"/>
  <c r="V164" i="4"/>
  <c r="W164" i="4"/>
  <c r="X164" i="4"/>
  <c r="Y164" i="4"/>
  <c r="Q165" i="4"/>
  <c r="R165" i="4"/>
  <c r="S165" i="4"/>
  <c r="T165" i="4"/>
  <c r="U165" i="4"/>
  <c r="V165" i="4"/>
  <c r="W165" i="4"/>
  <c r="X165" i="4"/>
  <c r="Y165" i="4"/>
  <c r="Q166" i="4"/>
  <c r="R166" i="4"/>
  <c r="S166" i="4"/>
  <c r="T166" i="4"/>
  <c r="U166" i="4"/>
  <c r="V166" i="4"/>
  <c r="W166" i="4"/>
  <c r="X166" i="4"/>
  <c r="Y166" i="4"/>
  <c r="Q167" i="4"/>
  <c r="R167" i="4"/>
  <c r="S167" i="4"/>
  <c r="T167" i="4"/>
  <c r="U167" i="4"/>
  <c r="V167" i="4"/>
  <c r="W167" i="4"/>
  <c r="X167" i="4"/>
  <c r="Y167" i="4"/>
  <c r="Q168" i="4"/>
  <c r="R168" i="4"/>
  <c r="S168" i="4"/>
  <c r="T168" i="4"/>
  <c r="U168" i="4"/>
  <c r="V168" i="4"/>
  <c r="W168" i="4"/>
  <c r="X168" i="4"/>
  <c r="Y168" i="4"/>
  <c r="Q169" i="4"/>
  <c r="R169" i="4"/>
  <c r="S169" i="4"/>
  <c r="T169" i="4"/>
  <c r="U169" i="4"/>
  <c r="V169" i="4"/>
  <c r="W169" i="4"/>
  <c r="X169" i="4"/>
  <c r="Y169" i="4"/>
  <c r="Q170" i="4"/>
  <c r="Z170" i="4" s="1"/>
  <c r="R170" i="4"/>
  <c r="S170" i="4"/>
  <c r="T170" i="4"/>
  <c r="U170" i="4"/>
  <c r="V170" i="4"/>
  <c r="W170" i="4"/>
  <c r="X170" i="4"/>
  <c r="Y170" i="4"/>
  <c r="Q171" i="4"/>
  <c r="R171" i="4"/>
  <c r="S171" i="4"/>
  <c r="T171" i="4"/>
  <c r="U171" i="4"/>
  <c r="V171" i="4"/>
  <c r="W171" i="4"/>
  <c r="X171" i="4"/>
  <c r="Y171" i="4"/>
  <c r="Q172" i="4"/>
  <c r="R172" i="4"/>
  <c r="S172" i="4"/>
  <c r="T172" i="4"/>
  <c r="U172" i="4"/>
  <c r="V172" i="4"/>
  <c r="W172" i="4"/>
  <c r="X172" i="4"/>
  <c r="Y172" i="4"/>
  <c r="Z172" i="4"/>
  <c r="Q173" i="4"/>
  <c r="Z173" i="4" s="1"/>
  <c r="R173" i="4"/>
  <c r="S173" i="4"/>
  <c r="T173" i="4"/>
  <c r="U173" i="4"/>
  <c r="V173" i="4"/>
  <c r="W173" i="4"/>
  <c r="X173" i="4"/>
  <c r="Y173" i="4"/>
  <c r="Q174" i="4"/>
  <c r="R174" i="4"/>
  <c r="S174" i="4"/>
  <c r="T174" i="4"/>
  <c r="U174" i="4"/>
  <c r="V174" i="4"/>
  <c r="W174" i="4"/>
  <c r="X174" i="4"/>
  <c r="Y174" i="4"/>
  <c r="Z174" i="4"/>
  <c r="Q175" i="4"/>
  <c r="Z175" i="4" s="1"/>
  <c r="R175" i="4"/>
  <c r="S175" i="4"/>
  <c r="T175" i="4"/>
  <c r="U175" i="4"/>
  <c r="V175" i="4"/>
  <c r="W175" i="4"/>
  <c r="X175" i="4"/>
  <c r="Y175" i="4"/>
  <c r="Q176" i="4"/>
  <c r="R176" i="4"/>
  <c r="S176" i="4"/>
  <c r="T176" i="4"/>
  <c r="U176" i="4"/>
  <c r="V176" i="4"/>
  <c r="W176" i="4"/>
  <c r="X176" i="4"/>
  <c r="Y176" i="4"/>
  <c r="Z176" i="4"/>
  <c r="Q177" i="4"/>
  <c r="Z177" i="4" s="1"/>
  <c r="R177" i="4"/>
  <c r="S177" i="4"/>
  <c r="T177" i="4"/>
  <c r="U177" i="4"/>
  <c r="V177" i="4"/>
  <c r="W177" i="4"/>
  <c r="X177" i="4"/>
  <c r="Y177" i="4"/>
  <c r="Q178" i="4"/>
  <c r="R178" i="4"/>
  <c r="S178" i="4"/>
  <c r="T178" i="4"/>
  <c r="U178" i="4"/>
  <c r="V178" i="4"/>
  <c r="W178" i="4"/>
  <c r="X178" i="4"/>
  <c r="Y178" i="4"/>
  <c r="Z178" i="4"/>
  <c r="Q179" i="4"/>
  <c r="Z179" i="4" s="1"/>
  <c r="R179" i="4"/>
  <c r="S179" i="4"/>
  <c r="T179" i="4"/>
  <c r="U179" i="4"/>
  <c r="V179" i="4"/>
  <c r="W179" i="4"/>
  <c r="X179" i="4"/>
  <c r="Y179" i="4"/>
  <c r="Q180" i="4"/>
  <c r="R180" i="4"/>
  <c r="S180" i="4"/>
  <c r="T180" i="4"/>
  <c r="U180" i="4"/>
  <c r="V180" i="4"/>
  <c r="W180" i="4"/>
  <c r="X180" i="4"/>
  <c r="Y180" i="4"/>
  <c r="Z180" i="4"/>
  <c r="Q181" i="4"/>
  <c r="Z181" i="4" s="1"/>
  <c r="R181" i="4"/>
  <c r="S181" i="4"/>
  <c r="T181" i="4"/>
  <c r="U181" i="4"/>
  <c r="V181" i="4"/>
  <c r="W181" i="4"/>
  <c r="X181" i="4"/>
  <c r="Y181" i="4"/>
  <c r="Q182" i="4"/>
  <c r="R182" i="4"/>
  <c r="S182" i="4"/>
  <c r="T182" i="4"/>
  <c r="U182" i="4"/>
  <c r="V182" i="4"/>
  <c r="W182" i="4"/>
  <c r="X182" i="4"/>
  <c r="Y182" i="4"/>
  <c r="Z182" i="4"/>
  <c r="Q183" i="4"/>
  <c r="Z183" i="4" s="1"/>
  <c r="R183" i="4"/>
  <c r="S183" i="4"/>
  <c r="T183" i="4"/>
  <c r="U183" i="4"/>
  <c r="V183" i="4"/>
  <c r="W183" i="4"/>
  <c r="X183" i="4"/>
  <c r="Y183" i="4"/>
  <c r="Q184" i="4"/>
  <c r="R184" i="4"/>
  <c r="S184" i="4"/>
  <c r="T184" i="4"/>
  <c r="U184" i="4"/>
  <c r="V184" i="4"/>
  <c r="W184" i="4"/>
  <c r="X184" i="4"/>
  <c r="Y184" i="4"/>
  <c r="Z184" i="4"/>
  <c r="Q185" i="4"/>
  <c r="Z185" i="4" s="1"/>
  <c r="R185" i="4"/>
  <c r="S185" i="4"/>
  <c r="T185" i="4"/>
  <c r="U185" i="4"/>
  <c r="V185" i="4"/>
  <c r="W185" i="4"/>
  <c r="X185" i="4"/>
  <c r="Y185" i="4"/>
  <c r="Q186" i="4"/>
  <c r="R186" i="4"/>
  <c r="S186" i="4"/>
  <c r="T186" i="4"/>
  <c r="U186" i="4"/>
  <c r="V186" i="4"/>
  <c r="W186" i="4"/>
  <c r="X186" i="4"/>
  <c r="Y186" i="4"/>
  <c r="Z186" i="4"/>
  <c r="Q187" i="4"/>
  <c r="Z187" i="4" s="1"/>
  <c r="R187" i="4"/>
  <c r="S187" i="4"/>
  <c r="T187" i="4"/>
  <c r="U187" i="4"/>
  <c r="V187" i="4"/>
  <c r="W187" i="4"/>
  <c r="X187" i="4"/>
  <c r="Y187" i="4"/>
  <c r="Q188" i="4"/>
  <c r="R188" i="4"/>
  <c r="S188" i="4"/>
  <c r="T188" i="4"/>
  <c r="U188" i="4"/>
  <c r="V188" i="4"/>
  <c r="W188" i="4"/>
  <c r="X188" i="4"/>
  <c r="Y188" i="4"/>
  <c r="Z188" i="4"/>
  <c r="Q189" i="4"/>
  <c r="Z189" i="4" s="1"/>
  <c r="R189" i="4"/>
  <c r="S189" i="4"/>
  <c r="T189" i="4"/>
  <c r="U189" i="4"/>
  <c r="V189" i="4"/>
  <c r="W189" i="4"/>
  <c r="X189" i="4"/>
  <c r="Y189" i="4"/>
  <c r="Q190" i="4"/>
  <c r="R190" i="4"/>
  <c r="S190" i="4"/>
  <c r="T190" i="4"/>
  <c r="U190" i="4"/>
  <c r="V190" i="4"/>
  <c r="W190" i="4"/>
  <c r="X190" i="4"/>
  <c r="Y190" i="4"/>
  <c r="Z190" i="4"/>
  <c r="Q191" i="4"/>
  <c r="Z191" i="4" s="1"/>
  <c r="R191" i="4"/>
  <c r="S191" i="4"/>
  <c r="T191" i="4"/>
  <c r="U191" i="4"/>
  <c r="V191" i="4"/>
  <c r="W191" i="4"/>
  <c r="X191" i="4"/>
  <c r="Y191" i="4"/>
  <c r="Q192" i="4"/>
  <c r="R192" i="4"/>
  <c r="S192" i="4"/>
  <c r="T192" i="4"/>
  <c r="U192" i="4"/>
  <c r="V192" i="4"/>
  <c r="W192" i="4"/>
  <c r="X192" i="4"/>
  <c r="Y192" i="4"/>
  <c r="Z192" i="4"/>
  <c r="Q193" i="4"/>
  <c r="Z193" i="4" s="1"/>
  <c r="R193" i="4"/>
  <c r="S193" i="4"/>
  <c r="T193" i="4"/>
  <c r="U193" i="4"/>
  <c r="V193" i="4"/>
  <c r="W193" i="4"/>
  <c r="X193" i="4"/>
  <c r="Y193" i="4"/>
  <c r="Q194" i="4"/>
  <c r="R194" i="4"/>
  <c r="S194" i="4"/>
  <c r="T194" i="4"/>
  <c r="U194" i="4"/>
  <c r="V194" i="4"/>
  <c r="W194" i="4"/>
  <c r="X194" i="4"/>
  <c r="Y194" i="4"/>
  <c r="Z194" i="4"/>
  <c r="Q195" i="4"/>
  <c r="Z195" i="4" s="1"/>
  <c r="R195" i="4"/>
  <c r="S195" i="4"/>
  <c r="T195" i="4"/>
  <c r="U195" i="4"/>
  <c r="V195" i="4"/>
  <c r="W195" i="4"/>
  <c r="X195" i="4"/>
  <c r="Y195" i="4"/>
  <c r="Q196" i="4"/>
  <c r="R196" i="4"/>
  <c r="S196" i="4"/>
  <c r="T196" i="4"/>
  <c r="U196" i="4"/>
  <c r="V196" i="4"/>
  <c r="W196" i="4"/>
  <c r="X196" i="4"/>
  <c r="Y196" i="4"/>
  <c r="Z196" i="4"/>
  <c r="Q197" i="4"/>
  <c r="Z197" i="4" s="1"/>
  <c r="R197" i="4"/>
  <c r="S197" i="4"/>
  <c r="T197" i="4"/>
  <c r="U197" i="4"/>
  <c r="V197" i="4"/>
  <c r="W197" i="4"/>
  <c r="X197" i="4"/>
  <c r="Y197" i="4"/>
  <c r="Q198" i="4"/>
  <c r="R198" i="4"/>
  <c r="S198" i="4"/>
  <c r="T198" i="4"/>
  <c r="U198" i="4"/>
  <c r="V198" i="4"/>
  <c r="W198" i="4"/>
  <c r="X198" i="4"/>
  <c r="Y198" i="4"/>
  <c r="Z198" i="4"/>
  <c r="Q199" i="4"/>
  <c r="Z199" i="4" s="1"/>
  <c r="R199" i="4"/>
  <c r="S199" i="4"/>
  <c r="T199" i="4"/>
  <c r="U199" i="4"/>
  <c r="V199" i="4"/>
  <c r="W199" i="4"/>
  <c r="X199" i="4"/>
  <c r="Y199" i="4"/>
  <c r="Q200" i="4"/>
  <c r="R200" i="4"/>
  <c r="S200" i="4"/>
  <c r="T200" i="4"/>
  <c r="U200" i="4"/>
  <c r="V200" i="4"/>
  <c r="W200" i="4"/>
  <c r="X200" i="4"/>
  <c r="Y200" i="4"/>
  <c r="Z200" i="4" s="1"/>
  <c r="Q201" i="4"/>
  <c r="Z201" i="4" s="1"/>
  <c r="R201" i="4"/>
  <c r="S201" i="4"/>
  <c r="T201" i="4"/>
  <c r="U201" i="4"/>
  <c r="V201" i="4"/>
  <c r="W201" i="4"/>
  <c r="X201" i="4"/>
  <c r="Y201" i="4"/>
  <c r="Q202" i="4"/>
  <c r="R202" i="4"/>
  <c r="S202" i="4"/>
  <c r="T202" i="4"/>
  <c r="U202" i="4"/>
  <c r="V202" i="4"/>
  <c r="W202" i="4"/>
  <c r="X202" i="4"/>
  <c r="Y202" i="4"/>
  <c r="Z202" i="4" s="1"/>
  <c r="Q203" i="4"/>
  <c r="Z203" i="4" s="1"/>
  <c r="R203" i="4"/>
  <c r="S203" i="4"/>
  <c r="T203" i="4"/>
  <c r="U203" i="4"/>
  <c r="V203" i="4"/>
  <c r="W203" i="4"/>
  <c r="X203" i="4"/>
  <c r="Y203" i="4"/>
  <c r="Q204" i="4"/>
  <c r="R204" i="4"/>
  <c r="S204" i="4"/>
  <c r="T204" i="4"/>
  <c r="U204" i="4"/>
  <c r="Z204" i="4" s="1"/>
  <c r="V204" i="4"/>
  <c r="W204" i="4"/>
  <c r="X204" i="4"/>
  <c r="Y204" i="4"/>
  <c r="Q205" i="4"/>
  <c r="Z205" i="4" s="1"/>
  <c r="R205" i="4"/>
  <c r="S205" i="4"/>
  <c r="T205" i="4"/>
  <c r="U205" i="4"/>
  <c r="V205" i="4"/>
  <c r="W205" i="4"/>
  <c r="X205" i="4"/>
  <c r="Y205" i="4"/>
  <c r="Q206" i="4"/>
  <c r="Z206" i="4" s="1"/>
  <c r="R206" i="4"/>
  <c r="S206" i="4"/>
  <c r="T206" i="4"/>
  <c r="U206" i="4"/>
  <c r="V206" i="4"/>
  <c r="W206" i="4"/>
  <c r="X206" i="4"/>
  <c r="Y206" i="4"/>
  <c r="Q207" i="4"/>
  <c r="Z207" i="4" s="1"/>
  <c r="R207" i="4"/>
  <c r="S207" i="4"/>
  <c r="T207" i="4"/>
  <c r="U207" i="4"/>
  <c r="V207" i="4"/>
  <c r="W207" i="4"/>
  <c r="X207" i="4"/>
  <c r="Y207" i="4"/>
  <c r="Q208" i="4"/>
  <c r="Z208" i="4" s="1"/>
  <c r="R208" i="4"/>
  <c r="S208" i="4"/>
  <c r="T208" i="4"/>
  <c r="U208" i="4"/>
  <c r="V208" i="4"/>
  <c r="W208" i="4"/>
  <c r="X208" i="4"/>
  <c r="Y208" i="4"/>
  <c r="Q209" i="4"/>
  <c r="Z209" i="4" s="1"/>
  <c r="R209" i="4"/>
  <c r="S209" i="4"/>
  <c r="T209" i="4"/>
  <c r="U209" i="4"/>
  <c r="V209" i="4"/>
  <c r="W209" i="4"/>
  <c r="X209" i="4"/>
  <c r="Y209" i="4"/>
  <c r="Q210" i="4"/>
  <c r="Z210" i="4" s="1"/>
  <c r="R210" i="4"/>
  <c r="S210" i="4"/>
  <c r="T210" i="4"/>
  <c r="U210" i="4"/>
  <c r="V210" i="4"/>
  <c r="W210" i="4"/>
  <c r="X210" i="4"/>
  <c r="Y210" i="4"/>
  <c r="Q211" i="4"/>
  <c r="Z211" i="4" s="1"/>
  <c r="R211" i="4"/>
  <c r="S211" i="4"/>
  <c r="T211" i="4"/>
  <c r="U211" i="4"/>
  <c r="V211" i="4"/>
  <c r="W211" i="4"/>
  <c r="X211" i="4"/>
  <c r="Y211" i="4"/>
  <c r="Q212" i="4"/>
  <c r="Z212" i="4" s="1"/>
  <c r="R212" i="4"/>
  <c r="S212" i="4"/>
  <c r="T212" i="4"/>
  <c r="U212" i="4"/>
  <c r="V212" i="4"/>
  <c r="W212" i="4"/>
  <c r="X212" i="4"/>
  <c r="Y212" i="4"/>
  <c r="Q213" i="4"/>
  <c r="Z213" i="4" s="1"/>
  <c r="R213" i="4"/>
  <c r="S213" i="4"/>
  <c r="T213" i="4"/>
  <c r="U213" i="4"/>
  <c r="V213" i="4"/>
  <c r="W213" i="4"/>
  <c r="X213" i="4"/>
  <c r="Y213" i="4"/>
  <c r="Q214" i="4"/>
  <c r="Z214" i="4" s="1"/>
  <c r="R214" i="4"/>
  <c r="S214" i="4"/>
  <c r="T214" i="4"/>
  <c r="U214" i="4"/>
  <c r="V214" i="4"/>
  <c r="W214" i="4"/>
  <c r="X214" i="4"/>
  <c r="Y214" i="4"/>
  <c r="Q215" i="4"/>
  <c r="Z215" i="4" s="1"/>
  <c r="R215" i="4"/>
  <c r="S215" i="4"/>
  <c r="T215" i="4"/>
  <c r="U215" i="4"/>
  <c r="V215" i="4"/>
  <c r="W215" i="4"/>
  <c r="X215" i="4"/>
  <c r="Y215" i="4"/>
  <c r="Q216" i="4"/>
  <c r="Z216" i="4" s="1"/>
  <c r="R216" i="4"/>
  <c r="S216" i="4"/>
  <c r="T216" i="4"/>
  <c r="U216" i="4"/>
  <c r="V216" i="4"/>
  <c r="W216" i="4"/>
  <c r="X216" i="4"/>
  <c r="Y216" i="4"/>
  <c r="Q217" i="4"/>
  <c r="Z217" i="4" s="1"/>
  <c r="R217" i="4"/>
  <c r="S217" i="4"/>
  <c r="T217" i="4"/>
  <c r="U217" i="4"/>
  <c r="V217" i="4"/>
  <c r="W217" i="4"/>
  <c r="X217" i="4"/>
  <c r="Y217" i="4"/>
  <c r="Q218" i="4"/>
  <c r="Z218" i="4" s="1"/>
  <c r="R218" i="4"/>
  <c r="S218" i="4"/>
  <c r="T218" i="4"/>
  <c r="U218" i="4"/>
  <c r="V218" i="4"/>
  <c r="W218" i="4"/>
  <c r="X218" i="4"/>
  <c r="Y218" i="4"/>
  <c r="Q219" i="4"/>
  <c r="Z219" i="4" s="1"/>
  <c r="R219" i="4"/>
  <c r="S219" i="4"/>
  <c r="T219" i="4"/>
  <c r="U219" i="4"/>
  <c r="V219" i="4"/>
  <c r="W219" i="4"/>
  <c r="X219" i="4"/>
  <c r="Y219" i="4"/>
  <c r="Q220" i="4"/>
  <c r="Z220" i="4" s="1"/>
  <c r="R220" i="4"/>
  <c r="S220" i="4"/>
  <c r="T220" i="4"/>
  <c r="U220" i="4"/>
  <c r="V220" i="4"/>
  <c r="W220" i="4"/>
  <c r="X220" i="4"/>
  <c r="Y220" i="4"/>
  <c r="Q221" i="4"/>
  <c r="Z221" i="4" s="1"/>
  <c r="R221" i="4"/>
  <c r="S221" i="4"/>
  <c r="T221" i="4"/>
  <c r="U221" i="4"/>
  <c r="V221" i="4"/>
  <c r="W221" i="4"/>
  <c r="X221" i="4"/>
  <c r="Y221" i="4"/>
  <c r="Q222" i="4"/>
  <c r="R222" i="4"/>
  <c r="S222" i="4"/>
  <c r="Z222" i="4" s="1"/>
  <c r="T222" i="4"/>
  <c r="U222" i="4"/>
  <c r="V222" i="4"/>
  <c r="W222" i="4"/>
  <c r="X222" i="4"/>
  <c r="Y222" i="4"/>
  <c r="Q223" i="4"/>
  <c r="Z223" i="4" s="1"/>
  <c r="R223" i="4"/>
  <c r="S223" i="4"/>
  <c r="T223" i="4"/>
  <c r="U223" i="4"/>
  <c r="V223" i="4"/>
  <c r="W223" i="4"/>
  <c r="X223" i="4"/>
  <c r="Y223" i="4"/>
  <c r="Q224" i="4"/>
  <c r="R224" i="4"/>
  <c r="S224" i="4"/>
  <c r="Z224" i="4" s="1"/>
  <c r="T224" i="4"/>
  <c r="U224" i="4"/>
  <c r="V224" i="4"/>
  <c r="W224" i="4"/>
  <c r="X224" i="4"/>
  <c r="Y224" i="4"/>
  <c r="Q225" i="4"/>
  <c r="Z225" i="4" s="1"/>
  <c r="R225" i="4"/>
  <c r="S225" i="4"/>
  <c r="T225" i="4"/>
  <c r="U225" i="4"/>
  <c r="V225" i="4"/>
  <c r="W225" i="4"/>
  <c r="X225" i="4"/>
  <c r="Y225" i="4"/>
  <c r="Q226" i="4"/>
  <c r="R226" i="4"/>
  <c r="S226" i="4"/>
  <c r="Z226" i="4" s="1"/>
  <c r="T226" i="4"/>
  <c r="U226" i="4"/>
  <c r="V226" i="4"/>
  <c r="W226" i="4"/>
  <c r="X226" i="4"/>
  <c r="Y226" i="4"/>
  <c r="Q227" i="4"/>
  <c r="Z227" i="4" s="1"/>
  <c r="R227" i="4"/>
  <c r="S227" i="4"/>
  <c r="T227" i="4"/>
  <c r="U227" i="4"/>
  <c r="V227" i="4"/>
  <c r="W227" i="4"/>
  <c r="X227" i="4"/>
  <c r="Y227" i="4"/>
  <c r="Q228" i="4"/>
  <c r="R228" i="4"/>
  <c r="S228" i="4"/>
  <c r="Z228" i="4" s="1"/>
  <c r="T228" i="4"/>
  <c r="U228" i="4"/>
  <c r="V228" i="4"/>
  <c r="W228" i="4"/>
  <c r="X228" i="4"/>
  <c r="Y228" i="4"/>
  <c r="Q229" i="4"/>
  <c r="Z229" i="4" s="1"/>
  <c r="R229" i="4"/>
  <c r="S229" i="4"/>
  <c r="T229" i="4"/>
  <c r="U229" i="4"/>
  <c r="V229" i="4"/>
  <c r="W229" i="4"/>
  <c r="X229" i="4"/>
  <c r="Y229" i="4"/>
  <c r="Q230" i="4"/>
  <c r="R230" i="4"/>
  <c r="S230" i="4"/>
  <c r="Z230" i="4" s="1"/>
  <c r="T230" i="4"/>
  <c r="U230" i="4"/>
  <c r="V230" i="4"/>
  <c r="W230" i="4"/>
  <c r="X230" i="4"/>
  <c r="Y230" i="4"/>
  <c r="Q231" i="4"/>
  <c r="Z231" i="4" s="1"/>
  <c r="R231" i="4"/>
  <c r="S231" i="4"/>
  <c r="T231" i="4"/>
  <c r="U231" i="4"/>
  <c r="V231" i="4"/>
  <c r="W231" i="4"/>
  <c r="X231" i="4"/>
  <c r="Y231" i="4"/>
  <c r="Z2" i="4"/>
  <c r="Y2" i="4"/>
  <c r="X2" i="4"/>
  <c r="W2" i="4"/>
  <c r="V2" i="4"/>
  <c r="U2" i="4"/>
  <c r="T2" i="4"/>
  <c r="S2" i="4"/>
  <c r="R2" i="4"/>
  <c r="Q2" i="4"/>
  <c r="Z166" i="4" l="1"/>
  <c r="Z162" i="4"/>
  <c r="Z158" i="4"/>
  <c r="Z154" i="4"/>
  <c r="Z150" i="4"/>
  <c r="Z146" i="4"/>
  <c r="Z142" i="4"/>
  <c r="Z138" i="4"/>
  <c r="Z134" i="4"/>
  <c r="Z130" i="4"/>
  <c r="Z126" i="4"/>
  <c r="Z122" i="4"/>
  <c r="Z118" i="4"/>
  <c r="Z169" i="4"/>
  <c r="Z165" i="4"/>
  <c r="Z161" i="4"/>
  <c r="Z157" i="4"/>
  <c r="Z153" i="4"/>
  <c r="Z149" i="4"/>
  <c r="Z145" i="4"/>
  <c r="Z141" i="4"/>
  <c r="Z137" i="4"/>
  <c r="Z133" i="4"/>
  <c r="Z129" i="4"/>
  <c r="Z125" i="4"/>
  <c r="Z121" i="4"/>
  <c r="Z117" i="4"/>
  <c r="Z171" i="4"/>
  <c r="Z168" i="4"/>
  <c r="Z164" i="4"/>
  <c r="Z160" i="4"/>
  <c r="Z156" i="4"/>
  <c r="Z152" i="4"/>
  <c r="Z148" i="4"/>
  <c r="Z144" i="4"/>
  <c r="Z140" i="4"/>
  <c r="Z136" i="4"/>
  <c r="Z132" i="4"/>
  <c r="Z128" i="4"/>
  <c r="Z124" i="4"/>
  <c r="Z120" i="4"/>
  <c r="Z167" i="4"/>
  <c r="Z163" i="4"/>
  <c r="Z159" i="4"/>
  <c r="Z155" i="4"/>
  <c r="Z151" i="4"/>
  <c r="Z147" i="4"/>
  <c r="Z143" i="4"/>
  <c r="Z139" i="4"/>
  <c r="Z135" i="4"/>
  <c r="Z131" i="4"/>
  <c r="Z127" i="4"/>
  <c r="F528" i="7"/>
  <c r="F529" i="7"/>
  <c r="F530" i="7"/>
  <c r="F531" i="7"/>
  <c r="F532" i="7"/>
  <c r="F533" i="7"/>
  <c r="F534" i="7"/>
  <c r="F4" i="7" l="1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107" i="7"/>
  <c r="F108" i="7"/>
  <c r="F109" i="7"/>
  <c r="F110" i="7"/>
  <c r="F111" i="7"/>
  <c r="F112" i="7"/>
  <c r="F113" i="7"/>
  <c r="F114" i="7"/>
  <c r="F115" i="7"/>
  <c r="F116" i="7"/>
  <c r="F117" i="7"/>
  <c r="F118" i="7"/>
  <c r="F119" i="7"/>
  <c r="F120" i="7"/>
  <c r="F121" i="7"/>
  <c r="F122" i="7"/>
  <c r="F123" i="7"/>
  <c r="F124" i="7"/>
  <c r="F125" i="7"/>
  <c r="F126" i="7"/>
  <c r="F127" i="7"/>
  <c r="F128" i="7"/>
  <c r="F129" i="7"/>
  <c r="F130" i="7"/>
  <c r="F131" i="7"/>
  <c r="F132" i="7"/>
  <c r="F133" i="7"/>
  <c r="F134" i="7"/>
  <c r="F135" i="7"/>
  <c r="F136" i="7"/>
  <c r="F137" i="7"/>
  <c r="F138" i="7"/>
  <c r="F139" i="7"/>
  <c r="F140" i="7"/>
  <c r="F141" i="7"/>
  <c r="F142" i="7"/>
  <c r="F143" i="7"/>
  <c r="F144" i="7"/>
  <c r="F145" i="7"/>
  <c r="F146" i="7"/>
  <c r="F147" i="7"/>
  <c r="F148" i="7"/>
  <c r="F149" i="7"/>
  <c r="F150" i="7"/>
  <c r="F151" i="7"/>
  <c r="F152" i="7"/>
  <c r="F153" i="7"/>
  <c r="F154" i="7"/>
  <c r="F155" i="7"/>
  <c r="F156" i="7"/>
  <c r="F157" i="7"/>
  <c r="F158" i="7"/>
  <c r="F159" i="7"/>
  <c r="F160" i="7"/>
  <c r="F161" i="7"/>
  <c r="F162" i="7"/>
  <c r="F163" i="7"/>
  <c r="F164" i="7"/>
  <c r="F165" i="7"/>
  <c r="F166" i="7"/>
  <c r="F167" i="7"/>
  <c r="F168" i="7"/>
  <c r="F169" i="7"/>
  <c r="F170" i="7"/>
  <c r="F171" i="7"/>
  <c r="F172" i="7"/>
  <c r="F173" i="7"/>
  <c r="F174" i="7"/>
  <c r="F175" i="7"/>
  <c r="F176" i="7"/>
  <c r="F177" i="7"/>
  <c r="F178" i="7"/>
  <c r="F179" i="7"/>
  <c r="F180" i="7"/>
  <c r="F181" i="7"/>
  <c r="F182" i="7"/>
  <c r="F183" i="7"/>
  <c r="F184" i="7"/>
  <c r="F185" i="7"/>
  <c r="F186" i="7"/>
  <c r="F187" i="7"/>
  <c r="F188" i="7"/>
  <c r="F189" i="7"/>
  <c r="F190" i="7"/>
  <c r="F191" i="7"/>
  <c r="F192" i="7"/>
  <c r="F193" i="7"/>
  <c r="F194" i="7"/>
  <c r="F195" i="7"/>
  <c r="F196" i="7"/>
  <c r="F197" i="7"/>
  <c r="F198" i="7"/>
  <c r="F199" i="7"/>
  <c r="F200" i="7"/>
  <c r="F201" i="7"/>
  <c r="F202" i="7"/>
  <c r="F203" i="7"/>
  <c r="F204" i="7"/>
  <c r="F205" i="7"/>
  <c r="F206" i="7"/>
  <c r="F207" i="7"/>
  <c r="F208" i="7"/>
  <c r="F209" i="7"/>
  <c r="F210" i="7"/>
  <c r="F211" i="7"/>
  <c r="F212" i="7"/>
  <c r="F213" i="7"/>
  <c r="F214" i="7"/>
  <c r="F215" i="7"/>
  <c r="F216" i="7"/>
  <c r="F217" i="7"/>
  <c r="F218" i="7"/>
  <c r="F219" i="7"/>
  <c r="F220" i="7"/>
  <c r="F221" i="7"/>
  <c r="F222" i="7"/>
  <c r="F223" i="7"/>
  <c r="F224" i="7"/>
  <c r="F225" i="7"/>
  <c r="F226" i="7"/>
  <c r="F227" i="7"/>
  <c r="F228" i="7"/>
  <c r="F229" i="7"/>
  <c r="F230" i="7"/>
  <c r="F231" i="7"/>
  <c r="F232" i="7"/>
  <c r="F233" i="7"/>
  <c r="F234" i="7"/>
  <c r="F235" i="7"/>
  <c r="F236" i="7"/>
  <c r="F237" i="7"/>
  <c r="F238" i="7"/>
  <c r="F239" i="7"/>
  <c r="F240" i="7"/>
  <c r="F241" i="7"/>
  <c r="F242" i="7"/>
  <c r="F243" i="7"/>
  <c r="F244" i="7"/>
  <c r="F245" i="7"/>
  <c r="F246" i="7"/>
  <c r="F247" i="7"/>
  <c r="F248" i="7"/>
  <c r="F249" i="7"/>
  <c r="F250" i="7"/>
  <c r="F251" i="7"/>
  <c r="F252" i="7"/>
  <c r="F253" i="7"/>
  <c r="F254" i="7"/>
  <c r="F255" i="7"/>
  <c r="F256" i="7"/>
  <c r="F257" i="7"/>
  <c r="F258" i="7"/>
  <c r="F259" i="7"/>
  <c r="F260" i="7"/>
  <c r="F261" i="7"/>
  <c r="F262" i="7"/>
  <c r="F263" i="7"/>
  <c r="F264" i="7"/>
  <c r="F265" i="7"/>
  <c r="F266" i="7"/>
  <c r="F267" i="7"/>
  <c r="F268" i="7"/>
  <c r="F269" i="7"/>
  <c r="F270" i="7"/>
  <c r="F271" i="7"/>
  <c r="F272" i="7"/>
  <c r="F273" i="7"/>
  <c r="F274" i="7"/>
  <c r="F275" i="7"/>
  <c r="F276" i="7"/>
  <c r="F277" i="7"/>
  <c r="F278" i="7"/>
  <c r="F279" i="7"/>
  <c r="F280" i="7"/>
  <c r="F281" i="7"/>
  <c r="F282" i="7"/>
  <c r="F283" i="7"/>
  <c r="F284" i="7"/>
  <c r="F285" i="7"/>
  <c r="F286" i="7"/>
  <c r="F287" i="7"/>
  <c r="F288" i="7"/>
  <c r="F289" i="7"/>
  <c r="F290" i="7"/>
  <c r="F291" i="7"/>
  <c r="F292" i="7"/>
  <c r="F293" i="7"/>
  <c r="F294" i="7"/>
  <c r="F295" i="7"/>
  <c r="F296" i="7"/>
  <c r="F297" i="7"/>
  <c r="F298" i="7"/>
  <c r="F299" i="7"/>
  <c r="F300" i="7"/>
  <c r="F301" i="7"/>
  <c r="F302" i="7"/>
  <c r="F303" i="7"/>
  <c r="F304" i="7"/>
  <c r="F305" i="7"/>
  <c r="F306" i="7"/>
  <c r="F307" i="7"/>
  <c r="F308" i="7"/>
  <c r="F309" i="7"/>
  <c r="F310" i="7"/>
  <c r="F311" i="7"/>
  <c r="F312" i="7"/>
  <c r="F313" i="7"/>
  <c r="F314" i="7"/>
  <c r="F315" i="7"/>
  <c r="F316" i="7"/>
  <c r="F317" i="7"/>
  <c r="F318" i="7"/>
  <c r="F319" i="7"/>
  <c r="F320" i="7"/>
  <c r="F321" i="7"/>
  <c r="F322" i="7"/>
  <c r="F323" i="7"/>
  <c r="F324" i="7"/>
  <c r="F325" i="7"/>
  <c r="F326" i="7"/>
  <c r="F327" i="7"/>
  <c r="F328" i="7"/>
  <c r="F329" i="7"/>
  <c r="F330" i="7"/>
  <c r="F331" i="7"/>
  <c r="F332" i="7"/>
  <c r="F333" i="7"/>
  <c r="F334" i="7"/>
  <c r="F335" i="7"/>
  <c r="F336" i="7"/>
  <c r="F337" i="7"/>
  <c r="F338" i="7"/>
  <c r="F339" i="7"/>
  <c r="F340" i="7"/>
  <c r="F341" i="7"/>
  <c r="F342" i="7"/>
  <c r="F343" i="7"/>
  <c r="F344" i="7"/>
  <c r="F345" i="7"/>
  <c r="F346" i="7"/>
  <c r="F347" i="7"/>
  <c r="F348" i="7"/>
  <c r="F349" i="7"/>
  <c r="F350" i="7"/>
  <c r="F351" i="7"/>
  <c r="F352" i="7"/>
  <c r="F353" i="7"/>
  <c r="F354" i="7"/>
  <c r="F355" i="7"/>
  <c r="F356" i="7"/>
  <c r="F357" i="7"/>
  <c r="F358" i="7"/>
  <c r="F359" i="7"/>
  <c r="F360" i="7"/>
  <c r="F361" i="7"/>
  <c r="F362" i="7"/>
  <c r="F363" i="7"/>
  <c r="F364" i="7"/>
  <c r="F365" i="7"/>
  <c r="F366" i="7"/>
  <c r="F367" i="7"/>
  <c r="F368" i="7"/>
  <c r="F369" i="7"/>
  <c r="F370" i="7"/>
  <c r="F371" i="7"/>
  <c r="F372" i="7"/>
  <c r="F373" i="7"/>
  <c r="F374" i="7"/>
  <c r="F375" i="7"/>
  <c r="F376" i="7"/>
  <c r="F377" i="7"/>
  <c r="F378" i="7"/>
  <c r="F379" i="7"/>
  <c r="F380" i="7"/>
  <c r="F381" i="7"/>
  <c r="F382" i="7"/>
  <c r="F383" i="7"/>
  <c r="F384" i="7"/>
  <c r="F385" i="7"/>
  <c r="F386" i="7"/>
  <c r="F387" i="7"/>
  <c r="F388" i="7"/>
  <c r="F389" i="7"/>
  <c r="F390" i="7"/>
  <c r="F391" i="7"/>
  <c r="F392" i="7"/>
  <c r="F393" i="7"/>
  <c r="F394" i="7"/>
  <c r="F395" i="7"/>
  <c r="F396" i="7"/>
  <c r="F397" i="7"/>
  <c r="F398" i="7"/>
  <c r="F399" i="7"/>
  <c r="F400" i="7"/>
  <c r="F401" i="7"/>
  <c r="F402" i="7"/>
  <c r="F403" i="7"/>
  <c r="F404" i="7"/>
  <c r="F405" i="7"/>
  <c r="F406" i="7"/>
  <c r="F407" i="7"/>
  <c r="F408" i="7"/>
  <c r="F409" i="7"/>
  <c r="F410" i="7"/>
  <c r="F411" i="7"/>
  <c r="F412" i="7"/>
  <c r="F413" i="7"/>
  <c r="F414" i="7"/>
  <c r="F415" i="7"/>
  <c r="F416" i="7"/>
  <c r="F417" i="7"/>
  <c r="F418" i="7"/>
  <c r="F419" i="7"/>
  <c r="F420" i="7"/>
  <c r="F421" i="7"/>
  <c r="F422" i="7"/>
  <c r="F423" i="7"/>
  <c r="F424" i="7"/>
  <c r="F425" i="7"/>
  <c r="F426" i="7"/>
  <c r="F427" i="7"/>
  <c r="F428" i="7"/>
  <c r="F429" i="7"/>
  <c r="F430" i="7"/>
  <c r="F431" i="7"/>
  <c r="F432" i="7"/>
  <c r="F433" i="7"/>
  <c r="F434" i="7"/>
  <c r="F435" i="7"/>
  <c r="F436" i="7"/>
  <c r="F437" i="7"/>
  <c r="F438" i="7"/>
  <c r="F439" i="7"/>
  <c r="F440" i="7"/>
  <c r="F441" i="7"/>
  <c r="F442" i="7"/>
  <c r="F443" i="7"/>
  <c r="F444" i="7"/>
  <c r="F445" i="7"/>
  <c r="F446" i="7"/>
  <c r="F447" i="7"/>
  <c r="F448" i="7"/>
  <c r="F449" i="7"/>
  <c r="F450" i="7"/>
  <c r="F451" i="7"/>
  <c r="F452" i="7"/>
  <c r="F453" i="7"/>
  <c r="F454" i="7"/>
  <c r="F455" i="7"/>
  <c r="F456" i="7"/>
  <c r="F457" i="7"/>
  <c r="F458" i="7"/>
  <c r="F459" i="7"/>
  <c r="F460" i="7"/>
  <c r="F461" i="7"/>
  <c r="F462" i="7"/>
  <c r="F463" i="7"/>
  <c r="F464" i="7"/>
  <c r="F465" i="7"/>
  <c r="F466" i="7"/>
  <c r="F467" i="7"/>
  <c r="F468" i="7"/>
  <c r="F469" i="7"/>
  <c r="F470" i="7"/>
  <c r="F471" i="7"/>
  <c r="F472" i="7"/>
  <c r="F473" i="7"/>
  <c r="F474" i="7"/>
  <c r="F475" i="7"/>
  <c r="F476" i="7"/>
  <c r="F477" i="7"/>
  <c r="F478" i="7"/>
  <c r="F479" i="7"/>
  <c r="F480" i="7"/>
  <c r="F481" i="7"/>
  <c r="F482" i="7"/>
  <c r="F483" i="7"/>
  <c r="F484" i="7"/>
  <c r="F485" i="7"/>
  <c r="F486" i="7"/>
  <c r="F487" i="7"/>
  <c r="F488" i="7"/>
  <c r="F489" i="7"/>
  <c r="F490" i="7"/>
  <c r="F491" i="7"/>
  <c r="F492" i="7"/>
  <c r="F493" i="7"/>
  <c r="F494" i="7"/>
  <c r="F495" i="7"/>
  <c r="F496" i="7"/>
  <c r="F497" i="7"/>
  <c r="F498" i="7"/>
  <c r="F499" i="7"/>
  <c r="F500" i="7"/>
  <c r="F501" i="7"/>
  <c r="F502" i="7"/>
  <c r="F503" i="7"/>
  <c r="F504" i="7"/>
  <c r="F505" i="7"/>
  <c r="F506" i="7"/>
  <c r="F507" i="7"/>
  <c r="F508" i="7"/>
  <c r="F509" i="7"/>
  <c r="F510" i="7"/>
  <c r="F511" i="7"/>
  <c r="F512" i="7"/>
  <c r="F513" i="7"/>
  <c r="F514" i="7"/>
  <c r="F515" i="7"/>
  <c r="F516" i="7"/>
  <c r="F517" i="7"/>
  <c r="F518" i="7"/>
  <c r="F519" i="7"/>
  <c r="F520" i="7"/>
  <c r="F521" i="7"/>
  <c r="F522" i="7"/>
  <c r="F523" i="7"/>
  <c r="F524" i="7"/>
  <c r="F525" i="7"/>
  <c r="F526" i="7"/>
  <c r="F527" i="7"/>
  <c r="F3" i="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CAEB739-C3FC-4530-A364-1E9BB6CB7995}" keepAlive="1" name="Query - 2019-2020 NBA Players" description="Connection to the '2019-2020 NBA Players' query in the workbook." type="5" refreshedVersion="6" refreshOnLoad="1" saveData="1">
    <dbPr connection="Provider=Microsoft.Mashup.OleDb.1;Data Source=$Workbook$;Location=&quot;2019-2020 NBA Players&quot;;Extended Properties=&quot;&quot;" command="SELECT * FROM [2019-2020 NBA Players]"/>
  </connection>
  <connection id="2" xr16:uid="{862579CF-2562-4076-B108-E244543D2814}" keepAlive="1" name="Query - Player Per Game Table" description="Connection to the 'Player Per Game Table' query in the workbook." type="5" refreshedVersion="6" refreshOnLoad="1" saveData="1">
    <dbPr connection="Provider=Microsoft.Mashup.OleDb.1;Data Source=$Workbook$;Location=&quot;Player Per Game Table&quot;;Extended Properties=&quot;&quot;" command="SELECT * FROM [Player Per Game Table]"/>
  </connection>
</connections>
</file>

<file path=xl/sharedStrings.xml><?xml version="1.0" encoding="utf-8"?>
<sst xmlns="http://schemas.openxmlformats.org/spreadsheetml/2006/main" count="5567" uniqueCount="704">
  <si>
    <t>Player</t>
  </si>
  <si>
    <t>Pos</t>
  </si>
  <si>
    <t>Tm</t>
  </si>
  <si>
    <t>G</t>
  </si>
  <si>
    <t>MP</t>
  </si>
  <si>
    <t>FGA</t>
  </si>
  <si>
    <t>FG%</t>
  </si>
  <si>
    <t>3P</t>
  </si>
  <si>
    <t>FTA</t>
  </si>
  <si>
    <t>FT%</t>
  </si>
  <si>
    <t>TRB</t>
  </si>
  <si>
    <t>AST</t>
  </si>
  <si>
    <t>STL</t>
  </si>
  <si>
    <t>BLK</t>
  </si>
  <si>
    <t>TOV</t>
  </si>
  <si>
    <t>PF</t>
  </si>
  <si>
    <t>PTS</t>
  </si>
  <si>
    <t>Steven Adams</t>
  </si>
  <si>
    <t>C</t>
  </si>
  <si>
    <t>OKC</t>
  </si>
  <si>
    <t>Bam Adebayo</t>
  </si>
  <si>
    <t>MIA</t>
  </si>
  <si>
    <t>LaMarcus Aldridge</t>
  </si>
  <si>
    <t>SAS</t>
  </si>
  <si>
    <t>Nickeil Alexander-Walker</t>
  </si>
  <si>
    <t>SG</t>
  </si>
  <si>
    <t>NOP</t>
  </si>
  <si>
    <t>Grayson Allen</t>
  </si>
  <si>
    <t>MEM</t>
  </si>
  <si>
    <t>Jarrett Allen</t>
  </si>
  <si>
    <t>BRK</t>
  </si>
  <si>
    <t>Kadeem Allen</t>
  </si>
  <si>
    <t>NYK</t>
  </si>
  <si>
    <t>Al-Farouq Aminu</t>
  </si>
  <si>
    <t>ORL</t>
  </si>
  <si>
    <t>SF</t>
  </si>
  <si>
    <t>Kyle Anderson</t>
  </si>
  <si>
    <t>HOU</t>
  </si>
  <si>
    <t>Giannis Antetokounmpo</t>
  </si>
  <si>
    <t>MIL</t>
  </si>
  <si>
    <t>Kostas Antetokounmpo</t>
  </si>
  <si>
    <t>LAL</t>
  </si>
  <si>
    <t>Thanasis Antetokounmpo</t>
  </si>
  <si>
    <t>Carmelo Anthony</t>
  </si>
  <si>
    <t>POR</t>
  </si>
  <si>
    <t>TOR</t>
  </si>
  <si>
    <t>Ryan Arcidiacono</t>
  </si>
  <si>
    <t>PG</t>
  </si>
  <si>
    <t>CHI</t>
  </si>
  <si>
    <t>Trevor Ariza</t>
  </si>
  <si>
    <t>TOT</t>
  </si>
  <si>
    <t>SAC</t>
  </si>
  <si>
    <t>D.J. Augustin</t>
  </si>
  <si>
    <t>Deandre Ayton</t>
  </si>
  <si>
    <t>PHO</t>
  </si>
  <si>
    <t>Dwayne Bacon</t>
  </si>
  <si>
    <t>CHO</t>
  </si>
  <si>
    <t>Marvin Bagley</t>
  </si>
  <si>
    <t>Lonzo Ball</t>
  </si>
  <si>
    <t>J.J. Barea</t>
  </si>
  <si>
    <t>DAL</t>
  </si>
  <si>
    <t>Harrison Barnes</t>
  </si>
  <si>
    <t>Will Barton</t>
  </si>
  <si>
    <t>DEN</t>
  </si>
  <si>
    <t>Keita Bates-Diop</t>
  </si>
  <si>
    <t>MIN</t>
  </si>
  <si>
    <t>Nicolas Batum</t>
  </si>
  <si>
    <t>Aron Baynes</t>
  </si>
  <si>
    <t>Kent Bazemore</t>
  </si>
  <si>
    <t>SF-SG</t>
  </si>
  <si>
    <t>Darius Bazley</t>
  </si>
  <si>
    <t>Bradley Beal</t>
  </si>
  <si>
    <t>WAS</t>
  </si>
  <si>
    <t>Malik Beasley</t>
  </si>
  <si>
    <t>Marco Belinelli</t>
  </si>
  <si>
    <t>Jordan Bell</t>
  </si>
  <si>
    <t>DeAndre' Bembry</t>
  </si>
  <si>
    <t>ATL</t>
  </si>
  <si>
    <t>Dragan Bender</t>
  </si>
  <si>
    <t>Patrick Beverley</t>
  </si>
  <si>
    <t>LAC</t>
  </si>
  <si>
    <t>Khem Birch</t>
  </si>
  <si>
    <t>Goga Bitadze</t>
  </si>
  <si>
    <t>IND</t>
  </si>
  <si>
    <t>Bismack Biyombo</t>
  </si>
  <si>
    <t>Nemanja Bjelica</t>
  </si>
  <si>
    <t>Eric Bledsoe</t>
  </si>
  <si>
    <t>UTA</t>
  </si>
  <si>
    <t>PHI</t>
  </si>
  <si>
    <t>Jordan Bone</t>
  </si>
  <si>
    <t>DET</t>
  </si>
  <si>
    <t>Isaac Bonga</t>
  </si>
  <si>
    <t>Devin Booker</t>
  </si>
  <si>
    <t>Chris Boucher</t>
  </si>
  <si>
    <t>Brian Bowen</t>
  </si>
  <si>
    <t>Ky Bowman</t>
  </si>
  <si>
    <t>GSW</t>
  </si>
  <si>
    <t>Avery Bradley</t>
  </si>
  <si>
    <t>Tony Bradley</t>
  </si>
  <si>
    <t>Jarrell Brantley</t>
  </si>
  <si>
    <t>Ignas Brazdeikis</t>
  </si>
  <si>
    <t>Mikal Bridges</t>
  </si>
  <si>
    <t>Miles Bridges</t>
  </si>
  <si>
    <t>Oshae Brissett</t>
  </si>
  <si>
    <t>Malcolm Brogdon</t>
  </si>
  <si>
    <t>Dillon Brooks</t>
  </si>
  <si>
    <t>Bruce Brown</t>
  </si>
  <si>
    <t>Charlie Brown</t>
  </si>
  <si>
    <t>Jaylen Brown</t>
  </si>
  <si>
    <t>BOS</t>
  </si>
  <si>
    <t>Moses Brown</t>
  </si>
  <si>
    <t>Sterling Brown</t>
  </si>
  <si>
    <t>Troy Brown</t>
  </si>
  <si>
    <t>Jalen Brunson</t>
  </si>
  <si>
    <t>Thomas Bryant</t>
  </si>
  <si>
    <t>Reggie Bullock</t>
  </si>
  <si>
    <t>Alec Burks</t>
  </si>
  <si>
    <t>Deonte Burton</t>
  </si>
  <si>
    <t>Jimmy Butler</t>
  </si>
  <si>
    <t>Bruno Caboclo</t>
  </si>
  <si>
    <t>Kentavious Caldwell-Pope</t>
  </si>
  <si>
    <t>Clint Capela</t>
  </si>
  <si>
    <t>DeMarre Carroll</t>
  </si>
  <si>
    <t>Jevon Carter</t>
  </si>
  <si>
    <t>Vince Carter</t>
  </si>
  <si>
    <t>Wendell Carter</t>
  </si>
  <si>
    <t>Michael Carter-Williams</t>
  </si>
  <si>
    <t>Alex Caruso</t>
  </si>
  <si>
    <t>Willie Cauley-Stein</t>
  </si>
  <si>
    <t>Tyson Chandler</t>
  </si>
  <si>
    <t>Wilson Chandler</t>
  </si>
  <si>
    <t>Zylan Cheatham</t>
  </si>
  <si>
    <t>Chris Chiozza</t>
  </si>
  <si>
    <t>Marquese Chriss</t>
  </si>
  <si>
    <t>Gary Clark</t>
  </si>
  <si>
    <t>Brandon Clarke</t>
  </si>
  <si>
    <t>Jordan Clarkson</t>
  </si>
  <si>
    <t>CLE</t>
  </si>
  <si>
    <t>Nicolas Claxton</t>
  </si>
  <si>
    <t>Chris Clemons</t>
  </si>
  <si>
    <t>Antonius Cleveland</t>
  </si>
  <si>
    <t>Amir Coffey</t>
  </si>
  <si>
    <t>John Collins</t>
  </si>
  <si>
    <t>Zach Collins</t>
  </si>
  <si>
    <t>Mike Conley</t>
  </si>
  <si>
    <t>Pat Connaughton</t>
  </si>
  <si>
    <t>Quinn Cook</t>
  </si>
  <si>
    <t>Robert Covington</t>
  </si>
  <si>
    <t>Torrey Craig</t>
  </si>
  <si>
    <t>Jae Crowder</t>
  </si>
  <si>
    <t>Jarrett Culver</t>
  </si>
  <si>
    <t>Seth Curry</t>
  </si>
  <si>
    <t>Stephen Curry</t>
  </si>
  <si>
    <t>Anthony Davis</t>
  </si>
  <si>
    <t>Ed Davis</t>
  </si>
  <si>
    <t>Terence Davis</t>
  </si>
  <si>
    <t>Dewayne Dedmon</t>
  </si>
  <si>
    <t>DeMar DeRozan</t>
  </si>
  <si>
    <t>Cheick Diallo</t>
  </si>
  <si>
    <t>Hamidou Diallo</t>
  </si>
  <si>
    <t>Gorgui Dieng</t>
  </si>
  <si>
    <t>Spencer Dinwiddie</t>
  </si>
  <si>
    <t>Donte DiVincenzo</t>
  </si>
  <si>
    <t>Luguentz Dort</t>
  </si>
  <si>
    <t>Damyean Dotson</t>
  </si>
  <si>
    <t>Sekou Doumbouya</t>
  </si>
  <si>
    <t>Andre Drummond</t>
  </si>
  <si>
    <t>Jared Dudley</t>
  </si>
  <si>
    <t>Kris Dunn</t>
  </si>
  <si>
    <t>Carsen Edwards</t>
  </si>
  <si>
    <t>Wayne Ellington</t>
  </si>
  <si>
    <t>Joel Embiid</t>
  </si>
  <si>
    <t>James Ennis</t>
  </si>
  <si>
    <t>Drew Eubanks</t>
  </si>
  <si>
    <t>Jacob Evans</t>
  </si>
  <si>
    <t>Dante Exum</t>
  </si>
  <si>
    <t>Tacko Fall</t>
  </si>
  <si>
    <t>Derrick Favors</t>
  </si>
  <si>
    <t>Terrance Ferguson</t>
  </si>
  <si>
    <t>Bruno Fernando</t>
  </si>
  <si>
    <t>Yogi Ferrell</t>
  </si>
  <si>
    <t>Dorian Finney-Smith</t>
  </si>
  <si>
    <t>Bryn Forbes</t>
  </si>
  <si>
    <t>Evan Fournier</t>
  </si>
  <si>
    <t>De'Aaron Fox</t>
  </si>
  <si>
    <t>Melvin Frazier</t>
  </si>
  <si>
    <t>Michael Frazier</t>
  </si>
  <si>
    <t>Markelle Fultz</t>
  </si>
  <si>
    <t>Wenyen Gabriel</t>
  </si>
  <si>
    <t>Daniel Gafford</t>
  </si>
  <si>
    <t>Danilo Gallinari</t>
  </si>
  <si>
    <t>Langston Galloway</t>
  </si>
  <si>
    <t>Darius Garland</t>
  </si>
  <si>
    <t>Marc Gasol</t>
  </si>
  <si>
    <t>Rudy Gay</t>
  </si>
  <si>
    <t>Paul George</t>
  </si>
  <si>
    <t>Taj Gibson</t>
  </si>
  <si>
    <t>Harry Giles</t>
  </si>
  <si>
    <t>Shai Gilgeous-Alexander</t>
  </si>
  <si>
    <t>Rudy Gobert</t>
  </si>
  <si>
    <t>Brandon Goodwin</t>
  </si>
  <si>
    <t>Aaron Gordon</t>
  </si>
  <si>
    <t>Eric Gordon</t>
  </si>
  <si>
    <t>Devonte' Graham</t>
  </si>
  <si>
    <t>Treveon Graham</t>
  </si>
  <si>
    <t>Jerami Grant</t>
  </si>
  <si>
    <t>Danny Green</t>
  </si>
  <si>
    <t>Draymond Green</t>
  </si>
  <si>
    <t>JaMychal Green</t>
  </si>
  <si>
    <t>Javonte Green</t>
  </si>
  <si>
    <t>Jeff Green</t>
  </si>
  <si>
    <t>Blake Griffin</t>
  </si>
  <si>
    <t>Marko Guduric</t>
  </si>
  <si>
    <t>Kyle Guy</t>
  </si>
  <si>
    <t>Rui Hachimura</t>
  </si>
  <si>
    <t>Tim Hardaway</t>
  </si>
  <si>
    <t>James Harden</t>
  </si>
  <si>
    <t>Maurice Harkless</t>
  </si>
  <si>
    <t>Jared Harper</t>
  </si>
  <si>
    <t>Montrezl Harrell</t>
  </si>
  <si>
    <t>Gary Harris</t>
  </si>
  <si>
    <t>Joe Harris</t>
  </si>
  <si>
    <t>Tobias Harris</t>
  </si>
  <si>
    <t>Shaquille Harrison</t>
  </si>
  <si>
    <t>Josh Hart</t>
  </si>
  <si>
    <t>Isaiah Hartenstein</t>
  </si>
  <si>
    <t>Udonis Haslem</t>
  </si>
  <si>
    <t>Jaxson Hayes</t>
  </si>
  <si>
    <t>Gordon Hayward</t>
  </si>
  <si>
    <t>John Henson</t>
  </si>
  <si>
    <t>Dewan Hernandez</t>
  </si>
  <si>
    <t>Tyler Herro</t>
  </si>
  <si>
    <t>Kevin Hervey</t>
  </si>
  <si>
    <t>Mario Hezonja</t>
  </si>
  <si>
    <t>Buddy Hield</t>
  </si>
  <si>
    <t>George Hill</t>
  </si>
  <si>
    <t>Solomon Hill</t>
  </si>
  <si>
    <t>Jaylen Hoard</t>
  </si>
  <si>
    <t>Aaron Holiday</t>
  </si>
  <si>
    <t>Jrue Holiday</t>
  </si>
  <si>
    <t>Justin Holiday</t>
  </si>
  <si>
    <t>Rondae Hollis-Jefferson</t>
  </si>
  <si>
    <t>Richaun Holmes</t>
  </si>
  <si>
    <t>Rodney Hood</t>
  </si>
  <si>
    <t>Al Horford</t>
  </si>
  <si>
    <t>Talen Horton-Tucker</t>
  </si>
  <si>
    <t>Danuel House</t>
  </si>
  <si>
    <t>Dwight Howard</t>
  </si>
  <si>
    <t>Kevin Huerter</t>
  </si>
  <si>
    <t>De'Andre Hunter</t>
  </si>
  <si>
    <t>Chandler Hutchison</t>
  </si>
  <si>
    <t>Serge Ibaka</t>
  </si>
  <si>
    <t>Joe Ingles</t>
  </si>
  <si>
    <t>Brandon Ingram</t>
  </si>
  <si>
    <t>Kyrie Irving</t>
  </si>
  <si>
    <t>Jonathan Isaac</t>
  </si>
  <si>
    <t>Wesley Iwundu</t>
  </si>
  <si>
    <t>Frank Jackson</t>
  </si>
  <si>
    <t>Jaren Jackson</t>
  </si>
  <si>
    <t>Justin Jackson</t>
  </si>
  <si>
    <t>Reggie Jackson</t>
  </si>
  <si>
    <t>Justin James</t>
  </si>
  <si>
    <t>LeBron James</t>
  </si>
  <si>
    <t>DaQuan Jeffries</t>
  </si>
  <si>
    <t>Ty Jerome</t>
  </si>
  <si>
    <t>Alize Johnson</t>
  </si>
  <si>
    <t>B.J. Johnson</t>
  </si>
  <si>
    <t>Cameron Johnson</t>
  </si>
  <si>
    <t>James Johnson</t>
  </si>
  <si>
    <t>Keldon Johnson</t>
  </si>
  <si>
    <t>Stanley Johnson</t>
  </si>
  <si>
    <t>Damian Jones</t>
  </si>
  <si>
    <t>Derrick Jones</t>
  </si>
  <si>
    <t>Tyus Jones</t>
  </si>
  <si>
    <t>DeAndre Jordan</t>
  </si>
  <si>
    <t>Cory Joseph</t>
  </si>
  <si>
    <t>Mfiondu Kabengele</t>
  </si>
  <si>
    <t>Frank Kaminsky</t>
  </si>
  <si>
    <t>Enes Kanter</t>
  </si>
  <si>
    <t>Luke Kennard</t>
  </si>
  <si>
    <t>Michael Kidd-Gilchrist</t>
  </si>
  <si>
    <t>Louis King</t>
  </si>
  <si>
    <t>Maxi Kleber</t>
  </si>
  <si>
    <t>Brandon Knight</t>
  </si>
  <si>
    <t>Kevin Knox</t>
  </si>
  <si>
    <t>John Konchar</t>
  </si>
  <si>
    <t>Furkan Korkmaz</t>
  </si>
  <si>
    <t>Luke Kornet</t>
  </si>
  <si>
    <t>Kyle Korver</t>
  </si>
  <si>
    <t>Rodions Kurucs</t>
  </si>
  <si>
    <t>Kyle Kuzma</t>
  </si>
  <si>
    <t>Jeremy Lamb</t>
  </si>
  <si>
    <t>Romeo Langford</t>
  </si>
  <si>
    <t>Zach LaVine</t>
  </si>
  <si>
    <t>Jake Layman</t>
  </si>
  <si>
    <t>T.J. Leaf</t>
  </si>
  <si>
    <t>Jalen Lecque</t>
  </si>
  <si>
    <t>Courtney Lee</t>
  </si>
  <si>
    <t>Damion Lee</t>
  </si>
  <si>
    <t>Alex Len</t>
  </si>
  <si>
    <t>Kawhi Leonard</t>
  </si>
  <si>
    <t>Meyers Leonard</t>
  </si>
  <si>
    <t>Caris LeVert</t>
  </si>
  <si>
    <t>Damian Lillard</t>
  </si>
  <si>
    <t>Nassir Little</t>
  </si>
  <si>
    <t>Kevon Looney</t>
  </si>
  <si>
    <t>Brook Lopez</t>
  </si>
  <si>
    <t>Robin Lopez</t>
  </si>
  <si>
    <t>Kevin Love</t>
  </si>
  <si>
    <t>Kyle Lowry</t>
  </si>
  <si>
    <t>Trey Lyles</t>
  </si>
  <si>
    <t>Ian Mahinmi</t>
  </si>
  <si>
    <t>Thon Maker</t>
  </si>
  <si>
    <t>Terance Mann</t>
  </si>
  <si>
    <t>Lauri Markkanen</t>
  </si>
  <si>
    <t>Caleb Martin</t>
  </si>
  <si>
    <t>Cody Martin</t>
  </si>
  <si>
    <t>Kelan Martin</t>
  </si>
  <si>
    <t>Frank Mason</t>
  </si>
  <si>
    <t>Garrison Mathews</t>
  </si>
  <si>
    <t>Wesley Matthews</t>
  </si>
  <si>
    <t>Patrick McCaw</t>
  </si>
  <si>
    <t>T.J. McConnell</t>
  </si>
  <si>
    <t>Jalen McDaniels</t>
  </si>
  <si>
    <t>Doug McDermott</t>
  </si>
  <si>
    <t>JaVale McGee</t>
  </si>
  <si>
    <t>Rodney McGruder</t>
  </si>
  <si>
    <t>Alfonzo McKinnie</t>
  </si>
  <si>
    <t>Jordan McLaughlin</t>
  </si>
  <si>
    <t>Ben McLemore</t>
  </si>
  <si>
    <t>De'Anthony Melton</t>
  </si>
  <si>
    <t>Chimezie Metu</t>
  </si>
  <si>
    <t>Khris Middleton</t>
  </si>
  <si>
    <t>Malcolm Miller</t>
  </si>
  <si>
    <t>Patty Mills</t>
  </si>
  <si>
    <t>Paul Millsap</t>
  </si>
  <si>
    <t>Shake Milton</t>
  </si>
  <si>
    <t>Donovan Mitchell</t>
  </si>
  <si>
    <t>Adam Mokoka</t>
  </si>
  <si>
    <t>Malik Monk</t>
  </si>
  <si>
    <t>Matt Mooney</t>
  </si>
  <si>
    <t>E'Twaun Moore</t>
  </si>
  <si>
    <t>Ja Morant</t>
  </si>
  <si>
    <t>Juwan Morgan</t>
  </si>
  <si>
    <t>Marcus Morris</t>
  </si>
  <si>
    <t>Markieff Morris</t>
  </si>
  <si>
    <t>Monte Morris</t>
  </si>
  <si>
    <t>Johnathan Motley</t>
  </si>
  <si>
    <t>Emmanuel Mudiay</t>
  </si>
  <si>
    <t>Dejounte Murray</t>
  </si>
  <si>
    <t>Jamal Murray</t>
  </si>
  <si>
    <t>Mike Muscala</t>
  </si>
  <si>
    <t>Abdel Nader</t>
  </si>
  <si>
    <t>Larry Nance</t>
  </si>
  <si>
    <t>Shabazz Napier</t>
  </si>
  <si>
    <t>Georges Niang</t>
  </si>
  <si>
    <t>Nerlens Noel</t>
  </si>
  <si>
    <t>Jaylen Nowell</t>
  </si>
  <si>
    <t>Frank Ntilikina</t>
  </si>
  <si>
    <t>Kendrick Nunn</t>
  </si>
  <si>
    <t>Royce O'Neale</t>
  </si>
  <si>
    <t>Kyle O'Quinn</t>
  </si>
  <si>
    <t>Semi Ojeleye</t>
  </si>
  <si>
    <t>Jahlil Okafor</t>
  </si>
  <si>
    <t>Elie Okobo</t>
  </si>
  <si>
    <t>Josh Okogie</t>
  </si>
  <si>
    <t>KZ Okpala</t>
  </si>
  <si>
    <t>Kelly Olynyk</t>
  </si>
  <si>
    <t>Miye Oni</t>
  </si>
  <si>
    <t>Cedi Osman</t>
  </si>
  <si>
    <t>Kelly Oubre</t>
  </si>
  <si>
    <t>Jabari Parker</t>
  </si>
  <si>
    <t>Eric Paschall</t>
  </si>
  <si>
    <t>Patrick Patterson</t>
  </si>
  <si>
    <t>Chris Paul</t>
  </si>
  <si>
    <t>Elfrid Payton</t>
  </si>
  <si>
    <t>Gary Payton</t>
  </si>
  <si>
    <t>Norvel Pelle</t>
  </si>
  <si>
    <t>Theo Pinson</t>
  </si>
  <si>
    <t>Mason Plumlee</t>
  </si>
  <si>
    <t>Vincent Poirier</t>
  </si>
  <si>
    <t>Jordan Poole</t>
  </si>
  <si>
    <t>Kevin Porter</t>
  </si>
  <si>
    <t>Michael Porter</t>
  </si>
  <si>
    <t>Otto Porter</t>
  </si>
  <si>
    <t>Bobby Portis</t>
  </si>
  <si>
    <t>Dwight Powell</t>
  </si>
  <si>
    <t>Norman Powell</t>
  </si>
  <si>
    <t>Julius Randle</t>
  </si>
  <si>
    <t>Josh Reaves</t>
  </si>
  <si>
    <t>Cam Reddish</t>
  </si>
  <si>
    <t>J.J. Redick</t>
  </si>
  <si>
    <t>Naz Reid</t>
  </si>
  <si>
    <t>Josh Richardson</t>
  </si>
  <si>
    <t>Austin Rivers</t>
  </si>
  <si>
    <t>Duncan Robinson</t>
  </si>
  <si>
    <t>Glenn Robinson</t>
  </si>
  <si>
    <t>Jerome Robinson</t>
  </si>
  <si>
    <t>Mitchell Robinson</t>
  </si>
  <si>
    <t>Rajon Rondo</t>
  </si>
  <si>
    <t>Derrick Rose</t>
  </si>
  <si>
    <t>Terrence Ross</t>
  </si>
  <si>
    <t>Terry Rozier</t>
  </si>
  <si>
    <t>Ricky Rubio</t>
  </si>
  <si>
    <t>D'Angelo Russell</t>
  </si>
  <si>
    <t>Domantas Sabonis</t>
  </si>
  <si>
    <t>JaKarr Sampson</t>
  </si>
  <si>
    <t>Admiral Schofield</t>
  </si>
  <si>
    <t>Mike Scott</t>
  </si>
  <si>
    <t>Thabo Sefolosha</t>
  </si>
  <si>
    <t>Collin Sexton</t>
  </si>
  <si>
    <t>Landry Shamet</t>
  </si>
  <si>
    <t>Pascal Siakam</t>
  </si>
  <si>
    <t>Chris Silva</t>
  </si>
  <si>
    <t>Ben Simmons</t>
  </si>
  <si>
    <t>Anfernee Simons</t>
  </si>
  <si>
    <t>Marcus Smart</t>
  </si>
  <si>
    <t>Dennis Smith</t>
  </si>
  <si>
    <t>Ish Smith</t>
  </si>
  <si>
    <t>Tony Snell</t>
  </si>
  <si>
    <t>Omari Spellman</t>
  </si>
  <si>
    <t>Max Strus</t>
  </si>
  <si>
    <t>Edmond Sumner</t>
  </si>
  <si>
    <t>Caleb Swanigan</t>
  </si>
  <si>
    <t>Jayson Tatum</t>
  </si>
  <si>
    <t>Jeff Teague</t>
  </si>
  <si>
    <t>Garrett Temple</t>
  </si>
  <si>
    <t>Daniel Theis</t>
  </si>
  <si>
    <t>Khyri Thomas</t>
  </si>
  <si>
    <t>Matt Thomas</t>
  </si>
  <si>
    <t>Tristan Thompson</t>
  </si>
  <si>
    <t>Matisse Thybulle</t>
  </si>
  <si>
    <t>Karl-Anthony Towns</t>
  </si>
  <si>
    <t>Gary Trent</t>
  </si>
  <si>
    <t>Allonzo Trier</t>
  </si>
  <si>
    <t>P.J. Tucker</t>
  </si>
  <si>
    <t>Rayjon Tucker</t>
  </si>
  <si>
    <t>Evan Turner</t>
  </si>
  <si>
    <t>Myles Turner</t>
  </si>
  <si>
    <t>Denzel Valentine</t>
  </si>
  <si>
    <t>Jarred Vanderbilt</t>
  </si>
  <si>
    <t>Fred VanVleet</t>
  </si>
  <si>
    <t>Noah Vonleh</t>
  </si>
  <si>
    <t>Dean Wade</t>
  </si>
  <si>
    <t>Kemba Walker</t>
  </si>
  <si>
    <t>Lonnie Walker</t>
  </si>
  <si>
    <t>Brad Wanamaker</t>
  </si>
  <si>
    <t>T.J. Warren</t>
  </si>
  <si>
    <t>Yuta Watanabe</t>
  </si>
  <si>
    <t>Tremont Waters</t>
  </si>
  <si>
    <t>Paul Watson</t>
  </si>
  <si>
    <t>Russell Westbrook</t>
  </si>
  <si>
    <t>Coby White</t>
  </si>
  <si>
    <t>Derrick White</t>
  </si>
  <si>
    <t>Hassan Whiteside</t>
  </si>
  <si>
    <t>Andrew Wiggins</t>
  </si>
  <si>
    <t>Grant Williams</t>
  </si>
  <si>
    <t>Johnathan Williams</t>
  </si>
  <si>
    <t>Kenrich Williams</t>
  </si>
  <si>
    <t>Lou Williams</t>
  </si>
  <si>
    <t>Marvin Williams</t>
  </si>
  <si>
    <t>Robert Williams</t>
  </si>
  <si>
    <t>Nigel Williams-Goss</t>
  </si>
  <si>
    <t>Zion Williamson</t>
  </si>
  <si>
    <t>D.J. Wilson</t>
  </si>
  <si>
    <t>Justise Winslow</t>
  </si>
  <si>
    <t>Christian Wood</t>
  </si>
  <si>
    <t>Delon Wright</t>
  </si>
  <si>
    <t>Thaddeus Young</t>
  </si>
  <si>
    <t>Trae Young</t>
  </si>
  <si>
    <t>Cody Zeller</t>
  </si>
  <si>
    <t>Ivica Zubac</t>
  </si>
  <si>
    <t>Zhaire Smith</t>
  </si>
  <si>
    <t>Vic Law</t>
  </si>
  <si>
    <t>William Howard</t>
  </si>
  <si>
    <t>Andre Iguodala</t>
  </si>
  <si>
    <t>Josh Jackson</t>
  </si>
  <si>
    <t>PF-SF</t>
  </si>
  <si>
    <t>Jeremiah Martin</t>
  </si>
  <si>
    <t>SF-PF</t>
  </si>
  <si>
    <t>Victor Oladipo</t>
  </si>
  <si>
    <t>Tariq Owens</t>
  </si>
  <si>
    <t>Isaiah Roby</t>
  </si>
  <si>
    <t>Marial Shayok</t>
  </si>
  <si>
    <t>Juan Toscano-Anderson</t>
  </si>
  <si>
    <t>Gabe Vincent</t>
  </si>
  <si>
    <t>C-PF</t>
  </si>
  <si>
    <t>P.J. Washington</t>
  </si>
  <si>
    <t>Quinndary Weatherspoon</t>
  </si>
  <si>
    <t>Justin Wright-Foreman</t>
  </si>
  <si>
    <t>Donta Hall</t>
  </si>
  <si>
    <t>Mychal Mulder</t>
  </si>
  <si>
    <t>Current Team</t>
  </si>
  <si>
    <t>Oklahoma City Thunder</t>
  </si>
  <si>
    <t>Miami Heat</t>
  </si>
  <si>
    <t>San Antonio Spurs</t>
  </si>
  <si>
    <t>Kyle Alexander</t>
  </si>
  <si>
    <t>New Orleans Pelicans</t>
  </si>
  <si>
    <t>Memphis Grizzlies</t>
  </si>
  <si>
    <t>Brooklyn Nets</t>
  </si>
  <si>
    <t>New York Knicks</t>
  </si>
  <si>
    <t>Orlando Magic</t>
  </si>
  <si>
    <t>Milwaukee Bucks</t>
  </si>
  <si>
    <t>Los Angeles Lakers</t>
  </si>
  <si>
    <t>Portland Trail Blazers</t>
  </si>
  <si>
    <t>Ogugua Anunoby</t>
  </si>
  <si>
    <t>Toronto Raptors</t>
  </si>
  <si>
    <t>Chicago Bulls</t>
  </si>
  <si>
    <t>Phoenix Suns</t>
  </si>
  <si>
    <t>Charlotte Hornets</t>
  </si>
  <si>
    <t>Sacramento Kings</t>
  </si>
  <si>
    <t>Mohamed Bamba</t>
  </si>
  <si>
    <t>Dallas Mavericks</t>
  </si>
  <si>
    <t>R.J. Barrett</t>
  </si>
  <si>
    <t>Denver Nuggets</t>
  </si>
  <si>
    <t>Washington Wizards</t>
  </si>
  <si>
    <t>Minnesota Timberwolves</t>
  </si>
  <si>
    <t>Atlanta Hawks</t>
  </si>
  <si>
    <t>Golden State Warriors</t>
  </si>
  <si>
    <t>Davis Bertans</t>
  </si>
  <si>
    <t>Los Angeles Clippers</t>
  </si>
  <si>
    <t>Indiana Pacers</t>
  </si>
  <si>
    <t>Bogdan Bogdanovic</t>
  </si>
  <si>
    <t>Bojan Bogdanovic</t>
  </si>
  <si>
    <t>Utah Jazz</t>
  </si>
  <si>
    <t>Bol Bol</t>
  </si>
  <si>
    <t>Detroit Pistons</t>
  </si>
  <si>
    <t>OShae Brissett</t>
  </si>
  <si>
    <t>Boston Celtics</t>
  </si>
  <si>
    <t>Philadelphia Sixers</t>
  </si>
  <si>
    <t>Houston Rockets</t>
  </si>
  <si>
    <t>Devontae Cacok</t>
  </si>
  <si>
    <t>Vlatko Cancar</t>
  </si>
  <si>
    <t>Cleveland Cavaliers</t>
  </si>
  <si>
    <t>Luka Doncic</t>
  </si>
  <si>
    <t>P.J. Dozier</t>
  </si>
  <si>
    <t>Goran Dragic</t>
  </si>
  <si>
    <t>Kevin Durant</t>
  </si>
  <si>
    <t>Cristiano Felicio</t>
  </si>
  <si>
    <t>Joshia Gray</t>
  </si>
  <si>
    <t>Juancho Hernangomez</t>
  </si>
  <si>
    <t>Willy Hernangomez</t>
  </si>
  <si>
    <t>Ersan Ilyasova</t>
  </si>
  <si>
    <t>Nikola Jokic</t>
  </si>
  <si>
    <t>Skal Labissiere</t>
  </si>
  <si>
    <t>Timothe Luwawu-Cabarrot</t>
  </si>
  <si>
    <t>Boban Marjanovic</t>
  </si>
  <si>
    <t>C.J. McCollum</t>
  </si>
  <si>
    <t>Nicolo Melli</t>
  </si>
  <si>
    <t>Darius Miller</t>
  </si>
  <si>
    <t>Dzanan Musa</t>
  </si>
  <si>
    <t>Jusuf Nurkic</t>
  </si>
  <si>
    <t>Anzejs Pasecniks</t>
  </si>
  <si>
    <t>Jakob Poeltl</t>
  </si>
  <si>
    <t>Kristaps Porzingis</t>
  </si>
  <si>
    <t>Taurean Prince</t>
  </si>
  <si>
    <t>Cam Reynolds</t>
  </si>
  <si>
    <t>Andre Roberson</t>
  </si>
  <si>
    <t>Luka Samanic</t>
  </si>
  <si>
    <t>Dario Saric</t>
  </si>
  <si>
    <t>Tomas Satoransky</t>
  </si>
  <si>
    <t>Dennis Schroder</t>
  </si>
  <si>
    <t>Kobi Simmons</t>
  </si>
  <si>
    <t>Alen Smailagic</t>
  </si>
  <si>
    <t>Raymond Spalding</t>
  </si>
  <si>
    <t>Klay Thompson</t>
  </si>
  <si>
    <t>Jarrod Uthoff</t>
  </si>
  <si>
    <t>Jonas Valanciunas</t>
  </si>
  <si>
    <t>Nikola Vucevic</t>
  </si>
  <si>
    <t>John Wall</t>
  </si>
  <si>
    <t>Dylan Windler</t>
  </si>
  <si>
    <t>Kenny Wooten</t>
  </si>
  <si>
    <t>Ante Zizic</t>
  </si>
  <si>
    <t>Team</t>
  </si>
  <si>
    <t>ABR</t>
  </si>
  <si>
    <t>ZAST</t>
  </si>
  <si>
    <t>ZPTS</t>
  </si>
  <si>
    <t>ZSTL</t>
  </si>
  <si>
    <t>ZBLK</t>
  </si>
  <si>
    <t>Z3</t>
  </si>
  <si>
    <t>ZREB</t>
  </si>
  <si>
    <t>ZTO</t>
  </si>
  <si>
    <t>Justin Anderson</t>
  </si>
  <si>
    <t>Ryan Anderson</t>
  </si>
  <si>
    <t>Jonah Bolden</t>
  </si>
  <si>
    <t>Marques Bolden</t>
  </si>
  <si>
    <t>Ryan Broekhoff</t>
  </si>
  <si>
    <t>Trey Burke</t>
  </si>
  <si>
    <t>Joe Chealey</t>
  </si>
  <si>
    <t>Tyler Cook</t>
  </si>
  <si>
    <t>Allen Crabbe</t>
  </si>
  <si>
    <t>Troy Daniels</t>
  </si>
  <si>
    <t>Matthew Dellavedova</t>
  </si>
  <si>
    <t>Henry Ellenson</t>
  </si>
  <si>
    <t>Tim Frazier</t>
  </si>
  <si>
    <t>Josh Gray</t>
  </si>
  <si>
    <t>Devon Hall</t>
  </si>
  <si>
    <t>Dusty Hannahs</t>
  </si>
  <si>
    <t>Amile Jefferson</t>
  </si>
  <si>
    <t>Tyler Johnson</t>
  </si>
  <si>
    <t>Stanton Kidd</t>
  </si>
  <si>
    <t>Daryl Macon</t>
  </si>
  <si>
    <t>J.P. Macura</t>
  </si>
  <si>
    <t>Josh Magette</t>
  </si>
  <si>
    <t>Jordan McRae</t>
  </si>
  <si>
    <t>Eric Mika</t>
  </si>
  <si>
    <t>C.J. Miles</t>
  </si>
  <si>
    <t>Naz Mitrou-Long</t>
  </si>
  <si>
    <t>Sviatoslav Mykhailiuk</t>
  </si>
  <si>
    <t>Raul Neto</t>
  </si>
  <si>
    <t>Malik Newman</t>
  </si>
  <si>
    <t>Zach Norvell</t>
  </si>
  <si>
    <t>David Nwaba</t>
  </si>
  <si>
    <t>Jeremy Pargo</t>
  </si>
  <si>
    <t>Chandler Parsons</t>
  </si>
  <si>
    <t>Justin Patton</t>
  </si>
  <si>
    <t>Shamorie Ponds</t>
  </si>
  <si>
    <t>Chasson Randle</t>
  </si>
  <si>
    <t>Justin Robinson</t>
  </si>
  <si>
    <t>Iman Shumpert</t>
  </si>
  <si>
    <t>Isaiah Thomas</t>
  </si>
  <si>
    <t>Anthony Tolliver</t>
  </si>
  <si>
    <t>Moritz Wagner</t>
  </si>
  <si>
    <t>Dion Waiters</t>
  </si>
  <si>
    <t>Tyrone Wallace</t>
  </si>
  <si>
    <t>Derrick Walton</t>
  </si>
  <si>
    <t>Dom Pointer</t>
  </si>
  <si>
    <t>Marvin Bagley III</t>
  </si>
  <si>
    <t>Brian Bowen II</t>
  </si>
  <si>
    <t>Bruce Brown, Jr.</t>
  </si>
  <si>
    <t>Troy Brown, Jr.</t>
  </si>
  <si>
    <t>Wendell Carter, Jr.</t>
  </si>
  <si>
    <t>Matt Dellavedova</t>
  </si>
  <si>
    <t>Melvin Frazier, Jr.</t>
  </si>
  <si>
    <t>Tim Hardaway Jr.</t>
  </si>
  <si>
    <t>Jaren Jackson, Jr.</t>
  </si>
  <si>
    <t>Naz Long</t>
  </si>
  <si>
    <t>Svi Mykhailiuk</t>
  </si>
  <si>
    <t>Larry Nance, Jr.</t>
  </si>
  <si>
    <t>Raulzinho Neto</t>
  </si>
  <si>
    <t>Kelly Oubre, Jr.</t>
  </si>
  <si>
    <t>Gary Payton II</t>
  </si>
  <si>
    <t>Kevin Porter, Jr.</t>
  </si>
  <si>
    <t>Michael Porter, Jr.</t>
  </si>
  <si>
    <t>Gary Trent, Jr.</t>
  </si>
  <si>
    <t>Moe Wagner</t>
  </si>
  <si>
    <t>OG Anunoby</t>
  </si>
  <si>
    <t>Mo Bamba</t>
  </si>
  <si>
    <t>RJ Barrett</t>
  </si>
  <si>
    <t>Dāvis Bertāns</t>
  </si>
  <si>
    <t>Bogdan Bogdanović</t>
  </si>
  <si>
    <t>Bojan Bogdanović</t>
  </si>
  <si>
    <t>Vlatko Čančar</t>
  </si>
  <si>
    <t>Luka Dončić</t>
  </si>
  <si>
    <t>PJ Dozier</t>
  </si>
  <si>
    <t>Goran Dragić</t>
  </si>
  <si>
    <t>Cristiano Felício</t>
  </si>
  <si>
    <t>Juan Hernangómez</t>
  </si>
  <si>
    <t>Willy Hernangómez</t>
  </si>
  <si>
    <t>Ersan İlyasova</t>
  </si>
  <si>
    <t>Nikola Jokić</t>
  </si>
  <si>
    <t>Skal Labissière</t>
  </si>
  <si>
    <t>Timothé Luwawu-Cabarrot</t>
  </si>
  <si>
    <t>Boban Marjanović</t>
  </si>
  <si>
    <t>CJ McCollum</t>
  </si>
  <si>
    <t>Nicolò Melli</t>
  </si>
  <si>
    <t>Džanan Musa</t>
  </si>
  <si>
    <t>Anžejs Pasečņiks</t>
  </si>
  <si>
    <t>Jakob Pöltl</t>
  </si>
  <si>
    <t>Kristaps Porziņģis</t>
  </si>
  <si>
    <t>Luka Šamanić</t>
  </si>
  <si>
    <t>Dario Šarić</t>
  </si>
  <si>
    <t>Tomáš Satoranský</t>
  </si>
  <si>
    <t>Dennis Schröder</t>
  </si>
  <si>
    <t>Alen Smailagić</t>
  </si>
  <si>
    <t>Jonas Valančiūnas</t>
  </si>
  <si>
    <t>Nikola Vučević</t>
  </si>
  <si>
    <t>Taurean Waller-Prince</t>
  </si>
  <si>
    <t>Ante Žižić</t>
  </si>
  <si>
    <t>Real</t>
  </si>
  <si>
    <t>Modified</t>
  </si>
  <si>
    <t>Jusuf Nurkić</t>
  </si>
  <si>
    <t>Compare Range</t>
  </si>
  <si>
    <t>Abbreviations</t>
  </si>
  <si>
    <t>Sheldon Mac</t>
  </si>
  <si>
    <t>Jontay Porter</t>
  </si>
  <si>
    <t>ZFG%</t>
  </si>
  <si>
    <t>ZFT%</t>
  </si>
  <si>
    <t>Value</t>
  </si>
  <si>
    <t>Joakim Noah</t>
  </si>
  <si>
    <t>Dataset</t>
  </si>
  <si>
    <t>Per Game Data</t>
  </si>
  <si>
    <t>Troy Brown Jr.</t>
  </si>
  <si>
    <t>Wendell Carter Jr.</t>
  </si>
  <si>
    <t>Jaren Jackson Jr.</t>
  </si>
  <si>
    <t>Derrick Jones Jr.</t>
  </si>
  <si>
    <t>Frank Mason III</t>
  </si>
  <si>
    <t>Larry Nance Jr.</t>
  </si>
  <si>
    <t>Kelly Oubre Jr.</t>
  </si>
  <si>
    <t>Kevin Porter Jr.</t>
  </si>
  <si>
    <t>Michael Porter Jr.</t>
  </si>
  <si>
    <t>Glenn Robinson III</t>
  </si>
  <si>
    <t>Dennis Smith Jr.</t>
  </si>
  <si>
    <t>Gary Trent Jr.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</si>
</sst>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20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/>
        <bgColor theme="8"/>
      </patternFill>
    </fill>
  </fills>
  <borders count="4">
    <border>
      <left/>
      <right/>
      <top/>
      <bottom/>
      <diagonal/>
    </border>
    <border>
      <left style="thin">
        <color theme="8" tint="0.39997558519241921"/>
      </left>
      <right/>
      <top style="thin">
        <color theme="8" tint="0.39997558519241921"/>
      </top>
      <bottom style="thin">
        <color theme="8" tint="0.39997558519241921"/>
      </bottom>
      <diagonal/>
    </border>
    <border>
      <left/>
      <right/>
      <top style="thin">
        <color theme="8" tint="0.39997558519241921"/>
      </top>
      <bottom style="thin">
        <color theme="8" tint="0.39997558519241921"/>
      </bottom>
      <diagonal/>
    </border>
    <border>
      <left/>
      <right style="thin">
        <color theme="8" tint="0.39997558519241921"/>
      </right>
      <top style="thin">
        <color theme="8" tint="0.39997558519241921"/>
      </top>
      <bottom style="thin">
        <color theme="8" tint="0.39997558519241921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NumberFormat="1"/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0" fillId="0" borderId="0" xfId="0" applyFont="1" applyAlignment="1">
      <alignment horizontal="left"/>
    </xf>
    <xf numFmtId="0" fontId="0" fillId="0" borderId="0" xfId="0"/>
    <xf numFmtId="0" fontId="0" fillId="0" borderId="0" xfId="0" applyFont="1"/>
    <xf numFmtId="0" fontId="2" fillId="0" borderId="0" xfId="0" applyFont="1"/>
    <xf numFmtId="0" fontId="2" fillId="0" borderId="0" xfId="0" applyFont="1" applyAlignment="1">
      <alignment horizontal="left"/>
    </xf>
    <xf numFmtId="0" fontId="2" fillId="0" borderId="0" xfId="0" applyFont="1" applyAlignment="1">
      <alignment horizontal="right"/>
    </xf>
    <xf numFmtId="0" fontId="3" fillId="0" borderId="0" xfId="0" applyFont="1" applyAlignment="1">
      <alignment horizontal="right"/>
    </xf>
    <xf numFmtId="0" fontId="4" fillId="2" borderId="1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 vertical="center"/>
    </xf>
    <xf numFmtId="0" fontId="4" fillId="2" borderId="3" xfId="0" applyFont="1" applyFill="1" applyBorder="1" applyAlignment="1">
      <alignment horizontal="right" vertical="center"/>
    </xf>
    <xf numFmtId="0" fontId="4" fillId="2" borderId="0" xfId="0" applyFont="1" applyFill="1" applyBorder="1" applyAlignment="1">
      <alignment horizontal="right" vertical="center"/>
    </xf>
    <xf numFmtId="0" fontId="5" fillId="0" borderId="0" xfId="0" applyFont="1" applyAlignment="1">
      <alignment vertical="center"/>
    </xf>
    <xf numFmtId="2" fontId="0" fillId="0" borderId="0" xfId="0" applyNumberFormat="1"/>
    <xf numFmtId="0" fontId="1" fillId="0" borderId="0" xfId="0" applyFont="1" applyAlignment="1">
      <alignment horizontal="center"/>
    </xf>
  </cellXfs>
  <cellStyles count="1">
    <cellStyle name="Normal" xfId="0" builtinId="0"/>
  </cellStyles>
  <dxfs count="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refreshOnLoad="1" connectionId="2" xr16:uid="{F507FB81-D4B5-450E-913E-C913D5B4F417}" autoFormatId="16" applyNumberFormats="0" applyBorderFormats="0" applyFontFormats="0" applyPatternFormats="0" applyAlignmentFormats="0" applyWidthHeightFormats="0">
  <queryTableRefresh nextId="18">
    <queryTableFields count="16">
      <queryTableField id="1" name="Player" tableColumnId="1"/>
      <queryTableField id="2" name="Pos" tableColumnId="2"/>
      <queryTableField id="3" name="Tm" tableColumnId="3"/>
      <queryTableField id="4" name="G" tableColumnId="4"/>
      <queryTableField id="5" name="MP" tableColumnId="5"/>
      <queryTableField id="6" name="FGA" tableColumnId="6"/>
      <queryTableField id="7" name="FG%" tableColumnId="7"/>
      <queryTableField id="8" name="3P" tableColumnId="8"/>
      <queryTableField id="9" name="FTA" tableColumnId="9"/>
      <queryTableField id="10" name="FT%" tableColumnId="10"/>
      <queryTableField id="11" name="TRB" tableColumnId="11"/>
      <queryTableField id="12" name="AST" tableColumnId="12"/>
      <queryTableField id="13" name="STL" tableColumnId="13"/>
      <queryTableField id="14" name="BLK" tableColumnId="14"/>
      <queryTableField id="15" name="TOV" tableColumnId="15"/>
      <queryTableField id="16" name="PTS" tableColumnId="1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refreshOnLoad="1" connectionId="1" xr16:uid="{8DC71C51-E400-48E6-B3E5-09BE82816A4D}" autoFormatId="16" applyNumberFormats="0" applyBorderFormats="0" applyFontFormats="0" applyPatternFormats="0" applyAlignmentFormats="0" applyWidthHeightFormats="0">
  <queryTableRefresh nextId="15">
    <queryTableFields count="2">
      <queryTableField id="2" name="Player" tableColumnId="2"/>
      <queryTableField id="7" name="Current Team" tableColumnId="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06306B5-40FB-4560-B4E8-A02FD5403019}" name="Player_Per_Game_Table" displayName="Player_Per_Game_Table" ref="A1:P625" tableType="queryTable" totalsRowShown="0">
  <tableColumns count="16">
    <tableColumn id="1" xr3:uid="{3C63990E-0BB8-4461-A6D9-57BB27F754D1}" uniqueName="1" name="Player" queryTableFieldId="1" dataDxfId="4"/>
    <tableColumn id="2" xr3:uid="{FD9D9FFB-727E-4091-89B3-C7C193581B7A}" uniqueName="2" name="Pos" queryTableFieldId="2" dataDxfId="3"/>
    <tableColumn id="3" xr3:uid="{FDB3D923-9D91-4AF9-8C80-BBE8013E6499}" uniqueName="3" name="Tm" queryTableFieldId="3" dataDxfId="2"/>
    <tableColumn id="4" xr3:uid="{BFDEFD62-B859-418E-978E-115D21799AC4}" uniqueName="4" name="G" queryTableFieldId="4"/>
    <tableColumn id="5" xr3:uid="{DAF974A1-6B7B-421D-84A4-98C01AF8D32A}" uniqueName="5" name="MP" queryTableFieldId="5"/>
    <tableColumn id="6" xr3:uid="{87912F5D-9172-48D3-97E6-92FA302A83FD}" uniqueName="6" name="FGA" queryTableFieldId="6"/>
    <tableColumn id="7" xr3:uid="{A5A99F2C-DEFD-4A6F-89F8-3B16E015A6D5}" uniqueName="7" name="FG%" queryTableFieldId="7"/>
    <tableColumn id="8" xr3:uid="{45B3BB36-D67B-4C9E-AF7B-2A6C7F63D710}" uniqueName="8" name="3P" queryTableFieldId="8"/>
    <tableColumn id="9" xr3:uid="{1D896854-14BD-4E7E-886B-7B86B6B6FC17}" uniqueName="9" name="FTA" queryTableFieldId="9"/>
    <tableColumn id="10" xr3:uid="{3B1B2AE9-1917-4827-B4A5-436D4C03EBEB}" uniqueName="10" name="FT%" queryTableFieldId="10"/>
    <tableColumn id="11" xr3:uid="{F2CC284F-9B5B-4888-B1D7-0DEBC4EF66C4}" uniqueName="11" name="TRB" queryTableFieldId="11"/>
    <tableColumn id="12" xr3:uid="{A19C669E-52BB-4F92-9372-EDF7BF058E33}" uniqueName="12" name="AST" queryTableFieldId="12"/>
    <tableColumn id="13" xr3:uid="{4F006894-13A4-4B73-8F92-622F4A0EE2E5}" uniqueName="13" name="STL" queryTableFieldId="13"/>
    <tableColumn id="14" xr3:uid="{513784DE-E677-446A-8624-F9A9D83848E0}" uniqueName="14" name="BLK" queryTableFieldId="14"/>
    <tableColumn id="15" xr3:uid="{12353899-76BE-440E-A82D-7A6396BA1868}" uniqueName="15" name="TOV" queryTableFieldId="15"/>
    <tableColumn id="16" xr3:uid="{4FAB8121-1A8D-4A6C-9F18-6B03276E8E86}" uniqueName="16" name="PTS" queryTableFieldId="16"/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B984F3D-E255-48AE-9E83-FDA4F2B466F1}" name="Player_Teams" displayName="Player_Teams" ref="A1:B491" tableType="queryTable" totalsRowShown="0">
  <tableColumns count="2">
    <tableColumn id="2" xr3:uid="{61A26C58-22B8-4A4E-881C-E49705BE09E3}" uniqueName="2" name="Player" queryTableFieldId="2" dataDxfId="1"/>
    <tableColumn id="7" xr3:uid="{7050DD09-DC22-4609-9398-4982861FA705}" uniqueName="7" name="Current Team" queryTableFieldId="7" dataDxfId="0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4C9B2-0BA9-4E29-9D5C-52358193A939}">
  <sheetPr codeName="Sheet5"/>
  <dimension ref="A1:P625"/>
  <sheetViews>
    <sheetView topLeftCell="A174" workbookViewId="0">
      <selection activeCell="Q9" sqref="Q9"/>
    </sheetView>
  </sheetViews>
  <sheetFormatPr defaultRowHeight="14.5" x14ac:dyDescent="0.35"/>
  <cols>
    <col min="1" max="1" width="23.36328125" style="7" bestFit="1" customWidth="1"/>
    <col min="2" max="2" width="5.453125" style="7" bestFit="1" customWidth="1"/>
    <col min="3" max="3" width="5.26953125" style="7" bestFit="1" customWidth="1"/>
    <col min="4" max="4" width="2.81640625" style="7" bestFit="1" customWidth="1"/>
    <col min="5" max="6" width="4.81640625" style="7" bestFit="1" customWidth="1"/>
    <col min="7" max="7" width="5.81640625" style="7" bestFit="1" customWidth="1"/>
    <col min="8" max="8" width="3.81640625" style="7" bestFit="1" customWidth="1"/>
    <col min="9" max="9" width="4.81640625" style="7" bestFit="1" customWidth="1"/>
    <col min="10" max="10" width="5.81640625" style="7" bestFit="1" customWidth="1"/>
    <col min="11" max="12" width="4.81640625" style="7" bestFit="1" customWidth="1"/>
    <col min="13" max="14" width="3.81640625" style="7" bestFit="1" customWidth="1"/>
    <col min="15" max="15" width="4.36328125" style="7" bestFit="1" customWidth="1"/>
    <col min="16" max="16" width="4.81640625" style="7" bestFit="1" customWidth="1"/>
  </cols>
  <sheetData>
    <row r="1" spans="1:16" x14ac:dyDescent="0.35">
      <c r="A1" s="7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7</v>
      </c>
      <c r="I1" s="7" t="s">
        <v>8</v>
      </c>
      <c r="J1" s="7" t="s">
        <v>9</v>
      </c>
      <c r="K1" s="7" t="s">
        <v>10</v>
      </c>
      <c r="L1" s="7" t="s">
        <v>11</v>
      </c>
      <c r="M1" s="7" t="s">
        <v>12</v>
      </c>
      <c r="N1" s="7" t="s">
        <v>13</v>
      </c>
      <c r="O1" s="7" t="s">
        <v>14</v>
      </c>
      <c r="P1" s="7" t="s">
        <v>16</v>
      </c>
    </row>
    <row r="2" spans="1:16" x14ac:dyDescent="0.35">
      <c r="A2" s="1" t="s">
        <v>17</v>
      </c>
      <c r="B2" s="1" t="s">
        <v>18</v>
      </c>
      <c r="C2" s="1" t="s">
        <v>19</v>
      </c>
      <c r="D2" s="7">
        <v>58</v>
      </c>
      <c r="E2" s="7">
        <v>27</v>
      </c>
      <c r="F2" s="7">
        <v>7.6</v>
      </c>
      <c r="G2" s="7">
        <v>0.59099999999999997</v>
      </c>
      <c r="H2" s="7">
        <v>0</v>
      </c>
      <c r="I2" s="7">
        <v>3.2</v>
      </c>
      <c r="J2" s="7">
        <v>0.59</v>
      </c>
      <c r="K2" s="7">
        <v>9.4</v>
      </c>
      <c r="L2" s="7">
        <v>2.4</v>
      </c>
      <c r="M2" s="7">
        <v>0.9</v>
      </c>
      <c r="N2" s="7">
        <v>1.1000000000000001</v>
      </c>
      <c r="O2" s="7">
        <v>1.5</v>
      </c>
      <c r="P2" s="7">
        <v>10.9</v>
      </c>
    </row>
    <row r="3" spans="1:16" x14ac:dyDescent="0.35">
      <c r="A3" s="1" t="s">
        <v>20</v>
      </c>
      <c r="B3" s="1" t="s">
        <v>15</v>
      </c>
      <c r="C3" s="1" t="s">
        <v>21</v>
      </c>
      <c r="D3" s="7">
        <v>65</v>
      </c>
      <c r="E3" s="7">
        <v>34.4</v>
      </c>
      <c r="F3" s="7">
        <v>11.1</v>
      </c>
      <c r="G3" s="7">
        <v>0.56699999999999995</v>
      </c>
      <c r="H3" s="7">
        <v>0</v>
      </c>
      <c r="I3" s="7">
        <v>5.3</v>
      </c>
      <c r="J3" s="7">
        <v>0.69</v>
      </c>
      <c r="K3" s="7">
        <v>10.5</v>
      </c>
      <c r="L3" s="7">
        <v>5.0999999999999996</v>
      </c>
      <c r="M3" s="7">
        <v>1.2</v>
      </c>
      <c r="N3" s="7">
        <v>1.3</v>
      </c>
      <c r="O3" s="7">
        <v>2.8</v>
      </c>
      <c r="P3" s="7">
        <v>16.2</v>
      </c>
    </row>
    <row r="4" spans="1:16" x14ac:dyDescent="0.35">
      <c r="A4" s="1" t="s">
        <v>22</v>
      </c>
      <c r="B4" s="1" t="s">
        <v>18</v>
      </c>
      <c r="C4" s="1" t="s">
        <v>23</v>
      </c>
      <c r="D4" s="7">
        <v>53</v>
      </c>
      <c r="E4" s="7">
        <v>33.1</v>
      </c>
      <c r="F4" s="7">
        <v>15</v>
      </c>
      <c r="G4" s="7">
        <v>0.49299999999999999</v>
      </c>
      <c r="H4" s="7">
        <v>1.2</v>
      </c>
      <c r="I4" s="7">
        <v>3.6</v>
      </c>
      <c r="J4" s="7">
        <v>0.82699999999999996</v>
      </c>
      <c r="K4" s="7">
        <v>7.4</v>
      </c>
      <c r="L4" s="7">
        <v>2.4</v>
      </c>
      <c r="M4" s="7">
        <v>0.7</v>
      </c>
      <c r="N4" s="7">
        <v>1.6</v>
      </c>
      <c r="O4" s="7">
        <v>1.4</v>
      </c>
      <c r="P4" s="7">
        <v>18.899999999999999</v>
      </c>
    </row>
    <row r="5" spans="1:16" x14ac:dyDescent="0.35">
      <c r="A5" s="1" t="s">
        <v>24</v>
      </c>
      <c r="B5" s="1" t="s">
        <v>25</v>
      </c>
      <c r="C5" s="1" t="s">
        <v>26</v>
      </c>
      <c r="D5" s="7">
        <v>41</v>
      </c>
      <c r="E5" s="7">
        <v>12.2</v>
      </c>
      <c r="F5" s="7">
        <v>5.5</v>
      </c>
      <c r="G5" s="7">
        <v>0.33900000000000002</v>
      </c>
      <c r="H5" s="7">
        <v>1</v>
      </c>
      <c r="I5" s="7">
        <v>0.7</v>
      </c>
      <c r="J5" s="7">
        <v>0.60699999999999998</v>
      </c>
      <c r="K5" s="7">
        <v>2</v>
      </c>
      <c r="L5" s="7">
        <v>1.8</v>
      </c>
      <c r="M5" s="7">
        <v>0.3</v>
      </c>
      <c r="N5" s="7">
        <v>0.2</v>
      </c>
      <c r="O5" s="7">
        <v>1</v>
      </c>
      <c r="P5" s="7">
        <v>5.0999999999999996</v>
      </c>
    </row>
    <row r="6" spans="1:16" x14ac:dyDescent="0.35">
      <c r="A6" s="1" t="s">
        <v>27</v>
      </c>
      <c r="B6" s="1" t="s">
        <v>25</v>
      </c>
      <c r="C6" s="1" t="s">
        <v>28</v>
      </c>
      <c r="D6" s="7">
        <v>30</v>
      </c>
      <c r="E6" s="7">
        <v>16.600000000000001</v>
      </c>
      <c r="F6" s="7">
        <v>5.9</v>
      </c>
      <c r="G6" s="7">
        <v>0.44900000000000001</v>
      </c>
      <c r="H6" s="7">
        <v>1.1000000000000001</v>
      </c>
      <c r="I6" s="7">
        <v>1.2</v>
      </c>
      <c r="J6" s="7">
        <v>0.85699999999999998</v>
      </c>
      <c r="K6" s="7">
        <v>2.2000000000000002</v>
      </c>
      <c r="L6" s="7">
        <v>1.4</v>
      </c>
      <c r="M6" s="7">
        <v>0.2</v>
      </c>
      <c r="N6" s="7">
        <v>0</v>
      </c>
      <c r="O6" s="7">
        <v>0.8</v>
      </c>
      <c r="P6" s="7">
        <v>7.4</v>
      </c>
    </row>
    <row r="7" spans="1:16" x14ac:dyDescent="0.35">
      <c r="A7" s="1" t="s">
        <v>29</v>
      </c>
      <c r="B7" s="1" t="s">
        <v>18</v>
      </c>
      <c r="C7" s="1" t="s">
        <v>30</v>
      </c>
      <c r="D7" s="7">
        <v>64</v>
      </c>
      <c r="E7" s="7">
        <v>25.7</v>
      </c>
      <c r="F7" s="7">
        <v>6.5</v>
      </c>
      <c r="G7" s="7">
        <v>0.64600000000000002</v>
      </c>
      <c r="H7" s="7">
        <v>0</v>
      </c>
      <c r="I7" s="7">
        <v>3.7</v>
      </c>
      <c r="J7" s="7">
        <v>0.62</v>
      </c>
      <c r="K7" s="7">
        <v>9.5</v>
      </c>
      <c r="L7" s="7">
        <v>1.3</v>
      </c>
      <c r="M7" s="7">
        <v>0.6</v>
      </c>
      <c r="N7" s="7">
        <v>1.3</v>
      </c>
      <c r="O7" s="7">
        <v>1.1000000000000001</v>
      </c>
      <c r="P7" s="7">
        <v>10.6</v>
      </c>
    </row>
    <row r="8" spans="1:16" x14ac:dyDescent="0.35">
      <c r="A8" s="1" t="s">
        <v>31</v>
      </c>
      <c r="B8" s="1" t="s">
        <v>25</v>
      </c>
      <c r="C8" s="1" t="s">
        <v>32</v>
      </c>
      <c r="D8" s="7">
        <v>10</v>
      </c>
      <c r="E8" s="7">
        <v>11.7</v>
      </c>
      <c r="F8" s="7">
        <v>4.4000000000000004</v>
      </c>
      <c r="G8" s="7">
        <v>0.432</v>
      </c>
      <c r="H8" s="7">
        <v>0.5</v>
      </c>
      <c r="I8" s="7">
        <v>1.1000000000000001</v>
      </c>
      <c r="J8" s="7">
        <v>0.63600000000000001</v>
      </c>
      <c r="K8" s="7">
        <v>0.9</v>
      </c>
      <c r="L8" s="7">
        <v>2.1</v>
      </c>
      <c r="M8" s="7">
        <v>0.5</v>
      </c>
      <c r="N8" s="7">
        <v>0.2</v>
      </c>
      <c r="O8" s="7">
        <v>0.8</v>
      </c>
      <c r="P8" s="7">
        <v>5</v>
      </c>
    </row>
    <row r="9" spans="1:16" x14ac:dyDescent="0.35">
      <c r="A9" s="1" t="s">
        <v>33</v>
      </c>
      <c r="B9" s="1" t="s">
        <v>15</v>
      </c>
      <c r="C9" s="1" t="s">
        <v>34</v>
      </c>
      <c r="D9" s="7">
        <v>18</v>
      </c>
      <c r="E9" s="7">
        <v>21.1</v>
      </c>
      <c r="F9" s="7">
        <v>4.8</v>
      </c>
      <c r="G9" s="7">
        <v>0.29099999999999998</v>
      </c>
      <c r="H9" s="7">
        <v>0.5</v>
      </c>
      <c r="I9" s="7">
        <v>1.6</v>
      </c>
      <c r="J9" s="7">
        <v>0.65500000000000003</v>
      </c>
      <c r="K9" s="7">
        <v>4.8</v>
      </c>
      <c r="L9" s="7">
        <v>1.2</v>
      </c>
      <c r="M9" s="7">
        <v>1</v>
      </c>
      <c r="N9" s="7">
        <v>0.4</v>
      </c>
      <c r="O9" s="7">
        <v>0.9</v>
      </c>
      <c r="P9" s="7">
        <v>4.3</v>
      </c>
    </row>
    <row r="10" spans="1:16" x14ac:dyDescent="0.35">
      <c r="A10" s="1" t="s">
        <v>582</v>
      </c>
      <c r="B10" s="1" t="s">
        <v>35</v>
      </c>
      <c r="C10" s="1" t="s">
        <v>30</v>
      </c>
      <c r="D10" s="7">
        <v>3</v>
      </c>
      <c r="E10" s="7">
        <v>5.7</v>
      </c>
      <c r="F10" s="7">
        <v>2</v>
      </c>
      <c r="G10" s="7">
        <v>0.16700000000000001</v>
      </c>
      <c r="H10" s="7">
        <v>0</v>
      </c>
      <c r="I10" s="7">
        <v>0.7</v>
      </c>
      <c r="J10" s="7">
        <v>0.5</v>
      </c>
      <c r="K10" s="7">
        <v>0.7</v>
      </c>
      <c r="L10" s="7">
        <v>0</v>
      </c>
      <c r="M10" s="7">
        <v>0</v>
      </c>
      <c r="N10" s="7">
        <v>0.3</v>
      </c>
      <c r="O10" s="7">
        <v>0</v>
      </c>
      <c r="P10" s="7">
        <v>1</v>
      </c>
    </row>
    <row r="11" spans="1:16" x14ac:dyDescent="0.35">
      <c r="A11" s="1" t="s">
        <v>36</v>
      </c>
      <c r="B11" s="1" t="s">
        <v>15</v>
      </c>
      <c r="C11" s="1" t="s">
        <v>28</v>
      </c>
      <c r="D11" s="7">
        <v>59</v>
      </c>
      <c r="E11" s="7">
        <v>19.3</v>
      </c>
      <c r="F11" s="7">
        <v>4.7</v>
      </c>
      <c r="G11" s="7">
        <v>0.49299999999999999</v>
      </c>
      <c r="H11" s="7">
        <v>0.3</v>
      </c>
      <c r="I11" s="7">
        <v>1.1000000000000001</v>
      </c>
      <c r="J11" s="7">
        <v>0.65200000000000002</v>
      </c>
      <c r="K11" s="7">
        <v>4.4000000000000004</v>
      </c>
      <c r="L11" s="7">
        <v>2.2000000000000002</v>
      </c>
      <c r="M11" s="7">
        <v>0.8</v>
      </c>
      <c r="N11" s="7">
        <v>0.5</v>
      </c>
      <c r="O11" s="7">
        <v>0.9</v>
      </c>
      <c r="P11" s="7">
        <v>5.7</v>
      </c>
    </row>
    <row r="12" spans="1:16" x14ac:dyDescent="0.35">
      <c r="A12" s="1" t="s">
        <v>583</v>
      </c>
      <c r="B12" s="1" t="s">
        <v>15</v>
      </c>
      <c r="C12" s="1" t="s">
        <v>37</v>
      </c>
      <c r="D12" s="7">
        <v>2</v>
      </c>
      <c r="E12" s="7">
        <v>7</v>
      </c>
      <c r="F12" s="7">
        <v>3.5</v>
      </c>
      <c r="G12" s="7">
        <v>0.28599999999999998</v>
      </c>
      <c r="H12" s="7">
        <v>0.5</v>
      </c>
      <c r="I12" s="7">
        <v>0</v>
      </c>
      <c r="K12" s="7">
        <v>3.5</v>
      </c>
      <c r="L12" s="7">
        <v>1</v>
      </c>
      <c r="M12" s="7">
        <v>0.5</v>
      </c>
      <c r="N12" s="7">
        <v>0</v>
      </c>
      <c r="O12" s="7">
        <v>0.5</v>
      </c>
      <c r="P12" s="7">
        <v>2.5</v>
      </c>
    </row>
    <row r="13" spans="1:16" x14ac:dyDescent="0.35">
      <c r="A13" s="1" t="s">
        <v>38</v>
      </c>
      <c r="B13" s="1" t="s">
        <v>15</v>
      </c>
      <c r="C13" s="1" t="s">
        <v>39</v>
      </c>
      <c r="D13" s="7">
        <v>57</v>
      </c>
      <c r="E13" s="7">
        <v>30.9</v>
      </c>
      <c r="F13" s="7">
        <v>20</v>
      </c>
      <c r="G13" s="7">
        <v>0.54700000000000004</v>
      </c>
      <c r="H13" s="7">
        <v>1.5</v>
      </c>
      <c r="I13" s="7">
        <v>10</v>
      </c>
      <c r="J13" s="7">
        <v>0.63300000000000001</v>
      </c>
      <c r="K13" s="7">
        <v>13.7</v>
      </c>
      <c r="L13" s="7">
        <v>5.8</v>
      </c>
      <c r="M13" s="7">
        <v>1</v>
      </c>
      <c r="N13" s="7">
        <v>1</v>
      </c>
      <c r="O13" s="7">
        <v>3.7</v>
      </c>
      <c r="P13" s="7">
        <v>29.6</v>
      </c>
    </row>
    <row r="14" spans="1:16" x14ac:dyDescent="0.35">
      <c r="A14" s="1" t="s">
        <v>40</v>
      </c>
      <c r="B14" s="1" t="s">
        <v>15</v>
      </c>
      <c r="C14" s="1" t="s">
        <v>41</v>
      </c>
      <c r="D14" s="7">
        <v>3</v>
      </c>
      <c r="E14" s="7">
        <v>1.7</v>
      </c>
      <c r="F14" s="7">
        <v>0</v>
      </c>
      <c r="H14" s="7">
        <v>0</v>
      </c>
      <c r="I14" s="7">
        <v>0</v>
      </c>
      <c r="K14" s="7">
        <v>0.3</v>
      </c>
      <c r="L14" s="7">
        <v>0.3</v>
      </c>
      <c r="M14" s="7">
        <v>0</v>
      </c>
      <c r="N14" s="7">
        <v>0</v>
      </c>
      <c r="O14" s="7">
        <v>0</v>
      </c>
      <c r="P14" s="7">
        <v>0</v>
      </c>
    </row>
    <row r="15" spans="1:16" x14ac:dyDescent="0.35">
      <c r="A15" s="1" t="s">
        <v>42</v>
      </c>
      <c r="B15" s="1" t="s">
        <v>35</v>
      </c>
      <c r="C15" s="1" t="s">
        <v>39</v>
      </c>
      <c r="D15" s="7">
        <v>18</v>
      </c>
      <c r="E15" s="7">
        <v>5.2</v>
      </c>
      <c r="F15" s="7">
        <v>2</v>
      </c>
      <c r="G15" s="7">
        <v>0.52800000000000002</v>
      </c>
      <c r="H15" s="7">
        <v>0</v>
      </c>
      <c r="I15" s="7">
        <v>0.8</v>
      </c>
      <c r="J15" s="7">
        <v>0.46700000000000003</v>
      </c>
      <c r="K15" s="7">
        <v>1.1000000000000001</v>
      </c>
      <c r="L15" s="7">
        <v>0.5</v>
      </c>
      <c r="M15" s="7">
        <v>0.3</v>
      </c>
      <c r="N15" s="7">
        <v>0.1</v>
      </c>
      <c r="O15" s="7">
        <v>0.6</v>
      </c>
      <c r="P15" s="7">
        <v>2.5</v>
      </c>
    </row>
    <row r="16" spans="1:16" x14ac:dyDescent="0.35">
      <c r="A16" s="1" t="s">
        <v>43</v>
      </c>
      <c r="B16" s="1" t="s">
        <v>15</v>
      </c>
      <c r="C16" s="1" t="s">
        <v>44</v>
      </c>
      <c r="D16" s="7">
        <v>50</v>
      </c>
      <c r="E16" s="7">
        <v>32.5</v>
      </c>
      <c r="F16" s="7">
        <v>13.6</v>
      </c>
      <c r="G16" s="7">
        <v>0.42599999999999999</v>
      </c>
      <c r="H16" s="7">
        <v>1.4</v>
      </c>
      <c r="I16" s="7">
        <v>2.7</v>
      </c>
      <c r="J16" s="7">
        <v>0.84299999999999997</v>
      </c>
      <c r="K16" s="7">
        <v>6.3</v>
      </c>
      <c r="L16" s="7">
        <v>1.6</v>
      </c>
      <c r="M16" s="7">
        <v>0.8</v>
      </c>
      <c r="N16" s="7">
        <v>0.5</v>
      </c>
      <c r="O16" s="7">
        <v>1.7</v>
      </c>
      <c r="P16" s="7">
        <v>15.3</v>
      </c>
    </row>
    <row r="17" spans="1:16" x14ac:dyDescent="0.35">
      <c r="A17" s="1" t="s">
        <v>646</v>
      </c>
      <c r="B17" s="1" t="s">
        <v>35</v>
      </c>
      <c r="C17" s="1" t="s">
        <v>45</v>
      </c>
      <c r="D17" s="7">
        <v>63</v>
      </c>
      <c r="E17" s="7">
        <v>30.1</v>
      </c>
      <c r="F17" s="7">
        <v>8.4</v>
      </c>
      <c r="G17" s="7">
        <v>0.50700000000000001</v>
      </c>
      <c r="H17" s="7">
        <v>1.3</v>
      </c>
      <c r="I17" s="7">
        <v>1.4</v>
      </c>
      <c r="J17" s="7">
        <v>0.68600000000000005</v>
      </c>
      <c r="K17" s="7">
        <v>5.4</v>
      </c>
      <c r="L17" s="7">
        <v>1.6</v>
      </c>
      <c r="M17" s="7">
        <v>1.4</v>
      </c>
      <c r="N17" s="7">
        <v>0.7</v>
      </c>
      <c r="O17" s="7">
        <v>1.2</v>
      </c>
      <c r="P17" s="7">
        <v>10.7</v>
      </c>
    </row>
    <row r="18" spans="1:16" x14ac:dyDescent="0.35">
      <c r="A18" s="1" t="s">
        <v>46</v>
      </c>
      <c r="B18" s="1" t="s">
        <v>47</v>
      </c>
      <c r="C18" s="1" t="s">
        <v>48</v>
      </c>
      <c r="D18" s="7">
        <v>58</v>
      </c>
      <c r="E18" s="7">
        <v>16</v>
      </c>
      <c r="F18" s="7">
        <v>3.8</v>
      </c>
      <c r="G18" s="7">
        <v>0.40899999999999997</v>
      </c>
      <c r="H18" s="7">
        <v>0.9</v>
      </c>
      <c r="I18" s="7">
        <v>0.7</v>
      </c>
      <c r="J18" s="7">
        <v>0.71099999999999997</v>
      </c>
      <c r="K18" s="7">
        <v>1.9</v>
      </c>
      <c r="L18" s="7">
        <v>1.7</v>
      </c>
      <c r="M18" s="7">
        <v>0.5</v>
      </c>
      <c r="N18" s="7">
        <v>0.1</v>
      </c>
      <c r="O18" s="7">
        <v>0.6</v>
      </c>
      <c r="P18" s="7">
        <v>4.5</v>
      </c>
    </row>
    <row r="19" spans="1:16" x14ac:dyDescent="0.35">
      <c r="A19" s="1" t="s">
        <v>49</v>
      </c>
      <c r="B19" s="1" t="s">
        <v>35</v>
      </c>
      <c r="C19" s="1" t="s">
        <v>50</v>
      </c>
      <c r="D19" s="7">
        <v>53</v>
      </c>
      <c r="E19" s="7">
        <v>28.2</v>
      </c>
      <c r="F19" s="7">
        <v>6.1</v>
      </c>
      <c r="G19" s="7">
        <v>0.438</v>
      </c>
      <c r="H19" s="7">
        <v>1.5</v>
      </c>
      <c r="I19" s="7">
        <v>1.4</v>
      </c>
      <c r="J19" s="7">
        <v>0.83799999999999997</v>
      </c>
      <c r="K19" s="7">
        <v>4.5999999999999996</v>
      </c>
      <c r="L19" s="7">
        <v>1.7</v>
      </c>
      <c r="M19" s="7">
        <v>1.3</v>
      </c>
      <c r="N19" s="7">
        <v>0.3</v>
      </c>
      <c r="O19" s="7">
        <v>1.1000000000000001</v>
      </c>
      <c r="P19" s="7">
        <v>8</v>
      </c>
    </row>
    <row r="20" spans="1:16" x14ac:dyDescent="0.35">
      <c r="A20" s="1" t="s">
        <v>49</v>
      </c>
      <c r="B20" s="1" t="s">
        <v>35</v>
      </c>
      <c r="C20" s="1" t="s">
        <v>51</v>
      </c>
      <c r="D20" s="7">
        <v>32</v>
      </c>
      <c r="E20" s="7">
        <v>24.7</v>
      </c>
      <c r="F20" s="7">
        <v>5.2</v>
      </c>
      <c r="G20" s="7">
        <v>0.38800000000000001</v>
      </c>
      <c r="H20" s="7">
        <v>1.3</v>
      </c>
      <c r="I20" s="7">
        <v>0.8</v>
      </c>
      <c r="J20" s="7">
        <v>0.77800000000000002</v>
      </c>
      <c r="K20" s="7">
        <v>4.5999999999999996</v>
      </c>
      <c r="L20" s="7">
        <v>1.6</v>
      </c>
      <c r="M20" s="7">
        <v>1.1000000000000001</v>
      </c>
      <c r="N20" s="7">
        <v>0.2</v>
      </c>
      <c r="O20" s="7">
        <v>0.9</v>
      </c>
      <c r="P20" s="7">
        <v>6</v>
      </c>
    </row>
    <row r="21" spans="1:16" x14ac:dyDescent="0.35">
      <c r="A21" s="1" t="s">
        <v>49</v>
      </c>
      <c r="B21" s="1" t="s">
        <v>35</v>
      </c>
      <c r="C21" s="1" t="s">
        <v>44</v>
      </c>
      <c r="D21" s="7">
        <v>21</v>
      </c>
      <c r="E21" s="7">
        <v>33.4</v>
      </c>
      <c r="F21" s="7">
        <v>7.6</v>
      </c>
      <c r="G21" s="7">
        <v>0.49099999999999999</v>
      </c>
      <c r="H21" s="7">
        <v>1.6</v>
      </c>
      <c r="I21" s="7">
        <v>2.2000000000000002</v>
      </c>
      <c r="J21" s="7">
        <v>0.872</v>
      </c>
      <c r="K21" s="7">
        <v>4.8</v>
      </c>
      <c r="L21" s="7">
        <v>2</v>
      </c>
      <c r="M21" s="7">
        <v>1.6</v>
      </c>
      <c r="N21" s="7">
        <v>0.4</v>
      </c>
      <c r="O21" s="7">
        <v>1.3</v>
      </c>
      <c r="P21" s="7">
        <v>11</v>
      </c>
    </row>
    <row r="22" spans="1:16" x14ac:dyDescent="0.35">
      <c r="A22" s="1" t="s">
        <v>52</v>
      </c>
      <c r="B22" s="1" t="s">
        <v>47</v>
      </c>
      <c r="C22" s="1" t="s">
        <v>34</v>
      </c>
      <c r="D22" s="7">
        <v>49</v>
      </c>
      <c r="E22" s="7">
        <v>24.8</v>
      </c>
      <c r="F22" s="7">
        <v>8.1</v>
      </c>
      <c r="G22" s="7">
        <v>0.39300000000000002</v>
      </c>
      <c r="H22" s="7">
        <v>1.2</v>
      </c>
      <c r="I22" s="7">
        <v>3.2</v>
      </c>
      <c r="J22" s="7">
        <v>0.88500000000000001</v>
      </c>
      <c r="K22" s="7">
        <v>2.2000000000000002</v>
      </c>
      <c r="L22" s="7">
        <v>4.5999999999999996</v>
      </c>
      <c r="M22" s="7">
        <v>0.6</v>
      </c>
      <c r="N22" s="7">
        <v>0</v>
      </c>
      <c r="O22" s="7">
        <v>1.4</v>
      </c>
      <c r="P22" s="7">
        <v>10.4</v>
      </c>
    </row>
    <row r="23" spans="1:16" x14ac:dyDescent="0.35">
      <c r="A23" s="1" t="s">
        <v>53</v>
      </c>
      <c r="B23" s="1" t="s">
        <v>18</v>
      </c>
      <c r="C23" s="1" t="s">
        <v>54</v>
      </c>
      <c r="D23" s="7">
        <v>30</v>
      </c>
      <c r="E23" s="7">
        <v>33.200000000000003</v>
      </c>
      <c r="F23" s="7">
        <v>15.5</v>
      </c>
      <c r="G23" s="7">
        <v>0.54800000000000004</v>
      </c>
      <c r="H23" s="7">
        <v>0</v>
      </c>
      <c r="I23" s="7">
        <v>2.6</v>
      </c>
      <c r="J23" s="7">
        <v>0.76900000000000002</v>
      </c>
      <c r="K23" s="7">
        <v>12</v>
      </c>
      <c r="L23" s="7">
        <v>1.9</v>
      </c>
      <c r="M23" s="7">
        <v>0.7</v>
      </c>
      <c r="N23" s="7">
        <v>1.7</v>
      </c>
      <c r="O23" s="7">
        <v>2.4</v>
      </c>
      <c r="P23" s="7">
        <v>19</v>
      </c>
    </row>
    <row r="24" spans="1:16" x14ac:dyDescent="0.35">
      <c r="A24" s="1" t="s">
        <v>55</v>
      </c>
      <c r="B24" s="1" t="s">
        <v>25</v>
      </c>
      <c r="C24" s="1" t="s">
        <v>56</v>
      </c>
      <c r="D24" s="7">
        <v>39</v>
      </c>
      <c r="E24" s="7">
        <v>17.600000000000001</v>
      </c>
      <c r="F24" s="7">
        <v>6.3</v>
      </c>
      <c r="G24" s="7">
        <v>0.34799999999999998</v>
      </c>
      <c r="H24" s="7">
        <v>0.5</v>
      </c>
      <c r="I24" s="7">
        <v>1.4</v>
      </c>
      <c r="J24" s="7">
        <v>0.66</v>
      </c>
      <c r="K24" s="7">
        <v>2.6</v>
      </c>
      <c r="L24" s="7">
        <v>1.3</v>
      </c>
      <c r="M24" s="7">
        <v>0.6</v>
      </c>
      <c r="N24" s="7">
        <v>0.1</v>
      </c>
      <c r="O24" s="7">
        <v>0.9</v>
      </c>
      <c r="P24" s="7">
        <v>5.7</v>
      </c>
    </row>
    <row r="25" spans="1:16" x14ac:dyDescent="0.35">
      <c r="A25" s="1" t="s">
        <v>627</v>
      </c>
      <c r="B25" s="1" t="s">
        <v>15</v>
      </c>
      <c r="C25" s="1" t="s">
        <v>51</v>
      </c>
      <c r="D25" s="7">
        <v>13</v>
      </c>
      <c r="E25" s="7">
        <v>25.7</v>
      </c>
      <c r="F25" s="7">
        <v>12.8</v>
      </c>
      <c r="G25" s="7">
        <v>0.46700000000000003</v>
      </c>
      <c r="H25" s="7">
        <v>0.3</v>
      </c>
      <c r="I25" s="7">
        <v>2.4</v>
      </c>
      <c r="J25" s="7">
        <v>0.80600000000000005</v>
      </c>
      <c r="K25" s="7">
        <v>7.5</v>
      </c>
      <c r="L25" s="7">
        <v>0.8</v>
      </c>
      <c r="M25" s="7">
        <v>0.5</v>
      </c>
      <c r="N25" s="7">
        <v>0.9</v>
      </c>
      <c r="O25" s="7">
        <v>1.4</v>
      </c>
      <c r="P25" s="7">
        <v>14.2</v>
      </c>
    </row>
    <row r="26" spans="1:16" x14ac:dyDescent="0.35">
      <c r="A26" s="1" t="s">
        <v>58</v>
      </c>
      <c r="B26" s="1" t="s">
        <v>47</v>
      </c>
      <c r="C26" s="1" t="s">
        <v>26</v>
      </c>
      <c r="D26" s="7">
        <v>56</v>
      </c>
      <c r="E26" s="7">
        <v>32.4</v>
      </c>
      <c r="F26" s="7">
        <v>11.2</v>
      </c>
      <c r="G26" s="7">
        <v>0.41199999999999998</v>
      </c>
      <c r="H26" s="7">
        <v>2.5</v>
      </c>
      <c r="I26" s="7">
        <v>1.2</v>
      </c>
      <c r="J26" s="7">
        <v>0.56699999999999995</v>
      </c>
      <c r="K26" s="7">
        <v>6.2</v>
      </c>
      <c r="L26" s="7">
        <v>7</v>
      </c>
      <c r="M26" s="7">
        <v>1.4</v>
      </c>
      <c r="N26" s="7">
        <v>0.5</v>
      </c>
      <c r="O26" s="7">
        <v>3.1</v>
      </c>
      <c r="P26" s="7">
        <v>12.4</v>
      </c>
    </row>
    <row r="27" spans="1:16" x14ac:dyDescent="0.35">
      <c r="A27" s="1" t="s">
        <v>647</v>
      </c>
      <c r="B27" s="1" t="s">
        <v>18</v>
      </c>
      <c r="C27" s="1" t="s">
        <v>34</v>
      </c>
      <c r="D27" s="7">
        <v>60</v>
      </c>
      <c r="E27" s="7">
        <v>14.5</v>
      </c>
      <c r="F27" s="7">
        <v>4.7</v>
      </c>
      <c r="G27" s="7">
        <v>0.46800000000000003</v>
      </c>
      <c r="H27" s="7">
        <v>0.6</v>
      </c>
      <c r="I27" s="7">
        <v>0.8</v>
      </c>
      <c r="J27" s="7">
        <v>0.67400000000000004</v>
      </c>
      <c r="K27" s="7">
        <v>5</v>
      </c>
      <c r="L27" s="7">
        <v>0.7</v>
      </c>
      <c r="M27" s="7">
        <v>0.4</v>
      </c>
      <c r="N27" s="7">
        <v>1.4</v>
      </c>
      <c r="O27" s="7">
        <v>0.7</v>
      </c>
      <c r="P27" s="7">
        <v>5.5</v>
      </c>
    </row>
    <row r="28" spans="1:16" x14ac:dyDescent="0.35">
      <c r="A28" s="1" t="s">
        <v>59</v>
      </c>
      <c r="B28" s="1" t="s">
        <v>47</v>
      </c>
      <c r="C28" s="1" t="s">
        <v>60</v>
      </c>
      <c r="D28" s="7">
        <v>26</v>
      </c>
      <c r="E28" s="7">
        <v>15</v>
      </c>
      <c r="F28" s="7">
        <v>6.9</v>
      </c>
      <c r="G28" s="7">
        <v>0.41299999999999998</v>
      </c>
      <c r="H28" s="7">
        <v>1.1000000000000001</v>
      </c>
      <c r="I28" s="7">
        <v>0.7</v>
      </c>
      <c r="J28" s="7">
        <v>0.94399999999999995</v>
      </c>
      <c r="K28" s="7">
        <v>1.8</v>
      </c>
      <c r="L28" s="7">
        <v>3.8</v>
      </c>
      <c r="M28" s="7">
        <v>0.2</v>
      </c>
      <c r="N28" s="7">
        <v>0.1</v>
      </c>
      <c r="O28" s="7">
        <v>1.3</v>
      </c>
      <c r="P28" s="7">
        <v>7.5</v>
      </c>
    </row>
    <row r="29" spans="1:16" x14ac:dyDescent="0.35">
      <c r="A29" s="1" t="s">
        <v>61</v>
      </c>
      <c r="B29" s="1" t="s">
        <v>15</v>
      </c>
      <c r="C29" s="1" t="s">
        <v>51</v>
      </c>
      <c r="D29" s="7">
        <v>64</v>
      </c>
      <c r="E29" s="7">
        <v>34.9</v>
      </c>
      <c r="F29" s="7">
        <v>11.1</v>
      </c>
      <c r="G29" s="7">
        <v>0.45900000000000002</v>
      </c>
      <c r="H29" s="7">
        <v>1.5</v>
      </c>
      <c r="I29" s="7">
        <v>3.8</v>
      </c>
      <c r="J29" s="7">
        <v>0.80300000000000005</v>
      </c>
      <c r="K29" s="7">
        <v>4.8</v>
      </c>
      <c r="L29" s="7">
        <v>2.4</v>
      </c>
      <c r="M29" s="7">
        <v>0.6</v>
      </c>
      <c r="N29" s="7">
        <v>0.2</v>
      </c>
      <c r="O29" s="7">
        <v>1.3</v>
      </c>
      <c r="P29" s="7">
        <v>14.7</v>
      </c>
    </row>
    <row r="30" spans="1:16" x14ac:dyDescent="0.35">
      <c r="A30" s="1" t="s">
        <v>648</v>
      </c>
      <c r="B30" s="1" t="s">
        <v>25</v>
      </c>
      <c r="C30" s="1" t="s">
        <v>32</v>
      </c>
      <c r="D30" s="7">
        <v>56</v>
      </c>
      <c r="E30" s="7">
        <v>30.4</v>
      </c>
      <c r="F30" s="7">
        <v>13</v>
      </c>
      <c r="G30" s="7">
        <v>0.40200000000000002</v>
      </c>
      <c r="H30" s="7">
        <v>1.1000000000000001</v>
      </c>
      <c r="I30" s="7">
        <v>4.5</v>
      </c>
      <c r="J30" s="7">
        <v>0.61399999999999999</v>
      </c>
      <c r="K30" s="7">
        <v>5</v>
      </c>
      <c r="L30" s="7">
        <v>2.6</v>
      </c>
      <c r="M30" s="7">
        <v>1</v>
      </c>
      <c r="N30" s="7">
        <v>0.3</v>
      </c>
      <c r="O30" s="7">
        <v>2.2000000000000002</v>
      </c>
      <c r="P30" s="7">
        <v>14.3</v>
      </c>
    </row>
    <row r="31" spans="1:16" x14ac:dyDescent="0.35">
      <c r="A31" s="1" t="s">
        <v>62</v>
      </c>
      <c r="B31" s="1" t="s">
        <v>35</v>
      </c>
      <c r="C31" s="1" t="s">
        <v>63</v>
      </c>
      <c r="D31" s="7">
        <v>58</v>
      </c>
      <c r="E31" s="7">
        <v>33</v>
      </c>
      <c r="F31" s="7">
        <v>12.7</v>
      </c>
      <c r="G31" s="7">
        <v>0.45</v>
      </c>
      <c r="H31" s="7">
        <v>1.9</v>
      </c>
      <c r="I31" s="7">
        <v>2.2999999999999998</v>
      </c>
      <c r="J31" s="7">
        <v>0.76700000000000002</v>
      </c>
      <c r="K31" s="7">
        <v>6.3</v>
      </c>
      <c r="L31" s="7">
        <v>3.7</v>
      </c>
      <c r="M31" s="7">
        <v>1.1000000000000001</v>
      </c>
      <c r="N31" s="7">
        <v>0.5</v>
      </c>
      <c r="O31" s="7">
        <v>1.5</v>
      </c>
      <c r="P31" s="7">
        <v>15.1</v>
      </c>
    </row>
    <row r="32" spans="1:16" x14ac:dyDescent="0.35">
      <c r="A32" s="1" t="s">
        <v>64</v>
      </c>
      <c r="B32" s="1" t="s">
        <v>35</v>
      </c>
      <c r="C32" s="1" t="s">
        <v>50</v>
      </c>
      <c r="D32" s="7">
        <v>39</v>
      </c>
      <c r="E32" s="7">
        <v>17.100000000000001</v>
      </c>
      <c r="F32" s="7">
        <v>5.3</v>
      </c>
      <c r="G32" s="7">
        <v>0.42799999999999999</v>
      </c>
      <c r="H32" s="7">
        <v>0.8</v>
      </c>
      <c r="I32" s="7">
        <v>1.8</v>
      </c>
      <c r="J32" s="7">
        <v>0.71</v>
      </c>
      <c r="K32" s="7">
        <v>2.9</v>
      </c>
      <c r="L32" s="7">
        <v>0.8</v>
      </c>
      <c r="M32" s="7">
        <v>0.4</v>
      </c>
      <c r="N32" s="7">
        <v>0.5</v>
      </c>
      <c r="O32" s="7">
        <v>0.4</v>
      </c>
      <c r="P32" s="7">
        <v>6.6</v>
      </c>
    </row>
    <row r="33" spans="1:16" x14ac:dyDescent="0.35">
      <c r="A33" s="1" t="s">
        <v>64</v>
      </c>
      <c r="B33" s="1" t="s">
        <v>35</v>
      </c>
      <c r="C33" s="1" t="s">
        <v>65</v>
      </c>
      <c r="D33" s="7">
        <v>37</v>
      </c>
      <c r="E33" s="7">
        <v>17.5</v>
      </c>
      <c r="F33" s="7">
        <v>5.6</v>
      </c>
      <c r="G33" s="7">
        <v>0.42199999999999999</v>
      </c>
      <c r="H33" s="7">
        <v>0.8</v>
      </c>
      <c r="I33" s="7">
        <v>1.8</v>
      </c>
      <c r="J33" s="7">
        <v>0.70799999999999996</v>
      </c>
      <c r="K33" s="7">
        <v>3</v>
      </c>
      <c r="L33" s="7">
        <v>0.8</v>
      </c>
      <c r="M33" s="7">
        <v>0.5</v>
      </c>
      <c r="N33" s="7">
        <v>0.5</v>
      </c>
      <c r="O33" s="7">
        <v>0.4</v>
      </c>
      <c r="P33" s="7">
        <v>6.8</v>
      </c>
    </row>
    <row r="34" spans="1:16" x14ac:dyDescent="0.35">
      <c r="A34" s="1" t="s">
        <v>64</v>
      </c>
      <c r="B34" s="1" t="s">
        <v>35</v>
      </c>
      <c r="C34" s="1" t="s">
        <v>63</v>
      </c>
      <c r="D34" s="7">
        <v>2</v>
      </c>
      <c r="E34" s="7">
        <v>9.5</v>
      </c>
      <c r="F34" s="7">
        <v>1</v>
      </c>
      <c r="G34" s="7">
        <v>1</v>
      </c>
      <c r="H34" s="7">
        <v>0</v>
      </c>
      <c r="I34" s="7">
        <v>2</v>
      </c>
      <c r="J34" s="7">
        <v>0.75</v>
      </c>
      <c r="K34" s="7">
        <v>1</v>
      </c>
      <c r="L34" s="7">
        <v>0</v>
      </c>
      <c r="M34" s="7">
        <v>0</v>
      </c>
      <c r="N34" s="7">
        <v>0.5</v>
      </c>
      <c r="O34" s="7">
        <v>0</v>
      </c>
      <c r="P34" s="7">
        <v>3.5</v>
      </c>
    </row>
    <row r="35" spans="1:16" x14ac:dyDescent="0.35">
      <c r="A35" s="1" t="s">
        <v>66</v>
      </c>
      <c r="B35" s="1" t="s">
        <v>35</v>
      </c>
      <c r="C35" s="1" t="s">
        <v>56</v>
      </c>
      <c r="D35" s="7">
        <v>22</v>
      </c>
      <c r="E35" s="7">
        <v>23</v>
      </c>
      <c r="F35" s="7">
        <v>3.7</v>
      </c>
      <c r="G35" s="7">
        <v>0.34599999999999997</v>
      </c>
      <c r="H35" s="7">
        <v>0.6</v>
      </c>
      <c r="I35" s="7">
        <v>0.5</v>
      </c>
      <c r="J35" s="7">
        <v>0.9</v>
      </c>
      <c r="K35" s="7">
        <v>4.5</v>
      </c>
      <c r="L35" s="7">
        <v>3</v>
      </c>
      <c r="M35" s="7">
        <v>0.8</v>
      </c>
      <c r="N35" s="7">
        <v>0.4</v>
      </c>
      <c r="O35" s="7">
        <v>1</v>
      </c>
      <c r="P35" s="7">
        <v>3.6</v>
      </c>
    </row>
    <row r="36" spans="1:16" x14ac:dyDescent="0.35">
      <c r="A36" s="1" t="s">
        <v>67</v>
      </c>
      <c r="B36" s="1" t="s">
        <v>18</v>
      </c>
      <c r="C36" s="1" t="s">
        <v>54</v>
      </c>
      <c r="D36" s="7">
        <v>42</v>
      </c>
      <c r="E36" s="7">
        <v>22.2</v>
      </c>
      <c r="F36" s="7">
        <v>9.1</v>
      </c>
      <c r="G36" s="7">
        <v>0.48</v>
      </c>
      <c r="H36" s="7">
        <v>1.4</v>
      </c>
      <c r="I36" s="7">
        <v>1.8</v>
      </c>
      <c r="J36" s="7">
        <v>0.747</v>
      </c>
      <c r="K36" s="7">
        <v>5.6</v>
      </c>
      <c r="L36" s="7">
        <v>1.6</v>
      </c>
      <c r="M36" s="7">
        <v>0.2</v>
      </c>
      <c r="N36" s="7">
        <v>0.5</v>
      </c>
      <c r="O36" s="7">
        <v>1.2</v>
      </c>
      <c r="P36" s="7">
        <v>11.5</v>
      </c>
    </row>
    <row r="37" spans="1:16" x14ac:dyDescent="0.35">
      <c r="A37" s="1" t="s">
        <v>68</v>
      </c>
      <c r="B37" s="1" t="s">
        <v>69</v>
      </c>
      <c r="C37" s="1" t="s">
        <v>50</v>
      </c>
      <c r="D37" s="7">
        <v>64</v>
      </c>
      <c r="E37" s="7">
        <v>25.1</v>
      </c>
      <c r="F37" s="7">
        <v>7.7</v>
      </c>
      <c r="G37" s="7">
        <v>0.374</v>
      </c>
      <c r="H37" s="7">
        <v>1.2</v>
      </c>
      <c r="I37" s="7">
        <v>2.2000000000000002</v>
      </c>
      <c r="J37" s="7">
        <v>0.76800000000000002</v>
      </c>
      <c r="K37" s="7">
        <v>4.3</v>
      </c>
      <c r="L37" s="7">
        <v>1.3</v>
      </c>
      <c r="M37" s="7">
        <v>1.1000000000000001</v>
      </c>
      <c r="N37" s="7">
        <v>0.6</v>
      </c>
      <c r="O37" s="7">
        <v>1.3</v>
      </c>
      <c r="P37" s="7">
        <v>8.6999999999999993</v>
      </c>
    </row>
    <row r="38" spans="1:16" x14ac:dyDescent="0.35">
      <c r="A38" s="1" t="s">
        <v>68</v>
      </c>
      <c r="B38" s="1" t="s">
        <v>35</v>
      </c>
      <c r="C38" s="1" t="s">
        <v>44</v>
      </c>
      <c r="D38" s="7">
        <v>43</v>
      </c>
      <c r="E38" s="7">
        <v>25.8</v>
      </c>
      <c r="F38" s="7">
        <v>7.6</v>
      </c>
      <c r="G38" s="7">
        <v>0.34699999999999998</v>
      </c>
      <c r="H38" s="7">
        <v>1.3</v>
      </c>
      <c r="I38" s="7">
        <v>1.7</v>
      </c>
      <c r="J38" s="7">
        <v>0.80600000000000005</v>
      </c>
      <c r="K38" s="7">
        <v>4</v>
      </c>
      <c r="L38" s="7">
        <v>1.4</v>
      </c>
      <c r="M38" s="7">
        <v>1</v>
      </c>
      <c r="N38" s="7">
        <v>0.7</v>
      </c>
      <c r="O38" s="7">
        <v>1.4</v>
      </c>
      <c r="P38" s="7">
        <v>7.9</v>
      </c>
    </row>
    <row r="39" spans="1:16" x14ac:dyDescent="0.35">
      <c r="A39" s="1" t="s">
        <v>68</v>
      </c>
      <c r="B39" s="1" t="s">
        <v>25</v>
      </c>
      <c r="C39" s="1" t="s">
        <v>51</v>
      </c>
      <c r="D39" s="7">
        <v>21</v>
      </c>
      <c r="E39" s="7">
        <v>23.5</v>
      </c>
      <c r="F39" s="7">
        <v>8</v>
      </c>
      <c r="G39" s="7">
        <v>0.42599999999999999</v>
      </c>
      <c r="H39" s="7">
        <v>1</v>
      </c>
      <c r="I39" s="7">
        <v>3.3</v>
      </c>
      <c r="J39" s="7">
        <v>0.72899999999999998</v>
      </c>
      <c r="K39" s="7">
        <v>5</v>
      </c>
      <c r="L39" s="7">
        <v>1.1000000000000001</v>
      </c>
      <c r="M39" s="7">
        <v>1.2</v>
      </c>
      <c r="N39" s="7">
        <v>0.4</v>
      </c>
      <c r="O39" s="7">
        <v>1.2</v>
      </c>
      <c r="P39" s="7">
        <v>10.3</v>
      </c>
    </row>
    <row r="40" spans="1:16" x14ac:dyDescent="0.35">
      <c r="A40" s="1" t="s">
        <v>70</v>
      </c>
      <c r="B40" s="1" t="s">
        <v>15</v>
      </c>
      <c r="C40" s="1" t="s">
        <v>19</v>
      </c>
      <c r="D40" s="7">
        <v>53</v>
      </c>
      <c r="E40" s="7">
        <v>17.2</v>
      </c>
      <c r="F40" s="7">
        <v>4.3</v>
      </c>
      <c r="G40" s="7">
        <v>0.38300000000000001</v>
      </c>
      <c r="H40" s="7">
        <v>0.6</v>
      </c>
      <c r="I40" s="7">
        <v>0.9</v>
      </c>
      <c r="J40" s="7">
        <v>0.68100000000000005</v>
      </c>
      <c r="K40" s="7">
        <v>3.7</v>
      </c>
      <c r="L40" s="7">
        <v>0.5</v>
      </c>
      <c r="M40" s="7">
        <v>0.4</v>
      </c>
      <c r="N40" s="7">
        <v>0.7</v>
      </c>
      <c r="O40" s="7">
        <v>0.8</v>
      </c>
      <c r="P40" s="7">
        <v>4.5</v>
      </c>
    </row>
    <row r="41" spans="1:16" x14ac:dyDescent="0.35">
      <c r="A41" s="1" t="s">
        <v>71</v>
      </c>
      <c r="B41" s="1" t="s">
        <v>25</v>
      </c>
      <c r="C41" s="1" t="s">
        <v>72</v>
      </c>
      <c r="D41" s="7">
        <v>57</v>
      </c>
      <c r="E41" s="7">
        <v>36</v>
      </c>
      <c r="F41" s="7">
        <v>22.9</v>
      </c>
      <c r="G41" s="7">
        <v>0.45500000000000002</v>
      </c>
      <c r="H41" s="7">
        <v>3</v>
      </c>
      <c r="I41" s="7">
        <v>8</v>
      </c>
      <c r="J41" s="7">
        <v>0.84199999999999997</v>
      </c>
      <c r="K41" s="7">
        <v>4.2</v>
      </c>
      <c r="L41" s="7">
        <v>6.1</v>
      </c>
      <c r="M41" s="7">
        <v>1.2</v>
      </c>
      <c r="N41" s="7">
        <v>0.4</v>
      </c>
      <c r="O41" s="7">
        <v>3.4</v>
      </c>
      <c r="P41" s="7">
        <v>30.5</v>
      </c>
    </row>
    <row r="42" spans="1:16" x14ac:dyDescent="0.35">
      <c r="A42" s="1" t="s">
        <v>73</v>
      </c>
      <c r="B42" s="1" t="s">
        <v>25</v>
      </c>
      <c r="C42" s="1" t="s">
        <v>50</v>
      </c>
      <c r="D42" s="7">
        <v>55</v>
      </c>
      <c r="E42" s="7">
        <v>22</v>
      </c>
      <c r="F42" s="7">
        <v>9.6999999999999993</v>
      </c>
      <c r="G42" s="7">
        <v>0.42499999999999999</v>
      </c>
      <c r="H42" s="7">
        <v>1.9</v>
      </c>
      <c r="I42" s="7">
        <v>1.2</v>
      </c>
      <c r="J42" s="7">
        <v>0.81799999999999995</v>
      </c>
      <c r="K42" s="7">
        <v>2.7</v>
      </c>
      <c r="L42" s="7">
        <v>1.4</v>
      </c>
      <c r="M42" s="7">
        <v>0.7</v>
      </c>
      <c r="N42" s="7">
        <v>0.1</v>
      </c>
      <c r="O42" s="7">
        <v>1</v>
      </c>
      <c r="P42" s="7">
        <v>11.2</v>
      </c>
    </row>
    <row r="43" spans="1:16" x14ac:dyDescent="0.35">
      <c r="A43" s="1" t="s">
        <v>73</v>
      </c>
      <c r="B43" s="1" t="s">
        <v>25</v>
      </c>
      <c r="C43" s="1" t="s">
        <v>63</v>
      </c>
      <c r="D43" s="7">
        <v>41</v>
      </c>
      <c r="E43" s="7">
        <v>18.2</v>
      </c>
      <c r="F43" s="7">
        <v>7.3</v>
      </c>
      <c r="G43" s="7">
        <v>0.38900000000000001</v>
      </c>
      <c r="H43" s="7">
        <v>1.4</v>
      </c>
      <c r="I43" s="7">
        <v>0.9</v>
      </c>
      <c r="J43" s="7">
        <v>0.86799999999999999</v>
      </c>
      <c r="K43" s="7">
        <v>1.9</v>
      </c>
      <c r="L43" s="7">
        <v>1.2</v>
      </c>
      <c r="M43" s="7">
        <v>0.8</v>
      </c>
      <c r="N43" s="7">
        <v>0.1</v>
      </c>
      <c r="O43" s="7">
        <v>0.9</v>
      </c>
      <c r="P43" s="7">
        <v>7.9</v>
      </c>
    </row>
    <row r="44" spans="1:16" x14ac:dyDescent="0.35">
      <c r="A44" s="1" t="s">
        <v>73</v>
      </c>
      <c r="B44" s="1" t="s">
        <v>25</v>
      </c>
      <c r="C44" s="1" t="s">
        <v>65</v>
      </c>
      <c r="D44" s="7">
        <v>14</v>
      </c>
      <c r="E44" s="7">
        <v>33.1</v>
      </c>
      <c r="F44" s="7">
        <v>16.600000000000001</v>
      </c>
      <c r="G44" s="7">
        <v>0.47199999999999998</v>
      </c>
      <c r="H44" s="7">
        <v>3.5</v>
      </c>
      <c r="I44" s="7">
        <v>2</v>
      </c>
      <c r="J44" s="7">
        <v>0.75</v>
      </c>
      <c r="K44" s="7">
        <v>5.0999999999999996</v>
      </c>
      <c r="L44" s="7">
        <v>1.9</v>
      </c>
      <c r="M44" s="7">
        <v>0.6</v>
      </c>
      <c r="N44" s="7">
        <v>0.1</v>
      </c>
      <c r="O44" s="7">
        <v>1.5</v>
      </c>
      <c r="P44" s="7">
        <v>20.7</v>
      </c>
    </row>
    <row r="45" spans="1:16" x14ac:dyDescent="0.35">
      <c r="A45" s="1" t="s">
        <v>74</v>
      </c>
      <c r="B45" s="1" t="s">
        <v>25</v>
      </c>
      <c r="C45" s="1" t="s">
        <v>23</v>
      </c>
      <c r="D45" s="7">
        <v>52</v>
      </c>
      <c r="E45" s="7">
        <v>15</v>
      </c>
      <c r="F45" s="7">
        <v>5.2</v>
      </c>
      <c r="G45" s="7">
        <v>0.39100000000000001</v>
      </c>
      <c r="H45" s="7">
        <v>1.1000000000000001</v>
      </c>
      <c r="I45" s="7">
        <v>0.8</v>
      </c>
      <c r="J45" s="7">
        <v>0.78</v>
      </c>
      <c r="K45" s="7">
        <v>1.7</v>
      </c>
      <c r="L45" s="7">
        <v>1.2</v>
      </c>
      <c r="M45" s="7">
        <v>0.2</v>
      </c>
      <c r="N45" s="7">
        <v>0</v>
      </c>
      <c r="O45" s="7">
        <v>0.3</v>
      </c>
      <c r="P45" s="7">
        <v>5.8</v>
      </c>
    </row>
    <row r="46" spans="1:16" x14ac:dyDescent="0.35">
      <c r="A46" s="1" t="s">
        <v>75</v>
      </c>
      <c r="B46" s="1" t="s">
        <v>486</v>
      </c>
      <c r="C46" s="1" t="s">
        <v>50</v>
      </c>
      <c r="D46" s="7">
        <v>29</v>
      </c>
      <c r="E46" s="7">
        <v>8.8000000000000007</v>
      </c>
      <c r="F46" s="7">
        <v>2.2999999999999998</v>
      </c>
      <c r="G46" s="7">
        <v>0.52200000000000002</v>
      </c>
      <c r="H46" s="7">
        <v>0.1</v>
      </c>
      <c r="I46" s="7">
        <v>1.1000000000000001</v>
      </c>
      <c r="J46" s="7">
        <v>0.61299999999999999</v>
      </c>
      <c r="K46" s="7">
        <v>2.8</v>
      </c>
      <c r="L46" s="7">
        <v>0.6</v>
      </c>
      <c r="M46" s="7">
        <v>0.1</v>
      </c>
      <c r="N46" s="7">
        <v>0.3</v>
      </c>
      <c r="O46" s="7">
        <v>0.7</v>
      </c>
      <c r="P46" s="7">
        <v>3.2</v>
      </c>
    </row>
    <row r="47" spans="1:16" x14ac:dyDescent="0.35">
      <c r="A47" s="1" t="s">
        <v>75</v>
      </c>
      <c r="B47" s="1" t="s">
        <v>18</v>
      </c>
      <c r="C47" s="1" t="s">
        <v>65</v>
      </c>
      <c r="D47" s="7">
        <v>27</v>
      </c>
      <c r="E47" s="7">
        <v>8.6999999999999993</v>
      </c>
      <c r="F47" s="7">
        <v>2.2000000000000002</v>
      </c>
      <c r="G47" s="7">
        <v>0.53300000000000003</v>
      </c>
      <c r="H47" s="7">
        <v>0.1</v>
      </c>
      <c r="I47" s="7">
        <v>1.1000000000000001</v>
      </c>
      <c r="J47" s="7">
        <v>0.58599999999999997</v>
      </c>
      <c r="K47" s="7">
        <v>2.9</v>
      </c>
      <c r="L47" s="7">
        <v>0.5</v>
      </c>
      <c r="M47" s="7">
        <v>0.1</v>
      </c>
      <c r="N47" s="7">
        <v>0.4</v>
      </c>
      <c r="O47" s="7">
        <v>0.7</v>
      </c>
      <c r="P47" s="7">
        <v>3.1</v>
      </c>
    </row>
    <row r="48" spans="1:16" x14ac:dyDescent="0.35">
      <c r="A48" s="1" t="s">
        <v>75</v>
      </c>
      <c r="B48" s="1" t="s">
        <v>15</v>
      </c>
      <c r="C48" s="1" t="s">
        <v>28</v>
      </c>
      <c r="D48" s="7">
        <v>2</v>
      </c>
      <c r="E48" s="7">
        <v>10.5</v>
      </c>
      <c r="F48" s="7">
        <v>3.5</v>
      </c>
      <c r="G48" s="7">
        <v>0.42899999999999999</v>
      </c>
      <c r="H48" s="7">
        <v>1</v>
      </c>
      <c r="I48" s="7">
        <v>1</v>
      </c>
      <c r="J48" s="7">
        <v>1</v>
      </c>
      <c r="K48" s="7">
        <v>1.5</v>
      </c>
      <c r="L48" s="7">
        <v>1</v>
      </c>
      <c r="M48" s="7">
        <v>0.5</v>
      </c>
      <c r="N48" s="7">
        <v>0</v>
      </c>
      <c r="O48" s="7">
        <v>1.5</v>
      </c>
      <c r="P48" s="7">
        <v>5</v>
      </c>
    </row>
    <row r="49" spans="1:16" x14ac:dyDescent="0.35">
      <c r="A49" s="1" t="s">
        <v>76</v>
      </c>
      <c r="B49" s="1" t="s">
        <v>25</v>
      </c>
      <c r="C49" s="1" t="s">
        <v>77</v>
      </c>
      <c r="D49" s="7">
        <v>43</v>
      </c>
      <c r="E49" s="7">
        <v>21.3</v>
      </c>
      <c r="F49" s="7">
        <v>5.3</v>
      </c>
      <c r="G49" s="7">
        <v>0.45600000000000002</v>
      </c>
      <c r="H49" s="7">
        <v>0.3</v>
      </c>
      <c r="I49" s="7">
        <v>1.1000000000000001</v>
      </c>
      <c r="J49" s="7">
        <v>0.54200000000000004</v>
      </c>
      <c r="K49" s="7">
        <v>3.5</v>
      </c>
      <c r="L49" s="7">
        <v>1.9</v>
      </c>
      <c r="M49" s="7">
        <v>1.3</v>
      </c>
      <c r="N49" s="7">
        <v>0.4</v>
      </c>
      <c r="O49" s="7">
        <v>1.4</v>
      </c>
      <c r="P49" s="7">
        <v>5.8</v>
      </c>
    </row>
    <row r="50" spans="1:16" x14ac:dyDescent="0.35">
      <c r="A50" s="1" t="s">
        <v>78</v>
      </c>
      <c r="B50" s="1" t="s">
        <v>35</v>
      </c>
      <c r="C50" s="1" t="s">
        <v>50</v>
      </c>
      <c r="D50" s="7">
        <v>16</v>
      </c>
      <c r="E50" s="7">
        <v>17.899999999999999</v>
      </c>
      <c r="F50" s="7">
        <v>5.8</v>
      </c>
      <c r="G50" s="7">
        <v>0.44600000000000001</v>
      </c>
      <c r="H50" s="7">
        <v>0.9</v>
      </c>
      <c r="I50" s="7">
        <v>0.9</v>
      </c>
      <c r="J50" s="7">
        <v>0.71399999999999997</v>
      </c>
      <c r="K50" s="7">
        <v>4.5999999999999996</v>
      </c>
      <c r="L50" s="7">
        <v>1.8</v>
      </c>
      <c r="M50" s="7">
        <v>0.3</v>
      </c>
      <c r="N50" s="7">
        <v>0.6</v>
      </c>
      <c r="O50" s="7">
        <v>1.3</v>
      </c>
      <c r="P50" s="7">
        <v>6.7</v>
      </c>
    </row>
    <row r="51" spans="1:16" x14ac:dyDescent="0.35">
      <c r="A51" s="1" t="s">
        <v>78</v>
      </c>
      <c r="B51" s="1" t="s">
        <v>35</v>
      </c>
      <c r="C51" s="1" t="s">
        <v>39</v>
      </c>
      <c r="D51" s="7">
        <v>7</v>
      </c>
      <c r="E51" s="7">
        <v>13</v>
      </c>
      <c r="F51" s="7">
        <v>3</v>
      </c>
      <c r="G51" s="7">
        <v>0.47599999999999998</v>
      </c>
      <c r="H51" s="7">
        <v>0.6</v>
      </c>
      <c r="I51" s="7">
        <v>0.4</v>
      </c>
      <c r="J51" s="7">
        <v>0.66700000000000004</v>
      </c>
      <c r="K51" s="7">
        <v>2.9</v>
      </c>
      <c r="L51" s="7">
        <v>1.3</v>
      </c>
      <c r="M51" s="7">
        <v>0</v>
      </c>
      <c r="N51" s="7">
        <v>0.7</v>
      </c>
      <c r="O51" s="7">
        <v>0.7</v>
      </c>
      <c r="P51" s="7">
        <v>3.7</v>
      </c>
    </row>
    <row r="52" spans="1:16" x14ac:dyDescent="0.35">
      <c r="A52" s="1" t="s">
        <v>78</v>
      </c>
      <c r="B52" s="1" t="s">
        <v>35</v>
      </c>
      <c r="C52" s="1" t="s">
        <v>96</v>
      </c>
      <c r="D52" s="7">
        <v>9</v>
      </c>
      <c r="E52" s="7">
        <v>21.7</v>
      </c>
      <c r="F52" s="7">
        <v>7.9</v>
      </c>
      <c r="G52" s="7">
        <v>0.437</v>
      </c>
      <c r="H52" s="7">
        <v>1.2</v>
      </c>
      <c r="I52" s="7">
        <v>1.2</v>
      </c>
      <c r="J52" s="7">
        <v>0.72699999999999998</v>
      </c>
      <c r="K52" s="7">
        <v>5.9</v>
      </c>
      <c r="L52" s="7">
        <v>2.1</v>
      </c>
      <c r="M52" s="7">
        <v>0.4</v>
      </c>
      <c r="N52" s="7">
        <v>0.4</v>
      </c>
      <c r="O52" s="7">
        <v>1.8</v>
      </c>
      <c r="P52" s="7">
        <v>9</v>
      </c>
    </row>
    <row r="53" spans="1:16" x14ac:dyDescent="0.35">
      <c r="A53" s="1" t="s">
        <v>649</v>
      </c>
      <c r="B53" s="1" t="s">
        <v>15</v>
      </c>
      <c r="C53" s="1" t="s">
        <v>72</v>
      </c>
      <c r="D53" s="7">
        <v>54</v>
      </c>
      <c r="E53" s="7">
        <v>29.3</v>
      </c>
      <c r="F53" s="7">
        <v>11.3</v>
      </c>
      <c r="G53" s="7">
        <v>0.434</v>
      </c>
      <c r="H53" s="7">
        <v>3.7</v>
      </c>
      <c r="I53" s="7">
        <v>2.2999999999999998</v>
      </c>
      <c r="J53" s="7">
        <v>0.85199999999999998</v>
      </c>
      <c r="K53" s="7">
        <v>4.5</v>
      </c>
      <c r="L53" s="7">
        <v>1.7</v>
      </c>
      <c r="M53" s="7">
        <v>0.7</v>
      </c>
      <c r="N53" s="7">
        <v>0.6</v>
      </c>
      <c r="O53" s="7">
        <v>1.1000000000000001</v>
      </c>
      <c r="P53" s="7">
        <v>15.4</v>
      </c>
    </row>
    <row r="54" spans="1:16" x14ac:dyDescent="0.35">
      <c r="A54" s="1" t="s">
        <v>79</v>
      </c>
      <c r="B54" s="1" t="s">
        <v>47</v>
      </c>
      <c r="C54" s="1" t="s">
        <v>80</v>
      </c>
      <c r="D54" s="7">
        <v>48</v>
      </c>
      <c r="E54" s="7">
        <v>27.1</v>
      </c>
      <c r="F54" s="7">
        <v>6.8</v>
      </c>
      <c r="G54" s="7">
        <v>0.42799999999999999</v>
      </c>
      <c r="H54" s="7">
        <v>1.6</v>
      </c>
      <c r="I54" s="7">
        <v>0.9</v>
      </c>
      <c r="J54" s="7">
        <v>0.65900000000000003</v>
      </c>
      <c r="K54" s="7">
        <v>5.4</v>
      </c>
      <c r="L54" s="7">
        <v>3.7</v>
      </c>
      <c r="M54" s="7">
        <v>1.1000000000000001</v>
      </c>
      <c r="N54" s="7">
        <v>0.5</v>
      </c>
      <c r="O54" s="7">
        <v>1.3</v>
      </c>
      <c r="P54" s="7">
        <v>7.9</v>
      </c>
    </row>
    <row r="55" spans="1:16" x14ac:dyDescent="0.35">
      <c r="A55" s="1" t="s">
        <v>81</v>
      </c>
      <c r="B55" s="1" t="s">
        <v>18</v>
      </c>
      <c r="C55" s="1" t="s">
        <v>34</v>
      </c>
      <c r="D55" s="7">
        <v>40</v>
      </c>
      <c r="E55" s="7">
        <v>19.399999999999999</v>
      </c>
      <c r="F55" s="7">
        <v>2.9</v>
      </c>
      <c r="G55" s="7">
        <v>0.48699999999999999</v>
      </c>
      <c r="H55" s="7">
        <v>0</v>
      </c>
      <c r="I55" s="7">
        <v>1.7</v>
      </c>
      <c r="J55" s="7">
        <v>0.61199999999999999</v>
      </c>
      <c r="K55" s="7">
        <v>4.5</v>
      </c>
      <c r="L55" s="7">
        <v>0.9</v>
      </c>
      <c r="M55" s="7">
        <v>0.4</v>
      </c>
      <c r="N55" s="7">
        <v>0.5</v>
      </c>
      <c r="O55" s="7">
        <v>0.6</v>
      </c>
      <c r="P55" s="7">
        <v>3.8</v>
      </c>
    </row>
    <row r="56" spans="1:16" x14ac:dyDescent="0.35">
      <c r="A56" s="1" t="s">
        <v>82</v>
      </c>
      <c r="B56" s="1" t="s">
        <v>18</v>
      </c>
      <c r="C56" s="1" t="s">
        <v>83</v>
      </c>
      <c r="D56" s="7">
        <v>49</v>
      </c>
      <c r="E56" s="7">
        <v>8.4</v>
      </c>
      <c r="F56" s="7">
        <v>2.6</v>
      </c>
      <c r="G56" s="7">
        <v>0.47299999999999998</v>
      </c>
      <c r="H56" s="7">
        <v>0.1</v>
      </c>
      <c r="I56" s="7">
        <v>0.7</v>
      </c>
      <c r="J56" s="7">
        <v>0.72699999999999998</v>
      </c>
      <c r="K56" s="7">
        <v>2</v>
      </c>
      <c r="L56" s="7">
        <v>0.4</v>
      </c>
      <c r="M56" s="7">
        <v>0.1</v>
      </c>
      <c r="N56" s="7">
        <v>0.7</v>
      </c>
      <c r="O56" s="7">
        <v>0.5</v>
      </c>
      <c r="P56" s="7">
        <v>3.1</v>
      </c>
    </row>
    <row r="57" spans="1:16" x14ac:dyDescent="0.35">
      <c r="A57" s="1" t="s">
        <v>84</v>
      </c>
      <c r="B57" s="1" t="s">
        <v>18</v>
      </c>
      <c r="C57" s="1" t="s">
        <v>56</v>
      </c>
      <c r="D57" s="7">
        <v>53</v>
      </c>
      <c r="E57" s="7">
        <v>19.399999999999999</v>
      </c>
      <c r="F57" s="7">
        <v>5.2</v>
      </c>
      <c r="G57" s="7">
        <v>0.54300000000000004</v>
      </c>
      <c r="H57" s="7">
        <v>0</v>
      </c>
      <c r="I57" s="7">
        <v>2.8</v>
      </c>
      <c r="J57" s="7">
        <v>0.60299999999999998</v>
      </c>
      <c r="K57" s="7">
        <v>5.8</v>
      </c>
      <c r="L57" s="7">
        <v>0.9</v>
      </c>
      <c r="M57" s="7">
        <v>0.2</v>
      </c>
      <c r="N57" s="7">
        <v>0.9</v>
      </c>
      <c r="O57" s="7">
        <v>0.9</v>
      </c>
      <c r="P57" s="7">
        <v>7.4</v>
      </c>
    </row>
    <row r="58" spans="1:16" x14ac:dyDescent="0.35">
      <c r="A58" s="1" t="s">
        <v>85</v>
      </c>
      <c r="B58" s="1" t="s">
        <v>15</v>
      </c>
      <c r="C58" s="1" t="s">
        <v>51</v>
      </c>
      <c r="D58" s="7">
        <v>64</v>
      </c>
      <c r="E58" s="7">
        <v>28.5</v>
      </c>
      <c r="F58" s="7">
        <v>9.4</v>
      </c>
      <c r="G58" s="7">
        <v>0.47499999999999998</v>
      </c>
      <c r="H58" s="7">
        <v>2</v>
      </c>
      <c r="I58" s="7">
        <v>1.1000000000000001</v>
      </c>
      <c r="J58" s="7">
        <v>0.82199999999999995</v>
      </c>
      <c r="K58" s="7">
        <v>6.4</v>
      </c>
      <c r="L58" s="7">
        <v>2.8</v>
      </c>
      <c r="M58" s="7">
        <v>0.8</v>
      </c>
      <c r="N58" s="7">
        <v>0.5</v>
      </c>
      <c r="O58" s="7">
        <v>1.4</v>
      </c>
      <c r="P58" s="7">
        <v>11.9</v>
      </c>
    </row>
    <row r="59" spans="1:16" x14ac:dyDescent="0.35">
      <c r="A59" s="1" t="s">
        <v>86</v>
      </c>
      <c r="B59" s="1" t="s">
        <v>47</v>
      </c>
      <c r="C59" s="1" t="s">
        <v>39</v>
      </c>
      <c r="D59" s="7">
        <v>56</v>
      </c>
      <c r="E59" s="7">
        <v>27.2</v>
      </c>
      <c r="F59" s="7">
        <v>11.8</v>
      </c>
      <c r="G59" s="7">
        <v>0.48199999999999998</v>
      </c>
      <c r="H59" s="7">
        <v>1.3</v>
      </c>
      <c r="I59" s="7">
        <v>3.4</v>
      </c>
      <c r="J59" s="7">
        <v>0.81299999999999994</v>
      </c>
      <c r="K59" s="7">
        <v>4.5999999999999996</v>
      </c>
      <c r="L59" s="7">
        <v>5.4</v>
      </c>
      <c r="M59" s="7">
        <v>0.9</v>
      </c>
      <c r="N59" s="7">
        <v>0.4</v>
      </c>
      <c r="O59" s="7">
        <v>2.5</v>
      </c>
      <c r="P59" s="7">
        <v>15.4</v>
      </c>
    </row>
    <row r="60" spans="1:16" x14ac:dyDescent="0.35">
      <c r="A60" s="1" t="s">
        <v>650</v>
      </c>
      <c r="B60" s="1" t="s">
        <v>25</v>
      </c>
      <c r="C60" s="1" t="s">
        <v>51</v>
      </c>
      <c r="D60" s="7">
        <v>53</v>
      </c>
      <c r="E60" s="7">
        <v>28.5</v>
      </c>
      <c r="F60" s="7">
        <v>12.1</v>
      </c>
      <c r="G60" s="7">
        <v>0.433</v>
      </c>
      <c r="H60" s="7">
        <v>2.6</v>
      </c>
      <c r="I60" s="7">
        <v>2</v>
      </c>
      <c r="J60" s="7">
        <v>0.72399999999999998</v>
      </c>
      <c r="K60" s="7">
        <v>3.2</v>
      </c>
      <c r="L60" s="7">
        <v>3.2</v>
      </c>
      <c r="M60" s="7">
        <v>1</v>
      </c>
      <c r="N60" s="7">
        <v>0.3</v>
      </c>
      <c r="O60" s="7">
        <v>1.7</v>
      </c>
      <c r="P60" s="7">
        <v>14.5</v>
      </c>
    </row>
    <row r="61" spans="1:16" x14ac:dyDescent="0.35">
      <c r="A61" s="1" t="s">
        <v>651</v>
      </c>
      <c r="B61" s="1" t="s">
        <v>35</v>
      </c>
      <c r="C61" s="1" t="s">
        <v>87</v>
      </c>
      <c r="D61" s="7">
        <v>63</v>
      </c>
      <c r="E61" s="7">
        <v>33.1</v>
      </c>
      <c r="F61" s="7">
        <v>14.8</v>
      </c>
      <c r="G61" s="7">
        <v>0.44700000000000001</v>
      </c>
      <c r="H61" s="7">
        <v>3</v>
      </c>
      <c r="I61" s="7">
        <v>4.4000000000000004</v>
      </c>
      <c r="J61" s="7">
        <v>0.90300000000000002</v>
      </c>
      <c r="K61" s="7">
        <v>4.0999999999999996</v>
      </c>
      <c r="L61" s="7">
        <v>2.1</v>
      </c>
      <c r="M61" s="7">
        <v>0.5</v>
      </c>
      <c r="N61" s="7">
        <v>0.1</v>
      </c>
      <c r="O61" s="7">
        <v>2.5</v>
      </c>
      <c r="P61" s="7">
        <v>20.2</v>
      </c>
    </row>
    <row r="62" spans="1:16" x14ac:dyDescent="0.35">
      <c r="A62" s="1" t="s">
        <v>584</v>
      </c>
      <c r="B62" s="1" t="s">
        <v>15</v>
      </c>
      <c r="C62" s="1" t="s">
        <v>50</v>
      </c>
      <c r="D62" s="7">
        <v>7</v>
      </c>
      <c r="E62" s="7">
        <v>6.7</v>
      </c>
      <c r="F62" s="7">
        <v>1.6</v>
      </c>
      <c r="G62" s="7">
        <v>0.36399999999999999</v>
      </c>
      <c r="H62" s="7">
        <v>0</v>
      </c>
      <c r="I62" s="7">
        <v>0.6</v>
      </c>
      <c r="J62" s="7">
        <v>0.5</v>
      </c>
      <c r="K62" s="7">
        <v>1.3</v>
      </c>
      <c r="L62" s="7">
        <v>0</v>
      </c>
      <c r="M62" s="7">
        <v>0.4</v>
      </c>
      <c r="N62" s="7">
        <v>0.3</v>
      </c>
      <c r="O62" s="7">
        <v>0.3</v>
      </c>
      <c r="P62" s="7">
        <v>1.4</v>
      </c>
    </row>
    <row r="63" spans="1:16" x14ac:dyDescent="0.35">
      <c r="A63" s="1" t="s">
        <v>584</v>
      </c>
      <c r="B63" s="1" t="s">
        <v>15</v>
      </c>
      <c r="C63" s="1" t="s">
        <v>88</v>
      </c>
      <c r="D63" s="7">
        <v>4</v>
      </c>
      <c r="E63" s="7">
        <v>3.5</v>
      </c>
      <c r="F63" s="7">
        <v>0.8</v>
      </c>
      <c r="G63" s="7">
        <v>0.66700000000000004</v>
      </c>
      <c r="H63" s="7">
        <v>0</v>
      </c>
      <c r="I63" s="7">
        <v>0.5</v>
      </c>
      <c r="J63" s="7">
        <v>0</v>
      </c>
      <c r="K63" s="7">
        <v>0.3</v>
      </c>
      <c r="L63" s="7">
        <v>0</v>
      </c>
      <c r="M63" s="7">
        <v>0.3</v>
      </c>
      <c r="N63" s="7">
        <v>0</v>
      </c>
      <c r="O63" s="7">
        <v>0.5</v>
      </c>
      <c r="P63" s="7">
        <v>1</v>
      </c>
    </row>
    <row r="64" spans="1:16" x14ac:dyDescent="0.35">
      <c r="A64" s="1" t="s">
        <v>584</v>
      </c>
      <c r="B64" s="1" t="s">
        <v>15</v>
      </c>
      <c r="C64" s="1" t="s">
        <v>54</v>
      </c>
      <c r="D64" s="7">
        <v>3</v>
      </c>
      <c r="E64" s="7">
        <v>11</v>
      </c>
      <c r="F64" s="7">
        <v>2.7</v>
      </c>
      <c r="G64" s="7">
        <v>0.25</v>
      </c>
      <c r="H64" s="7">
        <v>0</v>
      </c>
      <c r="I64" s="7">
        <v>0.7</v>
      </c>
      <c r="J64" s="7">
        <v>1</v>
      </c>
      <c r="K64" s="7">
        <v>2.7</v>
      </c>
      <c r="L64" s="7">
        <v>0</v>
      </c>
      <c r="M64" s="7">
        <v>0.7</v>
      </c>
      <c r="N64" s="7">
        <v>0.7</v>
      </c>
      <c r="O64" s="7">
        <v>0</v>
      </c>
      <c r="P64" s="7">
        <v>2</v>
      </c>
    </row>
    <row r="65" spans="1:16" x14ac:dyDescent="0.35">
      <c r="A65" s="1" t="s">
        <v>585</v>
      </c>
      <c r="B65" s="1" t="s">
        <v>18</v>
      </c>
      <c r="C65" s="1" t="s">
        <v>137</v>
      </c>
      <c r="D65" s="7">
        <v>1</v>
      </c>
      <c r="E65" s="7">
        <v>3</v>
      </c>
      <c r="F65" s="7">
        <v>0</v>
      </c>
      <c r="H65" s="7">
        <v>0</v>
      </c>
      <c r="I65" s="7">
        <v>0</v>
      </c>
      <c r="K65" s="7">
        <v>2</v>
      </c>
      <c r="L65" s="7">
        <v>0</v>
      </c>
      <c r="M65" s="7">
        <v>1</v>
      </c>
      <c r="N65" s="7">
        <v>0</v>
      </c>
      <c r="O65" s="7">
        <v>0</v>
      </c>
      <c r="P65" s="7">
        <v>0</v>
      </c>
    </row>
    <row r="66" spans="1:16" x14ac:dyDescent="0.35">
      <c r="A66" s="1" t="s">
        <v>89</v>
      </c>
      <c r="B66" s="1" t="s">
        <v>47</v>
      </c>
      <c r="C66" s="1" t="s">
        <v>90</v>
      </c>
      <c r="D66" s="7">
        <v>10</v>
      </c>
      <c r="E66" s="7">
        <v>5.3</v>
      </c>
      <c r="F66" s="7">
        <v>2</v>
      </c>
      <c r="G66" s="7">
        <v>0.25</v>
      </c>
      <c r="H66" s="7">
        <v>0.2</v>
      </c>
      <c r="I66" s="7">
        <v>0</v>
      </c>
      <c r="K66" s="7">
        <v>0.4</v>
      </c>
      <c r="L66" s="7">
        <v>0.8</v>
      </c>
      <c r="M66" s="7">
        <v>0.1</v>
      </c>
      <c r="N66" s="7">
        <v>0</v>
      </c>
      <c r="O66" s="7">
        <v>0.2</v>
      </c>
      <c r="P66" s="7">
        <v>1.2</v>
      </c>
    </row>
    <row r="67" spans="1:16" x14ac:dyDescent="0.35">
      <c r="A67" s="1" t="s">
        <v>91</v>
      </c>
      <c r="B67" s="1" t="s">
        <v>35</v>
      </c>
      <c r="C67" s="1" t="s">
        <v>72</v>
      </c>
      <c r="D67" s="7">
        <v>58</v>
      </c>
      <c r="E67" s="7">
        <v>17.7</v>
      </c>
      <c r="F67" s="7">
        <v>3.2</v>
      </c>
      <c r="G67" s="7">
        <v>0.52200000000000002</v>
      </c>
      <c r="H67" s="7">
        <v>0.4</v>
      </c>
      <c r="I67" s="7">
        <v>1.1000000000000001</v>
      </c>
      <c r="J67" s="7">
        <v>0.81299999999999994</v>
      </c>
      <c r="K67" s="7">
        <v>3.2</v>
      </c>
      <c r="L67" s="7">
        <v>1.1000000000000001</v>
      </c>
      <c r="M67" s="7">
        <v>0.6</v>
      </c>
      <c r="N67" s="7">
        <v>0.4</v>
      </c>
      <c r="O67" s="7">
        <v>0.7</v>
      </c>
      <c r="P67" s="7">
        <v>4.5999999999999996</v>
      </c>
    </row>
    <row r="68" spans="1:16" x14ac:dyDescent="0.35">
      <c r="A68" s="1" t="s">
        <v>92</v>
      </c>
      <c r="B68" s="1" t="s">
        <v>25</v>
      </c>
      <c r="C68" s="1" t="s">
        <v>54</v>
      </c>
      <c r="D68" s="7">
        <v>62</v>
      </c>
      <c r="E68" s="7">
        <v>36.1</v>
      </c>
      <c r="F68" s="7">
        <v>18</v>
      </c>
      <c r="G68" s="7">
        <v>0.48699999999999999</v>
      </c>
      <c r="H68" s="7">
        <v>2</v>
      </c>
      <c r="I68" s="7">
        <v>7.1</v>
      </c>
      <c r="J68" s="7">
        <v>0.91600000000000004</v>
      </c>
      <c r="K68" s="7">
        <v>4.2</v>
      </c>
      <c r="L68" s="7">
        <v>6.6</v>
      </c>
      <c r="M68" s="7">
        <v>0.7</v>
      </c>
      <c r="N68" s="7">
        <v>0.3</v>
      </c>
      <c r="O68" s="7">
        <v>3.9</v>
      </c>
      <c r="P68" s="7">
        <v>26.1</v>
      </c>
    </row>
    <row r="69" spans="1:16" x14ac:dyDescent="0.35">
      <c r="A69" s="1" t="s">
        <v>93</v>
      </c>
      <c r="B69" s="1" t="s">
        <v>15</v>
      </c>
      <c r="C69" s="1" t="s">
        <v>45</v>
      </c>
      <c r="D69" s="7">
        <v>55</v>
      </c>
      <c r="E69" s="7">
        <v>13.2</v>
      </c>
      <c r="F69" s="7">
        <v>4.7</v>
      </c>
      <c r="G69" s="7">
        <v>0.45800000000000002</v>
      </c>
      <c r="H69" s="7">
        <v>0.5</v>
      </c>
      <c r="I69" s="7">
        <v>1.9</v>
      </c>
      <c r="J69" s="7">
        <v>0.79600000000000004</v>
      </c>
      <c r="K69" s="7">
        <v>4.4000000000000004</v>
      </c>
      <c r="L69" s="7">
        <v>0.4</v>
      </c>
      <c r="M69" s="7">
        <v>0.4</v>
      </c>
      <c r="N69" s="7">
        <v>1</v>
      </c>
      <c r="O69" s="7">
        <v>0.4</v>
      </c>
      <c r="P69" s="7">
        <v>6.3</v>
      </c>
    </row>
    <row r="70" spans="1:16" x14ac:dyDescent="0.35">
      <c r="A70" s="1" t="s">
        <v>94</v>
      </c>
      <c r="B70" s="1" t="s">
        <v>25</v>
      </c>
      <c r="C70" s="1" t="s">
        <v>83</v>
      </c>
      <c r="D70" s="7">
        <v>5</v>
      </c>
      <c r="E70" s="7">
        <v>5.8</v>
      </c>
      <c r="F70" s="7">
        <v>1.8</v>
      </c>
      <c r="G70" s="7">
        <v>0.222</v>
      </c>
      <c r="H70" s="7">
        <v>0</v>
      </c>
      <c r="I70" s="7">
        <v>0</v>
      </c>
      <c r="K70" s="7">
        <v>1.4</v>
      </c>
      <c r="L70" s="7">
        <v>0</v>
      </c>
      <c r="M70" s="7">
        <v>0</v>
      </c>
      <c r="N70" s="7">
        <v>0.2</v>
      </c>
      <c r="O70" s="7">
        <v>0.2</v>
      </c>
      <c r="P70" s="7">
        <v>0.8</v>
      </c>
    </row>
    <row r="71" spans="1:16" x14ac:dyDescent="0.35">
      <c r="A71" s="1" t="s">
        <v>95</v>
      </c>
      <c r="B71" s="1" t="s">
        <v>47</v>
      </c>
      <c r="C71" s="1" t="s">
        <v>96</v>
      </c>
      <c r="D71" s="7">
        <v>45</v>
      </c>
      <c r="E71" s="7">
        <v>22.6</v>
      </c>
      <c r="F71" s="7">
        <v>7.1</v>
      </c>
      <c r="G71" s="7">
        <v>0.41699999999999998</v>
      </c>
      <c r="H71" s="7">
        <v>0.7</v>
      </c>
      <c r="I71" s="7">
        <v>0.9</v>
      </c>
      <c r="J71" s="7">
        <v>0.82899999999999996</v>
      </c>
      <c r="K71" s="7">
        <v>2.7</v>
      </c>
      <c r="L71" s="7">
        <v>2.9</v>
      </c>
      <c r="M71" s="7">
        <v>1</v>
      </c>
      <c r="N71" s="7">
        <v>0.2</v>
      </c>
      <c r="O71" s="7">
        <v>1.6</v>
      </c>
      <c r="P71" s="7">
        <v>7.4</v>
      </c>
    </row>
    <row r="72" spans="1:16" x14ac:dyDescent="0.35">
      <c r="A72" s="1" t="s">
        <v>97</v>
      </c>
      <c r="B72" s="1" t="s">
        <v>25</v>
      </c>
      <c r="C72" s="1" t="s">
        <v>41</v>
      </c>
      <c r="D72" s="7">
        <v>49</v>
      </c>
      <c r="E72" s="7">
        <v>24.2</v>
      </c>
      <c r="F72" s="7">
        <v>7.8</v>
      </c>
      <c r="G72" s="7">
        <v>0.44400000000000001</v>
      </c>
      <c r="H72" s="7">
        <v>1.3</v>
      </c>
      <c r="I72" s="7">
        <v>0.5</v>
      </c>
      <c r="J72" s="7">
        <v>0.83299999999999996</v>
      </c>
      <c r="K72" s="7">
        <v>2.2999999999999998</v>
      </c>
      <c r="L72" s="7">
        <v>1.3</v>
      </c>
      <c r="M72" s="7">
        <v>0.9</v>
      </c>
      <c r="N72" s="7">
        <v>0.1</v>
      </c>
      <c r="O72" s="7">
        <v>1</v>
      </c>
      <c r="P72" s="7">
        <v>8.6</v>
      </c>
    </row>
    <row r="73" spans="1:16" x14ac:dyDescent="0.35">
      <c r="A73" s="1" t="s">
        <v>98</v>
      </c>
      <c r="B73" s="1" t="s">
        <v>18</v>
      </c>
      <c r="C73" s="1" t="s">
        <v>87</v>
      </c>
      <c r="D73" s="7">
        <v>50</v>
      </c>
      <c r="E73" s="7">
        <v>10.7</v>
      </c>
      <c r="F73" s="7">
        <v>3.1</v>
      </c>
      <c r="G73" s="7">
        <v>0.66500000000000004</v>
      </c>
      <c r="H73" s="7">
        <v>0</v>
      </c>
      <c r="I73" s="7">
        <v>0.8</v>
      </c>
      <c r="J73" s="7">
        <v>0.65</v>
      </c>
      <c r="K73" s="7">
        <v>4.3</v>
      </c>
      <c r="L73" s="7">
        <v>0.3</v>
      </c>
      <c r="M73" s="7">
        <v>0.2</v>
      </c>
      <c r="N73" s="7">
        <v>0.5</v>
      </c>
      <c r="O73" s="7">
        <v>0.5</v>
      </c>
      <c r="P73" s="7">
        <v>4.7</v>
      </c>
    </row>
    <row r="74" spans="1:16" x14ac:dyDescent="0.35">
      <c r="A74" s="1" t="s">
        <v>99</v>
      </c>
      <c r="B74" s="1" t="s">
        <v>15</v>
      </c>
      <c r="C74" s="1" t="s">
        <v>87</v>
      </c>
      <c r="D74" s="7">
        <v>5</v>
      </c>
      <c r="E74" s="7">
        <v>2.6</v>
      </c>
      <c r="F74" s="7">
        <v>0</v>
      </c>
      <c r="H74" s="7">
        <v>0</v>
      </c>
      <c r="I74" s="7">
        <v>0</v>
      </c>
      <c r="K74" s="7">
        <v>1</v>
      </c>
      <c r="L74" s="7">
        <v>0.2</v>
      </c>
      <c r="M74" s="7">
        <v>0</v>
      </c>
      <c r="N74" s="7">
        <v>0.4</v>
      </c>
      <c r="O74" s="7">
        <v>0.4</v>
      </c>
      <c r="P74" s="7">
        <v>0</v>
      </c>
    </row>
    <row r="75" spans="1:16" x14ac:dyDescent="0.35">
      <c r="A75" s="1" t="s">
        <v>100</v>
      </c>
      <c r="B75" s="1" t="s">
        <v>35</v>
      </c>
      <c r="C75" s="1" t="s">
        <v>32</v>
      </c>
      <c r="D75" s="7">
        <v>9</v>
      </c>
      <c r="E75" s="7">
        <v>5.9</v>
      </c>
      <c r="F75" s="7">
        <v>2.4</v>
      </c>
      <c r="G75" s="7">
        <v>0.27300000000000002</v>
      </c>
      <c r="H75" s="7">
        <v>0.1</v>
      </c>
      <c r="I75" s="7">
        <v>0.6</v>
      </c>
      <c r="J75" s="7">
        <v>0.8</v>
      </c>
      <c r="K75" s="7">
        <v>0.6</v>
      </c>
      <c r="L75" s="7">
        <v>0.4</v>
      </c>
      <c r="M75" s="7">
        <v>0</v>
      </c>
      <c r="N75" s="7">
        <v>0.1</v>
      </c>
      <c r="O75" s="7">
        <v>0.2</v>
      </c>
      <c r="P75" s="7">
        <v>1.9</v>
      </c>
    </row>
    <row r="76" spans="1:16" x14ac:dyDescent="0.35">
      <c r="A76" s="1" t="s">
        <v>101</v>
      </c>
      <c r="B76" s="1" t="s">
        <v>35</v>
      </c>
      <c r="C76" s="1" t="s">
        <v>54</v>
      </c>
      <c r="D76" s="7">
        <v>65</v>
      </c>
      <c r="E76" s="7">
        <v>27.3</v>
      </c>
      <c r="F76" s="7">
        <v>6.3</v>
      </c>
      <c r="G76" s="7">
        <v>0.51600000000000001</v>
      </c>
      <c r="H76" s="7">
        <v>0.9</v>
      </c>
      <c r="I76" s="7">
        <v>1.6</v>
      </c>
      <c r="J76" s="7">
        <v>0.84799999999999998</v>
      </c>
      <c r="K76" s="7">
        <v>4</v>
      </c>
      <c r="L76" s="7">
        <v>1.8</v>
      </c>
      <c r="M76" s="7">
        <v>1.4</v>
      </c>
      <c r="N76" s="7">
        <v>0.6</v>
      </c>
      <c r="O76" s="7">
        <v>1</v>
      </c>
      <c r="P76" s="7">
        <v>8.6999999999999993</v>
      </c>
    </row>
    <row r="77" spans="1:16" x14ac:dyDescent="0.35">
      <c r="A77" s="1" t="s">
        <v>102</v>
      </c>
      <c r="B77" s="1" t="s">
        <v>35</v>
      </c>
      <c r="C77" s="1" t="s">
        <v>56</v>
      </c>
      <c r="D77" s="7">
        <v>65</v>
      </c>
      <c r="E77" s="7">
        <v>30.7</v>
      </c>
      <c r="F77" s="7">
        <v>11.6</v>
      </c>
      <c r="G77" s="7">
        <v>0.42399999999999999</v>
      </c>
      <c r="H77" s="7">
        <v>1.5</v>
      </c>
      <c r="I77" s="7">
        <v>2</v>
      </c>
      <c r="J77" s="7">
        <v>0.80900000000000005</v>
      </c>
      <c r="K77" s="7">
        <v>5.6</v>
      </c>
      <c r="L77" s="7">
        <v>1.8</v>
      </c>
      <c r="M77" s="7">
        <v>0.6</v>
      </c>
      <c r="N77" s="7">
        <v>0.7</v>
      </c>
      <c r="O77" s="7">
        <v>1.5</v>
      </c>
      <c r="P77" s="7">
        <v>13</v>
      </c>
    </row>
    <row r="78" spans="1:16" x14ac:dyDescent="0.35">
      <c r="A78" s="1" t="s">
        <v>103</v>
      </c>
      <c r="B78" s="1" t="s">
        <v>35</v>
      </c>
      <c r="C78" s="1" t="s">
        <v>45</v>
      </c>
      <c r="D78" s="7">
        <v>19</v>
      </c>
      <c r="E78" s="7">
        <v>7.1</v>
      </c>
      <c r="F78" s="7">
        <v>1.9</v>
      </c>
      <c r="G78" s="7">
        <v>0.36099999999999999</v>
      </c>
      <c r="H78" s="7">
        <v>0.2</v>
      </c>
      <c r="I78" s="7">
        <v>0.5</v>
      </c>
      <c r="J78" s="7">
        <v>0.8</v>
      </c>
      <c r="K78" s="7">
        <v>1.4</v>
      </c>
      <c r="L78" s="7">
        <v>0.4</v>
      </c>
      <c r="M78" s="7">
        <v>0.2</v>
      </c>
      <c r="N78" s="7">
        <v>0.1</v>
      </c>
      <c r="O78" s="7">
        <v>0.4</v>
      </c>
      <c r="P78" s="7">
        <v>1.9</v>
      </c>
    </row>
    <row r="79" spans="1:16" x14ac:dyDescent="0.35">
      <c r="A79" s="1" t="s">
        <v>586</v>
      </c>
      <c r="B79" s="1" t="s">
        <v>25</v>
      </c>
      <c r="C79" s="1" t="s">
        <v>60</v>
      </c>
      <c r="D79" s="7">
        <v>17</v>
      </c>
      <c r="E79" s="7">
        <v>10.6</v>
      </c>
      <c r="F79" s="7">
        <v>3.5</v>
      </c>
      <c r="G79" s="7">
        <v>0.373</v>
      </c>
      <c r="H79" s="7">
        <v>1.2</v>
      </c>
      <c r="I79" s="7">
        <v>0.5</v>
      </c>
      <c r="J79" s="7">
        <v>0.875</v>
      </c>
      <c r="K79" s="7">
        <v>2.5</v>
      </c>
      <c r="L79" s="7">
        <v>0.6</v>
      </c>
      <c r="M79" s="7">
        <v>0.3</v>
      </c>
      <c r="N79" s="7">
        <v>0.2</v>
      </c>
      <c r="O79" s="7">
        <v>0.4</v>
      </c>
      <c r="P79" s="7">
        <v>4.2</v>
      </c>
    </row>
    <row r="80" spans="1:16" x14ac:dyDescent="0.35">
      <c r="A80" s="1" t="s">
        <v>104</v>
      </c>
      <c r="B80" s="1" t="s">
        <v>47</v>
      </c>
      <c r="C80" s="1" t="s">
        <v>83</v>
      </c>
      <c r="D80" s="7">
        <v>48</v>
      </c>
      <c r="E80" s="7">
        <v>30.7</v>
      </c>
      <c r="F80" s="7">
        <v>13.7</v>
      </c>
      <c r="G80" s="7">
        <v>0.439</v>
      </c>
      <c r="H80" s="7">
        <v>1.3</v>
      </c>
      <c r="I80" s="7">
        <v>3.4</v>
      </c>
      <c r="J80" s="7">
        <v>0.89500000000000002</v>
      </c>
      <c r="K80" s="7">
        <v>4.7</v>
      </c>
      <c r="L80" s="7">
        <v>7.1</v>
      </c>
      <c r="M80" s="7">
        <v>0.7</v>
      </c>
      <c r="N80" s="7">
        <v>0.2</v>
      </c>
      <c r="O80" s="7">
        <v>2.4</v>
      </c>
      <c r="P80" s="7">
        <v>16.3</v>
      </c>
    </row>
    <row r="81" spans="1:16" x14ac:dyDescent="0.35">
      <c r="A81" s="1" t="s">
        <v>105</v>
      </c>
      <c r="B81" s="1" t="s">
        <v>25</v>
      </c>
      <c r="C81" s="1" t="s">
        <v>28</v>
      </c>
      <c r="D81" s="7">
        <v>65</v>
      </c>
      <c r="E81" s="7">
        <v>28.5</v>
      </c>
      <c r="F81" s="7">
        <v>14.2</v>
      </c>
      <c r="G81" s="7">
        <v>0.40200000000000002</v>
      </c>
      <c r="H81" s="7">
        <v>2</v>
      </c>
      <c r="I81" s="7">
        <v>2.7</v>
      </c>
      <c r="J81" s="7">
        <v>0.80900000000000005</v>
      </c>
      <c r="K81" s="7">
        <v>3.3</v>
      </c>
      <c r="L81" s="7">
        <v>2</v>
      </c>
      <c r="M81" s="7">
        <v>0.9</v>
      </c>
      <c r="N81" s="7">
        <v>0.4</v>
      </c>
      <c r="O81" s="7">
        <v>1.7</v>
      </c>
      <c r="P81" s="7">
        <v>15.7</v>
      </c>
    </row>
    <row r="82" spans="1:16" x14ac:dyDescent="0.35">
      <c r="A82" s="1" t="s">
        <v>106</v>
      </c>
      <c r="B82" s="1" t="s">
        <v>25</v>
      </c>
      <c r="C82" s="1" t="s">
        <v>90</v>
      </c>
      <c r="D82" s="7">
        <v>58</v>
      </c>
      <c r="E82" s="7">
        <v>28.2</v>
      </c>
      <c r="F82" s="7">
        <v>7.7</v>
      </c>
      <c r="G82" s="7">
        <v>0.443</v>
      </c>
      <c r="H82" s="7">
        <v>0.6</v>
      </c>
      <c r="I82" s="7">
        <v>2.1</v>
      </c>
      <c r="J82" s="7">
        <v>0.73899999999999999</v>
      </c>
      <c r="K82" s="7">
        <v>4.7</v>
      </c>
      <c r="L82" s="7">
        <v>4</v>
      </c>
      <c r="M82" s="7">
        <v>1.1000000000000001</v>
      </c>
      <c r="N82" s="7">
        <v>0.5</v>
      </c>
      <c r="O82" s="7">
        <v>1.7</v>
      </c>
      <c r="P82" s="7">
        <v>8.9</v>
      </c>
    </row>
    <row r="83" spans="1:16" x14ac:dyDescent="0.35">
      <c r="A83" s="1" t="s">
        <v>107</v>
      </c>
      <c r="B83" s="1" t="s">
        <v>25</v>
      </c>
      <c r="C83" s="1" t="s">
        <v>77</v>
      </c>
      <c r="D83" s="7">
        <v>10</v>
      </c>
      <c r="E83" s="7">
        <v>4</v>
      </c>
      <c r="F83" s="7">
        <v>1.9</v>
      </c>
      <c r="G83" s="7">
        <v>0.316</v>
      </c>
      <c r="H83" s="7">
        <v>0.3</v>
      </c>
      <c r="I83" s="7">
        <v>0.5</v>
      </c>
      <c r="J83" s="7">
        <v>1</v>
      </c>
      <c r="K83" s="7">
        <v>0.4</v>
      </c>
      <c r="L83" s="7">
        <v>0.2</v>
      </c>
      <c r="M83" s="7">
        <v>0.2</v>
      </c>
      <c r="N83" s="7">
        <v>0.2</v>
      </c>
      <c r="O83" s="7">
        <v>0.3</v>
      </c>
      <c r="P83" s="7">
        <v>2</v>
      </c>
    </row>
    <row r="84" spans="1:16" x14ac:dyDescent="0.35">
      <c r="A84" s="1" t="s">
        <v>108</v>
      </c>
      <c r="B84" s="1" t="s">
        <v>35</v>
      </c>
      <c r="C84" s="1" t="s">
        <v>109</v>
      </c>
      <c r="D84" s="7">
        <v>50</v>
      </c>
      <c r="E84" s="7">
        <v>34</v>
      </c>
      <c r="F84" s="7">
        <v>15.4</v>
      </c>
      <c r="G84" s="7">
        <v>0.49</v>
      </c>
      <c r="H84" s="7">
        <v>2.1</v>
      </c>
      <c r="I84" s="7">
        <v>4.3</v>
      </c>
      <c r="J84" s="7">
        <v>0.73599999999999999</v>
      </c>
      <c r="K84" s="7">
        <v>6.4</v>
      </c>
      <c r="L84" s="7">
        <v>2.2000000000000002</v>
      </c>
      <c r="M84" s="7">
        <v>1.1000000000000001</v>
      </c>
      <c r="N84" s="7">
        <v>0.3</v>
      </c>
      <c r="O84" s="7">
        <v>2.2999999999999998</v>
      </c>
      <c r="P84" s="7">
        <v>20.399999999999999</v>
      </c>
    </row>
    <row r="85" spans="1:16" x14ac:dyDescent="0.35">
      <c r="A85" s="1" t="s">
        <v>110</v>
      </c>
      <c r="B85" s="1" t="s">
        <v>18</v>
      </c>
      <c r="C85" s="1" t="s">
        <v>44</v>
      </c>
      <c r="D85" s="7">
        <v>9</v>
      </c>
      <c r="E85" s="7">
        <v>3.7</v>
      </c>
      <c r="F85" s="7">
        <v>1.1000000000000001</v>
      </c>
      <c r="G85" s="7">
        <v>0.4</v>
      </c>
      <c r="H85" s="7">
        <v>0</v>
      </c>
      <c r="I85" s="7">
        <v>0.9</v>
      </c>
      <c r="J85" s="7">
        <v>0.375</v>
      </c>
      <c r="K85" s="7">
        <v>1.6</v>
      </c>
      <c r="L85" s="7">
        <v>0.1</v>
      </c>
      <c r="M85" s="7">
        <v>0.1</v>
      </c>
      <c r="N85" s="7">
        <v>0.1</v>
      </c>
      <c r="O85" s="7">
        <v>0.3</v>
      </c>
      <c r="P85" s="7">
        <v>1.2</v>
      </c>
    </row>
    <row r="86" spans="1:16" x14ac:dyDescent="0.35">
      <c r="A86" s="1" t="s">
        <v>111</v>
      </c>
      <c r="B86" s="1" t="s">
        <v>35</v>
      </c>
      <c r="C86" s="1" t="s">
        <v>39</v>
      </c>
      <c r="D86" s="7">
        <v>45</v>
      </c>
      <c r="E86" s="7">
        <v>14.8</v>
      </c>
      <c r="F86" s="7">
        <v>4.8</v>
      </c>
      <c r="G86" s="7">
        <v>0.36699999999999999</v>
      </c>
      <c r="H86" s="7">
        <v>0.8</v>
      </c>
      <c r="I86" s="7">
        <v>0.8</v>
      </c>
      <c r="J86" s="7">
        <v>0.77100000000000002</v>
      </c>
      <c r="K86" s="7">
        <v>3.7</v>
      </c>
      <c r="L86" s="7">
        <v>1</v>
      </c>
      <c r="M86" s="7">
        <v>0.5</v>
      </c>
      <c r="N86" s="7">
        <v>0.2</v>
      </c>
      <c r="O86" s="7">
        <v>0.8</v>
      </c>
      <c r="P86" s="7">
        <v>5</v>
      </c>
    </row>
    <row r="87" spans="1:16" x14ac:dyDescent="0.35">
      <c r="A87" s="1" t="s">
        <v>692</v>
      </c>
      <c r="B87" s="1" t="s">
        <v>25</v>
      </c>
      <c r="C87" s="1" t="s">
        <v>72</v>
      </c>
      <c r="D87" s="7">
        <v>61</v>
      </c>
      <c r="E87" s="7">
        <v>24.9</v>
      </c>
      <c r="F87" s="7">
        <v>8.3000000000000007</v>
      </c>
      <c r="G87" s="7">
        <v>0.45300000000000001</v>
      </c>
      <c r="H87" s="7">
        <v>0.8</v>
      </c>
      <c r="I87" s="7">
        <v>1.9</v>
      </c>
      <c r="J87" s="7">
        <v>0.754</v>
      </c>
      <c r="K87" s="7">
        <v>5.3</v>
      </c>
      <c r="L87" s="7">
        <v>2.2999999999999998</v>
      </c>
      <c r="M87" s="7">
        <v>1.2</v>
      </c>
      <c r="N87" s="7">
        <v>0.1</v>
      </c>
      <c r="O87" s="7">
        <v>1.1000000000000001</v>
      </c>
      <c r="P87" s="7">
        <v>9.6999999999999993</v>
      </c>
    </row>
    <row r="88" spans="1:16" x14ac:dyDescent="0.35">
      <c r="A88" s="1" t="s">
        <v>113</v>
      </c>
      <c r="B88" s="1" t="s">
        <v>47</v>
      </c>
      <c r="C88" s="1" t="s">
        <v>60</v>
      </c>
      <c r="D88" s="7">
        <v>57</v>
      </c>
      <c r="E88" s="7">
        <v>17.899999999999999</v>
      </c>
      <c r="F88" s="7">
        <v>6.8</v>
      </c>
      <c r="G88" s="7">
        <v>0.46600000000000003</v>
      </c>
      <c r="H88" s="7">
        <v>0.8</v>
      </c>
      <c r="I88" s="7">
        <v>1.3</v>
      </c>
      <c r="J88" s="7">
        <v>0.81299999999999994</v>
      </c>
      <c r="K88" s="7">
        <v>2.4</v>
      </c>
      <c r="L88" s="7">
        <v>3.3</v>
      </c>
      <c r="M88" s="7">
        <v>0.4</v>
      </c>
      <c r="N88" s="7">
        <v>0.1</v>
      </c>
      <c r="O88" s="7">
        <v>1.2</v>
      </c>
      <c r="P88" s="7">
        <v>8.1999999999999993</v>
      </c>
    </row>
    <row r="89" spans="1:16" x14ac:dyDescent="0.35">
      <c r="A89" s="1" t="s">
        <v>114</v>
      </c>
      <c r="B89" s="1" t="s">
        <v>18</v>
      </c>
      <c r="C89" s="1" t="s">
        <v>72</v>
      </c>
      <c r="D89" s="7">
        <v>38</v>
      </c>
      <c r="E89" s="7">
        <v>23.7</v>
      </c>
      <c r="F89" s="7">
        <v>8.1</v>
      </c>
      <c r="G89" s="7">
        <v>0.59899999999999998</v>
      </c>
      <c r="H89" s="7">
        <v>0.6</v>
      </c>
      <c r="I89" s="7">
        <v>2.5</v>
      </c>
      <c r="J89" s="7">
        <v>0.73699999999999999</v>
      </c>
      <c r="K89" s="7">
        <v>6.8</v>
      </c>
      <c r="L89" s="7">
        <v>1.9</v>
      </c>
      <c r="M89" s="7">
        <v>0.4</v>
      </c>
      <c r="N89" s="7">
        <v>0.9</v>
      </c>
      <c r="O89" s="7">
        <v>1.3</v>
      </c>
      <c r="P89" s="7">
        <v>12.1</v>
      </c>
    </row>
    <row r="90" spans="1:16" x14ac:dyDescent="0.35">
      <c r="A90" s="1" t="s">
        <v>115</v>
      </c>
      <c r="B90" s="1" t="s">
        <v>25</v>
      </c>
      <c r="C90" s="1" t="s">
        <v>32</v>
      </c>
      <c r="D90" s="7">
        <v>29</v>
      </c>
      <c r="E90" s="7">
        <v>23.6</v>
      </c>
      <c r="F90" s="7">
        <v>7.7</v>
      </c>
      <c r="G90" s="7">
        <v>0.40200000000000002</v>
      </c>
      <c r="H90" s="7">
        <v>1.3</v>
      </c>
      <c r="I90" s="7">
        <v>0.7</v>
      </c>
      <c r="J90" s="7">
        <v>0.81</v>
      </c>
      <c r="K90" s="7">
        <v>2.2999999999999998</v>
      </c>
      <c r="L90" s="7">
        <v>1.4</v>
      </c>
      <c r="M90" s="7">
        <v>0.9</v>
      </c>
      <c r="N90" s="7">
        <v>0.1</v>
      </c>
      <c r="O90" s="7">
        <v>0.7</v>
      </c>
      <c r="P90" s="7">
        <v>8.1</v>
      </c>
    </row>
    <row r="91" spans="1:16" x14ac:dyDescent="0.35">
      <c r="A91" s="1" t="s">
        <v>587</v>
      </c>
      <c r="B91" s="1" t="s">
        <v>47</v>
      </c>
      <c r="C91" s="1" t="s">
        <v>88</v>
      </c>
      <c r="D91" s="7">
        <v>25</v>
      </c>
      <c r="E91" s="7">
        <v>13.2</v>
      </c>
      <c r="F91" s="7">
        <v>5.0999999999999996</v>
      </c>
      <c r="G91" s="7">
        <v>0.46500000000000002</v>
      </c>
      <c r="H91" s="7">
        <v>0.6</v>
      </c>
      <c r="I91" s="7">
        <v>0.7</v>
      </c>
      <c r="J91" s="7">
        <v>0.72199999999999998</v>
      </c>
      <c r="K91" s="7">
        <v>1.4</v>
      </c>
      <c r="L91" s="7">
        <v>2.1</v>
      </c>
      <c r="M91" s="7">
        <v>0.3</v>
      </c>
      <c r="N91" s="7">
        <v>0</v>
      </c>
      <c r="O91" s="7">
        <v>0.5</v>
      </c>
      <c r="P91" s="7">
        <v>5.9</v>
      </c>
    </row>
    <row r="92" spans="1:16" x14ac:dyDescent="0.35">
      <c r="A92" s="1" t="s">
        <v>116</v>
      </c>
      <c r="B92" s="1" t="s">
        <v>25</v>
      </c>
      <c r="C92" s="1" t="s">
        <v>50</v>
      </c>
      <c r="D92" s="7">
        <v>59</v>
      </c>
      <c r="E92" s="7">
        <v>27.3</v>
      </c>
      <c r="F92" s="7">
        <v>11.9</v>
      </c>
      <c r="G92" s="7">
        <v>0.40400000000000003</v>
      </c>
      <c r="H92" s="7">
        <v>1.7</v>
      </c>
      <c r="I92" s="7">
        <v>4.3</v>
      </c>
      <c r="J92" s="7">
        <v>0.89600000000000002</v>
      </c>
      <c r="K92" s="7">
        <v>4.4000000000000004</v>
      </c>
      <c r="L92" s="7">
        <v>2.9</v>
      </c>
      <c r="M92" s="7">
        <v>1</v>
      </c>
      <c r="N92" s="7">
        <v>0.3</v>
      </c>
      <c r="O92" s="7">
        <v>1.4</v>
      </c>
      <c r="P92" s="7">
        <v>15.1</v>
      </c>
    </row>
    <row r="93" spans="1:16" x14ac:dyDescent="0.35">
      <c r="A93" s="1" t="s">
        <v>116</v>
      </c>
      <c r="B93" s="1" t="s">
        <v>25</v>
      </c>
      <c r="C93" s="1" t="s">
        <v>96</v>
      </c>
      <c r="D93" s="7">
        <v>48</v>
      </c>
      <c r="E93" s="7">
        <v>29</v>
      </c>
      <c r="F93" s="7">
        <v>12.5</v>
      </c>
      <c r="G93" s="7">
        <v>0.40600000000000003</v>
      </c>
      <c r="H93" s="7">
        <v>1.8</v>
      </c>
      <c r="I93" s="7">
        <v>4.7</v>
      </c>
      <c r="J93" s="7">
        <v>0.89700000000000002</v>
      </c>
      <c r="K93" s="7">
        <v>4.7</v>
      </c>
      <c r="L93" s="7">
        <v>3.1</v>
      </c>
      <c r="M93" s="7">
        <v>1</v>
      </c>
      <c r="N93" s="7">
        <v>0.4</v>
      </c>
      <c r="O93" s="7">
        <v>1.6</v>
      </c>
      <c r="P93" s="7">
        <v>16.100000000000001</v>
      </c>
    </row>
    <row r="94" spans="1:16" x14ac:dyDescent="0.35">
      <c r="A94" s="1" t="s">
        <v>116</v>
      </c>
      <c r="B94" s="1" t="s">
        <v>25</v>
      </c>
      <c r="C94" s="1" t="s">
        <v>88</v>
      </c>
      <c r="D94" s="7">
        <v>11</v>
      </c>
      <c r="E94" s="7">
        <v>20.2</v>
      </c>
      <c r="F94" s="7">
        <v>9.1</v>
      </c>
      <c r="G94" s="7">
        <v>0.39</v>
      </c>
      <c r="H94" s="7">
        <v>1.5</v>
      </c>
      <c r="I94" s="7">
        <v>2.5</v>
      </c>
      <c r="J94" s="7">
        <v>0.88900000000000001</v>
      </c>
      <c r="K94" s="7">
        <v>3.3</v>
      </c>
      <c r="L94" s="7">
        <v>1.8</v>
      </c>
      <c r="M94" s="7">
        <v>0.7</v>
      </c>
      <c r="N94" s="7">
        <v>0</v>
      </c>
      <c r="O94" s="7">
        <v>0.8</v>
      </c>
      <c r="P94" s="7">
        <v>10.7</v>
      </c>
    </row>
    <row r="95" spans="1:16" x14ac:dyDescent="0.35">
      <c r="A95" s="1" t="s">
        <v>117</v>
      </c>
      <c r="B95" s="1" t="s">
        <v>25</v>
      </c>
      <c r="C95" s="1" t="s">
        <v>19</v>
      </c>
      <c r="D95" s="7">
        <v>34</v>
      </c>
      <c r="E95" s="7">
        <v>8.4</v>
      </c>
      <c r="F95" s="7">
        <v>3.1</v>
      </c>
      <c r="G95" s="7">
        <v>0.371</v>
      </c>
      <c r="H95" s="7">
        <v>0.3</v>
      </c>
      <c r="I95" s="7">
        <v>0.4</v>
      </c>
      <c r="J95" s="7">
        <v>0.5</v>
      </c>
      <c r="K95" s="7">
        <v>1.4</v>
      </c>
      <c r="L95" s="7">
        <v>0.3</v>
      </c>
      <c r="M95" s="7">
        <v>0.1</v>
      </c>
      <c r="N95" s="7">
        <v>0.3</v>
      </c>
      <c r="O95" s="7">
        <v>0.4</v>
      </c>
      <c r="P95" s="7">
        <v>2.8</v>
      </c>
    </row>
    <row r="96" spans="1:16" x14ac:dyDescent="0.35">
      <c r="A96" s="1" t="s">
        <v>118</v>
      </c>
      <c r="B96" s="1" t="s">
        <v>35</v>
      </c>
      <c r="C96" s="1" t="s">
        <v>21</v>
      </c>
      <c r="D96" s="7">
        <v>54</v>
      </c>
      <c r="E96" s="7">
        <v>34.299999999999997</v>
      </c>
      <c r="F96" s="7">
        <v>13.4</v>
      </c>
      <c r="G96" s="7">
        <v>0.45400000000000001</v>
      </c>
      <c r="H96" s="7">
        <v>0.5</v>
      </c>
      <c r="I96" s="7">
        <v>9.1</v>
      </c>
      <c r="J96" s="7">
        <v>0.83299999999999996</v>
      </c>
      <c r="K96" s="7">
        <v>6.6</v>
      </c>
      <c r="L96" s="7">
        <v>6.1</v>
      </c>
      <c r="M96" s="7">
        <v>1.7</v>
      </c>
      <c r="N96" s="7">
        <v>0.5</v>
      </c>
      <c r="O96" s="7">
        <v>2.2000000000000002</v>
      </c>
      <c r="P96" s="7">
        <v>20.2</v>
      </c>
    </row>
    <row r="97" spans="1:16" x14ac:dyDescent="0.35">
      <c r="A97" s="1" t="s">
        <v>119</v>
      </c>
      <c r="B97" s="1" t="s">
        <v>35</v>
      </c>
      <c r="C97" s="1" t="s">
        <v>50</v>
      </c>
      <c r="D97" s="7">
        <v>27</v>
      </c>
      <c r="E97" s="7">
        <v>8.1</v>
      </c>
      <c r="F97" s="7">
        <v>2.9</v>
      </c>
      <c r="G97" s="7">
        <v>0.41599999999999998</v>
      </c>
      <c r="H97" s="7">
        <v>0.1</v>
      </c>
      <c r="I97" s="7">
        <v>0.2</v>
      </c>
      <c r="J97" s="7">
        <v>0.8</v>
      </c>
      <c r="K97" s="7">
        <v>2</v>
      </c>
      <c r="L97" s="7">
        <v>0.4</v>
      </c>
      <c r="M97" s="7">
        <v>0.4</v>
      </c>
      <c r="N97" s="7">
        <v>0.6</v>
      </c>
      <c r="O97" s="7">
        <v>0.3</v>
      </c>
      <c r="P97" s="7">
        <v>2.7</v>
      </c>
    </row>
    <row r="98" spans="1:16" x14ac:dyDescent="0.35">
      <c r="A98" s="1" t="s">
        <v>119</v>
      </c>
      <c r="B98" s="1" t="s">
        <v>35</v>
      </c>
      <c r="C98" s="1" t="s">
        <v>28</v>
      </c>
      <c r="D98" s="7">
        <v>22</v>
      </c>
      <c r="E98" s="7">
        <v>8.6999999999999993</v>
      </c>
      <c r="F98" s="7">
        <v>3.1</v>
      </c>
      <c r="G98" s="7">
        <v>0.40600000000000003</v>
      </c>
      <c r="H98" s="7">
        <v>0.2</v>
      </c>
      <c r="I98" s="7">
        <v>0.1</v>
      </c>
      <c r="J98" s="7">
        <v>0.66700000000000004</v>
      </c>
      <c r="K98" s="7">
        <v>2</v>
      </c>
      <c r="L98" s="7">
        <v>0.5</v>
      </c>
      <c r="M98" s="7">
        <v>0.5</v>
      </c>
      <c r="N98" s="7">
        <v>0.5</v>
      </c>
      <c r="O98" s="7">
        <v>0.3</v>
      </c>
      <c r="P98" s="7">
        <v>2.8</v>
      </c>
    </row>
    <row r="99" spans="1:16" x14ac:dyDescent="0.35">
      <c r="A99" s="1" t="s">
        <v>119</v>
      </c>
      <c r="B99" s="1" t="s">
        <v>35</v>
      </c>
      <c r="C99" s="1" t="s">
        <v>37</v>
      </c>
      <c r="D99" s="7">
        <v>5</v>
      </c>
      <c r="E99" s="7">
        <v>5.6</v>
      </c>
      <c r="F99" s="7">
        <v>1.6</v>
      </c>
      <c r="G99" s="7">
        <v>0.5</v>
      </c>
      <c r="H99" s="7">
        <v>0</v>
      </c>
      <c r="I99" s="7">
        <v>0.4</v>
      </c>
      <c r="J99" s="7">
        <v>1</v>
      </c>
      <c r="K99" s="7">
        <v>1.8</v>
      </c>
      <c r="L99" s="7">
        <v>0.4</v>
      </c>
      <c r="M99" s="7">
        <v>0.4</v>
      </c>
      <c r="N99" s="7">
        <v>0.8</v>
      </c>
      <c r="O99" s="7">
        <v>0.4</v>
      </c>
      <c r="P99" s="7">
        <v>2</v>
      </c>
    </row>
    <row r="100" spans="1:16" x14ac:dyDescent="0.35">
      <c r="A100" s="1" t="s">
        <v>120</v>
      </c>
      <c r="B100" s="1" t="s">
        <v>25</v>
      </c>
      <c r="C100" s="1" t="s">
        <v>41</v>
      </c>
      <c r="D100" s="7">
        <v>63</v>
      </c>
      <c r="E100" s="7">
        <v>25.4</v>
      </c>
      <c r="F100" s="7">
        <v>7.4</v>
      </c>
      <c r="G100" s="7">
        <v>0.47199999999999998</v>
      </c>
      <c r="H100" s="7">
        <v>1.4</v>
      </c>
      <c r="I100" s="7">
        <v>1.5</v>
      </c>
      <c r="J100" s="7">
        <v>0.77900000000000003</v>
      </c>
      <c r="K100" s="7">
        <v>2.1</v>
      </c>
      <c r="L100" s="7">
        <v>1.7</v>
      </c>
      <c r="M100" s="7">
        <v>0.8</v>
      </c>
      <c r="N100" s="7">
        <v>0.2</v>
      </c>
      <c r="O100" s="7">
        <v>0.9</v>
      </c>
      <c r="P100" s="7">
        <v>9.5</v>
      </c>
    </row>
    <row r="101" spans="1:16" x14ac:dyDescent="0.35">
      <c r="A101" s="1" t="s">
        <v>652</v>
      </c>
      <c r="B101" s="1" t="s">
        <v>35</v>
      </c>
      <c r="C101" s="1" t="s">
        <v>63</v>
      </c>
      <c r="D101" s="7">
        <v>14</v>
      </c>
      <c r="E101" s="7">
        <v>3.2</v>
      </c>
      <c r="F101" s="7">
        <v>1.1000000000000001</v>
      </c>
      <c r="G101" s="7">
        <v>0.4</v>
      </c>
      <c r="H101" s="7">
        <v>0.1</v>
      </c>
      <c r="I101" s="7">
        <v>0.3</v>
      </c>
      <c r="J101" s="7">
        <v>1</v>
      </c>
      <c r="K101" s="7">
        <v>0.7</v>
      </c>
      <c r="L101" s="7">
        <v>0.2</v>
      </c>
      <c r="M101" s="7">
        <v>0.1</v>
      </c>
      <c r="N101" s="7">
        <v>0.1</v>
      </c>
      <c r="O101" s="7">
        <v>0.2</v>
      </c>
      <c r="P101" s="7">
        <v>1.2</v>
      </c>
    </row>
    <row r="102" spans="1:16" x14ac:dyDescent="0.35">
      <c r="A102" s="1" t="s">
        <v>121</v>
      </c>
      <c r="B102" s="1" t="s">
        <v>18</v>
      </c>
      <c r="C102" s="1" t="s">
        <v>37</v>
      </c>
      <c r="D102" s="7">
        <v>39</v>
      </c>
      <c r="E102" s="7">
        <v>32.799999999999997</v>
      </c>
      <c r="F102" s="7">
        <v>9.9</v>
      </c>
      <c r="G102" s="7">
        <v>0.629</v>
      </c>
      <c r="H102" s="7">
        <v>0</v>
      </c>
      <c r="I102" s="7">
        <v>2.7</v>
      </c>
      <c r="J102" s="7">
        <v>0.52900000000000003</v>
      </c>
      <c r="K102" s="7">
        <v>13.8</v>
      </c>
      <c r="L102" s="7">
        <v>1.2</v>
      </c>
      <c r="M102" s="7">
        <v>0.8</v>
      </c>
      <c r="N102" s="7">
        <v>1.8</v>
      </c>
      <c r="O102" s="7">
        <v>1.6</v>
      </c>
      <c r="P102" s="7">
        <v>13.9</v>
      </c>
    </row>
    <row r="103" spans="1:16" x14ac:dyDescent="0.35">
      <c r="A103" s="1" t="s">
        <v>122</v>
      </c>
      <c r="B103" s="1" t="s">
        <v>35</v>
      </c>
      <c r="C103" s="1" t="s">
        <v>50</v>
      </c>
      <c r="D103" s="7">
        <v>21</v>
      </c>
      <c r="E103" s="7">
        <v>11</v>
      </c>
      <c r="F103" s="7">
        <v>2.6</v>
      </c>
      <c r="G103" s="7">
        <v>0.38900000000000001</v>
      </c>
      <c r="H103" s="7">
        <v>0.3</v>
      </c>
      <c r="I103" s="7">
        <v>1.7</v>
      </c>
      <c r="J103" s="7">
        <v>0.66700000000000004</v>
      </c>
      <c r="K103" s="7">
        <v>2.2000000000000002</v>
      </c>
      <c r="L103" s="7">
        <v>0.9</v>
      </c>
      <c r="M103" s="7">
        <v>0.2</v>
      </c>
      <c r="N103" s="7">
        <v>0.2</v>
      </c>
      <c r="O103" s="7">
        <v>0.8</v>
      </c>
      <c r="P103" s="7">
        <v>3.5</v>
      </c>
    </row>
    <row r="104" spans="1:16" x14ac:dyDescent="0.35">
      <c r="A104" s="1" t="s">
        <v>122</v>
      </c>
      <c r="B104" s="1" t="s">
        <v>35</v>
      </c>
      <c r="C104" s="1" t="s">
        <v>23</v>
      </c>
      <c r="D104" s="7">
        <v>15</v>
      </c>
      <c r="E104" s="7">
        <v>9</v>
      </c>
      <c r="F104" s="7">
        <v>1.9</v>
      </c>
      <c r="G104" s="7">
        <v>0.31</v>
      </c>
      <c r="H104" s="7">
        <v>0.2</v>
      </c>
      <c r="I104" s="7">
        <v>1.3</v>
      </c>
      <c r="J104" s="7">
        <v>0.6</v>
      </c>
      <c r="K104" s="7">
        <v>2.1</v>
      </c>
      <c r="L104" s="7">
        <v>0.7</v>
      </c>
      <c r="M104" s="7">
        <v>0.1</v>
      </c>
      <c r="N104" s="7">
        <v>0.1</v>
      </c>
      <c r="O104" s="7">
        <v>0.7</v>
      </c>
      <c r="P104" s="7">
        <v>2.2000000000000002</v>
      </c>
    </row>
    <row r="105" spans="1:16" x14ac:dyDescent="0.35">
      <c r="A105" s="1" t="s">
        <v>122</v>
      </c>
      <c r="B105" s="1" t="s">
        <v>35</v>
      </c>
      <c r="C105" s="1" t="s">
        <v>37</v>
      </c>
      <c r="D105" s="7">
        <v>6</v>
      </c>
      <c r="E105" s="7">
        <v>16</v>
      </c>
      <c r="F105" s="7">
        <v>4.2</v>
      </c>
      <c r="G105" s="7">
        <v>0.48</v>
      </c>
      <c r="H105" s="7">
        <v>0.7</v>
      </c>
      <c r="I105" s="7">
        <v>2.7</v>
      </c>
      <c r="J105" s="7">
        <v>0.75</v>
      </c>
      <c r="K105" s="7">
        <v>2.7</v>
      </c>
      <c r="L105" s="7">
        <v>1.2</v>
      </c>
      <c r="M105" s="7">
        <v>0.3</v>
      </c>
      <c r="N105" s="7">
        <v>0.3</v>
      </c>
      <c r="O105" s="7">
        <v>1</v>
      </c>
      <c r="P105" s="7">
        <v>6.7</v>
      </c>
    </row>
    <row r="106" spans="1:16" x14ac:dyDescent="0.35">
      <c r="A106" s="1" t="s">
        <v>123</v>
      </c>
      <c r="B106" s="1" t="s">
        <v>47</v>
      </c>
      <c r="C106" s="1" t="s">
        <v>54</v>
      </c>
      <c r="D106" s="7">
        <v>50</v>
      </c>
      <c r="E106" s="7">
        <v>15.1</v>
      </c>
      <c r="F106" s="7">
        <v>4.0999999999999996</v>
      </c>
      <c r="G106" s="7">
        <v>0.4</v>
      </c>
      <c r="H106" s="7">
        <v>0.9</v>
      </c>
      <c r="I106" s="7">
        <v>0.5</v>
      </c>
      <c r="J106" s="7">
        <v>0.84</v>
      </c>
      <c r="K106" s="7">
        <v>2</v>
      </c>
      <c r="L106" s="7">
        <v>1.3</v>
      </c>
      <c r="M106" s="7">
        <v>0.8</v>
      </c>
      <c r="N106" s="7">
        <v>0.3</v>
      </c>
      <c r="O106" s="7">
        <v>0.6</v>
      </c>
      <c r="P106" s="7">
        <v>4.5999999999999996</v>
      </c>
    </row>
    <row r="107" spans="1:16" x14ac:dyDescent="0.35">
      <c r="A107" s="1" t="s">
        <v>124</v>
      </c>
      <c r="B107" s="1" t="s">
        <v>35</v>
      </c>
      <c r="C107" s="1" t="s">
        <v>77</v>
      </c>
      <c r="D107" s="7">
        <v>60</v>
      </c>
      <c r="E107" s="7">
        <v>14.6</v>
      </c>
      <c r="F107" s="7">
        <v>5.0999999999999996</v>
      </c>
      <c r="G107" s="7">
        <v>0.35199999999999998</v>
      </c>
      <c r="H107" s="7">
        <v>1</v>
      </c>
      <c r="I107" s="7">
        <v>0.5</v>
      </c>
      <c r="J107" s="7">
        <v>0.79300000000000004</v>
      </c>
      <c r="K107" s="7">
        <v>2.1</v>
      </c>
      <c r="L107" s="7">
        <v>0.8</v>
      </c>
      <c r="M107" s="7">
        <v>0.4</v>
      </c>
      <c r="N107" s="7">
        <v>0.4</v>
      </c>
      <c r="O107" s="7">
        <v>0.6</v>
      </c>
      <c r="P107" s="7">
        <v>5</v>
      </c>
    </row>
    <row r="108" spans="1:16" x14ac:dyDescent="0.35">
      <c r="A108" s="1" t="s">
        <v>693</v>
      </c>
      <c r="B108" s="1" t="s">
        <v>18</v>
      </c>
      <c r="C108" s="1" t="s">
        <v>48</v>
      </c>
      <c r="D108" s="7">
        <v>43</v>
      </c>
      <c r="E108" s="7">
        <v>29.2</v>
      </c>
      <c r="F108" s="7">
        <v>8</v>
      </c>
      <c r="G108" s="7">
        <v>0.53400000000000003</v>
      </c>
      <c r="H108" s="7">
        <v>0.1</v>
      </c>
      <c r="I108" s="7">
        <v>3.5</v>
      </c>
      <c r="J108" s="7">
        <v>0.73699999999999999</v>
      </c>
      <c r="K108" s="7">
        <v>9.4</v>
      </c>
      <c r="L108" s="7">
        <v>1.2</v>
      </c>
      <c r="M108" s="7">
        <v>0.8</v>
      </c>
      <c r="N108" s="7">
        <v>0.8</v>
      </c>
      <c r="O108" s="7">
        <v>1.7</v>
      </c>
      <c r="P108" s="7">
        <v>11.3</v>
      </c>
    </row>
    <row r="109" spans="1:16" x14ac:dyDescent="0.35">
      <c r="A109" s="1" t="s">
        <v>126</v>
      </c>
      <c r="B109" s="1" t="s">
        <v>25</v>
      </c>
      <c r="C109" s="1" t="s">
        <v>34</v>
      </c>
      <c r="D109" s="7">
        <v>42</v>
      </c>
      <c r="E109" s="7">
        <v>18.399999999999999</v>
      </c>
      <c r="F109" s="7">
        <v>5.8</v>
      </c>
      <c r="G109" s="7">
        <v>0.434</v>
      </c>
      <c r="H109" s="7">
        <v>0.5</v>
      </c>
      <c r="I109" s="7">
        <v>2.1</v>
      </c>
      <c r="J109" s="7">
        <v>0.82799999999999996</v>
      </c>
      <c r="K109" s="7">
        <v>3.3</v>
      </c>
      <c r="L109" s="7">
        <v>2.4</v>
      </c>
      <c r="M109" s="7">
        <v>1.1000000000000001</v>
      </c>
      <c r="N109" s="7">
        <v>0.5</v>
      </c>
      <c r="O109" s="7">
        <v>1.1000000000000001</v>
      </c>
      <c r="P109" s="7">
        <v>7.2</v>
      </c>
    </row>
    <row r="110" spans="1:16" x14ac:dyDescent="0.35">
      <c r="A110" s="1" t="s">
        <v>127</v>
      </c>
      <c r="B110" s="1" t="s">
        <v>47</v>
      </c>
      <c r="C110" s="1" t="s">
        <v>41</v>
      </c>
      <c r="D110" s="7">
        <v>58</v>
      </c>
      <c r="E110" s="7">
        <v>17.8</v>
      </c>
      <c r="F110" s="7">
        <v>4.5</v>
      </c>
      <c r="G110" s="7">
        <v>0.42299999999999999</v>
      </c>
      <c r="H110" s="7">
        <v>0.7</v>
      </c>
      <c r="I110" s="7">
        <v>1.3</v>
      </c>
      <c r="J110" s="7">
        <v>0.76300000000000001</v>
      </c>
      <c r="K110" s="7">
        <v>1.9</v>
      </c>
      <c r="L110" s="7">
        <v>1.8</v>
      </c>
      <c r="M110" s="7">
        <v>1</v>
      </c>
      <c r="N110" s="7">
        <v>0.3</v>
      </c>
      <c r="O110" s="7">
        <v>0.8</v>
      </c>
      <c r="P110" s="7">
        <v>5.4</v>
      </c>
    </row>
    <row r="111" spans="1:16" x14ac:dyDescent="0.35">
      <c r="A111" s="1" t="s">
        <v>128</v>
      </c>
      <c r="B111" s="1" t="s">
        <v>18</v>
      </c>
      <c r="C111" s="1" t="s">
        <v>50</v>
      </c>
      <c r="D111" s="7">
        <v>54</v>
      </c>
      <c r="E111" s="7">
        <v>20.3</v>
      </c>
      <c r="F111" s="7">
        <v>5.6</v>
      </c>
      <c r="G111" s="7">
        <v>0.57899999999999996</v>
      </c>
      <c r="H111" s="7">
        <v>0</v>
      </c>
      <c r="I111" s="7">
        <v>1.2</v>
      </c>
      <c r="J111" s="7">
        <v>0.60599999999999998</v>
      </c>
      <c r="K111" s="7">
        <v>5.8</v>
      </c>
      <c r="L111" s="7">
        <v>1.3</v>
      </c>
      <c r="M111" s="7">
        <v>0.9</v>
      </c>
      <c r="N111" s="7">
        <v>1.1000000000000001</v>
      </c>
      <c r="O111" s="7">
        <v>0.7</v>
      </c>
      <c r="P111" s="7">
        <v>7.2</v>
      </c>
    </row>
    <row r="112" spans="1:16" x14ac:dyDescent="0.35">
      <c r="A112" s="1" t="s">
        <v>128</v>
      </c>
      <c r="B112" s="1" t="s">
        <v>18</v>
      </c>
      <c r="C112" s="1" t="s">
        <v>96</v>
      </c>
      <c r="D112" s="7">
        <v>41</v>
      </c>
      <c r="E112" s="7">
        <v>22.9</v>
      </c>
      <c r="F112" s="7">
        <v>6.3</v>
      </c>
      <c r="G112" s="7">
        <v>0.56000000000000005</v>
      </c>
      <c r="H112" s="7">
        <v>0</v>
      </c>
      <c r="I112" s="7">
        <v>1.4</v>
      </c>
      <c r="J112" s="7">
        <v>0.61399999999999999</v>
      </c>
      <c r="K112" s="7">
        <v>6.2</v>
      </c>
      <c r="L112" s="7">
        <v>1.5</v>
      </c>
      <c r="M112" s="7">
        <v>1.1000000000000001</v>
      </c>
      <c r="N112" s="7">
        <v>1.2</v>
      </c>
      <c r="O112" s="7">
        <v>0.9</v>
      </c>
      <c r="P112" s="7">
        <v>7.9</v>
      </c>
    </row>
    <row r="113" spans="1:16" x14ac:dyDescent="0.35">
      <c r="A113" s="1" t="s">
        <v>128</v>
      </c>
      <c r="B113" s="1" t="s">
        <v>18</v>
      </c>
      <c r="C113" s="1" t="s">
        <v>60</v>
      </c>
      <c r="D113" s="7">
        <v>13</v>
      </c>
      <c r="E113" s="7">
        <v>12.1</v>
      </c>
      <c r="F113" s="7">
        <v>3.5</v>
      </c>
      <c r="G113" s="7">
        <v>0.68899999999999995</v>
      </c>
      <c r="H113" s="7">
        <v>0</v>
      </c>
      <c r="I113" s="7">
        <v>0.7</v>
      </c>
      <c r="J113" s="7">
        <v>0.55600000000000005</v>
      </c>
      <c r="K113" s="7">
        <v>4.5999999999999996</v>
      </c>
      <c r="L113" s="7">
        <v>0.8</v>
      </c>
      <c r="M113" s="7">
        <v>0.3</v>
      </c>
      <c r="N113" s="7">
        <v>0.8</v>
      </c>
      <c r="O113" s="7">
        <v>0.4</v>
      </c>
      <c r="P113" s="7">
        <v>5.2</v>
      </c>
    </row>
    <row r="114" spans="1:16" x14ac:dyDescent="0.35">
      <c r="A114" s="1" t="s">
        <v>129</v>
      </c>
      <c r="B114" s="1" t="s">
        <v>18</v>
      </c>
      <c r="C114" s="1" t="s">
        <v>37</v>
      </c>
      <c r="D114" s="7">
        <v>26</v>
      </c>
      <c r="E114" s="7">
        <v>8.4</v>
      </c>
      <c r="F114" s="7">
        <v>0.7</v>
      </c>
      <c r="G114" s="7">
        <v>0.77800000000000002</v>
      </c>
      <c r="H114" s="7">
        <v>0</v>
      </c>
      <c r="I114" s="7">
        <v>0.5</v>
      </c>
      <c r="J114" s="7">
        <v>0.46200000000000002</v>
      </c>
      <c r="K114" s="7">
        <v>2.5</v>
      </c>
      <c r="L114" s="7">
        <v>0.2</v>
      </c>
      <c r="M114" s="7">
        <v>0.2</v>
      </c>
      <c r="N114" s="7">
        <v>0.3</v>
      </c>
      <c r="O114" s="7">
        <v>0.3</v>
      </c>
      <c r="P114" s="7">
        <v>1.3</v>
      </c>
    </row>
    <row r="115" spans="1:16" x14ac:dyDescent="0.35">
      <c r="A115" s="1" t="s">
        <v>130</v>
      </c>
      <c r="B115" s="1" t="s">
        <v>35</v>
      </c>
      <c r="C115" s="1" t="s">
        <v>30</v>
      </c>
      <c r="D115" s="7">
        <v>35</v>
      </c>
      <c r="E115" s="7">
        <v>21</v>
      </c>
      <c r="F115" s="7">
        <v>5.2</v>
      </c>
      <c r="G115" s="7">
        <v>0.40400000000000003</v>
      </c>
      <c r="H115" s="7">
        <v>1.1000000000000001</v>
      </c>
      <c r="I115" s="7">
        <v>0.7</v>
      </c>
      <c r="J115" s="7">
        <v>0.87</v>
      </c>
      <c r="K115" s="7">
        <v>4.0999999999999996</v>
      </c>
      <c r="L115" s="7">
        <v>1.1000000000000001</v>
      </c>
      <c r="M115" s="7">
        <v>0.5</v>
      </c>
      <c r="N115" s="7">
        <v>0.3</v>
      </c>
      <c r="O115" s="7">
        <v>1</v>
      </c>
      <c r="P115" s="7">
        <v>5.9</v>
      </c>
    </row>
    <row r="116" spans="1:16" x14ac:dyDescent="0.35">
      <c r="A116" s="1" t="s">
        <v>588</v>
      </c>
      <c r="B116" s="1" t="s">
        <v>47</v>
      </c>
      <c r="C116" s="1" t="s">
        <v>56</v>
      </c>
      <c r="D116" s="7">
        <v>4</v>
      </c>
      <c r="E116" s="7">
        <v>8.3000000000000007</v>
      </c>
      <c r="F116" s="7">
        <v>1.8</v>
      </c>
      <c r="G116" s="7">
        <v>0</v>
      </c>
      <c r="H116" s="7">
        <v>0</v>
      </c>
      <c r="I116" s="7">
        <v>0.5</v>
      </c>
      <c r="J116" s="7">
        <v>1</v>
      </c>
      <c r="K116" s="7">
        <v>0</v>
      </c>
      <c r="L116" s="7">
        <v>0.3</v>
      </c>
      <c r="M116" s="7">
        <v>1</v>
      </c>
      <c r="N116" s="7">
        <v>0</v>
      </c>
      <c r="O116" s="7">
        <v>0.5</v>
      </c>
      <c r="P116" s="7">
        <v>0.5</v>
      </c>
    </row>
    <row r="117" spans="1:16" x14ac:dyDescent="0.35">
      <c r="A117" s="1" t="s">
        <v>131</v>
      </c>
      <c r="B117" s="1" t="s">
        <v>35</v>
      </c>
      <c r="C117" s="1" t="s">
        <v>26</v>
      </c>
      <c r="D117" s="7">
        <v>3</v>
      </c>
      <c r="E117" s="7">
        <v>10.3</v>
      </c>
      <c r="F117" s="7">
        <v>1.7</v>
      </c>
      <c r="G117" s="7">
        <v>0.4</v>
      </c>
      <c r="H117" s="7">
        <v>0</v>
      </c>
      <c r="I117" s="7">
        <v>0</v>
      </c>
      <c r="K117" s="7">
        <v>2</v>
      </c>
      <c r="L117" s="7">
        <v>0.7</v>
      </c>
      <c r="M117" s="7">
        <v>0</v>
      </c>
      <c r="N117" s="7">
        <v>0.3</v>
      </c>
      <c r="O117" s="7">
        <v>1</v>
      </c>
      <c r="P117" s="7">
        <v>1.3</v>
      </c>
    </row>
    <row r="118" spans="1:16" x14ac:dyDescent="0.35">
      <c r="A118" s="1" t="s">
        <v>132</v>
      </c>
      <c r="B118" s="1" t="s">
        <v>47</v>
      </c>
      <c r="C118" s="1" t="s">
        <v>50</v>
      </c>
      <c r="D118" s="7">
        <v>21</v>
      </c>
      <c r="E118" s="7">
        <v>11.9</v>
      </c>
      <c r="F118" s="7">
        <v>3.8</v>
      </c>
      <c r="G118" s="7">
        <v>0.40500000000000003</v>
      </c>
      <c r="H118" s="7">
        <v>0.9</v>
      </c>
      <c r="I118" s="7">
        <v>0.1</v>
      </c>
      <c r="J118" s="7">
        <v>1</v>
      </c>
      <c r="K118" s="7">
        <v>1.7</v>
      </c>
      <c r="L118" s="7">
        <v>2.2999999999999998</v>
      </c>
      <c r="M118" s="7">
        <v>0.7</v>
      </c>
      <c r="N118" s="7">
        <v>0.1</v>
      </c>
      <c r="O118" s="7">
        <v>0.8</v>
      </c>
      <c r="P118" s="7">
        <v>4</v>
      </c>
    </row>
    <row r="119" spans="1:16" x14ac:dyDescent="0.35">
      <c r="A119" s="1" t="s">
        <v>132</v>
      </c>
      <c r="B119" s="1" t="s">
        <v>47</v>
      </c>
      <c r="C119" s="1" t="s">
        <v>72</v>
      </c>
      <c r="D119" s="7">
        <v>10</v>
      </c>
      <c r="E119" s="7">
        <v>12.3</v>
      </c>
      <c r="F119" s="7">
        <v>3.4</v>
      </c>
      <c r="G119" s="7">
        <v>0.29399999999999998</v>
      </c>
      <c r="H119" s="7">
        <v>0.7</v>
      </c>
      <c r="I119" s="7">
        <v>0</v>
      </c>
      <c r="K119" s="7">
        <v>1.5</v>
      </c>
      <c r="L119" s="7">
        <v>2.8</v>
      </c>
      <c r="M119" s="7">
        <v>1</v>
      </c>
      <c r="N119" s="7">
        <v>0.2</v>
      </c>
      <c r="O119" s="7">
        <v>0.9</v>
      </c>
      <c r="P119" s="7">
        <v>2.7</v>
      </c>
    </row>
    <row r="120" spans="1:16" x14ac:dyDescent="0.35">
      <c r="A120" s="1" t="s">
        <v>132</v>
      </c>
      <c r="B120" s="1" t="s">
        <v>47</v>
      </c>
      <c r="C120" s="1" t="s">
        <v>30</v>
      </c>
      <c r="D120" s="7">
        <v>11</v>
      </c>
      <c r="E120" s="7">
        <v>11.5</v>
      </c>
      <c r="F120" s="7">
        <v>4.0999999999999996</v>
      </c>
      <c r="G120" s="7">
        <v>0.48899999999999999</v>
      </c>
      <c r="H120" s="7">
        <v>1</v>
      </c>
      <c r="I120" s="7">
        <v>0.2</v>
      </c>
      <c r="J120" s="7">
        <v>1</v>
      </c>
      <c r="K120" s="7">
        <v>1.8</v>
      </c>
      <c r="L120" s="7">
        <v>1.8</v>
      </c>
      <c r="M120" s="7">
        <v>0.5</v>
      </c>
      <c r="N120" s="7">
        <v>0</v>
      </c>
      <c r="O120" s="7">
        <v>0.7</v>
      </c>
      <c r="P120" s="7">
        <v>5.2</v>
      </c>
    </row>
    <row r="121" spans="1:16" x14ac:dyDescent="0.35">
      <c r="A121" s="1" t="s">
        <v>133</v>
      </c>
      <c r="B121" s="1" t="s">
        <v>15</v>
      </c>
      <c r="C121" s="1" t="s">
        <v>96</v>
      </c>
      <c r="D121" s="7">
        <v>59</v>
      </c>
      <c r="E121" s="7">
        <v>20.3</v>
      </c>
      <c r="F121" s="7">
        <v>6.5</v>
      </c>
      <c r="G121" s="7">
        <v>0.54500000000000004</v>
      </c>
      <c r="H121" s="7">
        <v>0.1</v>
      </c>
      <c r="I121" s="7">
        <v>2.6</v>
      </c>
      <c r="J121" s="7">
        <v>0.76900000000000002</v>
      </c>
      <c r="K121" s="7">
        <v>6.2</v>
      </c>
      <c r="L121" s="7">
        <v>1.9</v>
      </c>
      <c r="M121" s="7">
        <v>0.7</v>
      </c>
      <c r="N121" s="7">
        <v>1.1000000000000001</v>
      </c>
      <c r="O121" s="7">
        <v>1.3</v>
      </c>
      <c r="P121" s="7">
        <v>9.3000000000000007</v>
      </c>
    </row>
    <row r="122" spans="1:16" x14ac:dyDescent="0.35">
      <c r="A122" s="1" t="s">
        <v>134</v>
      </c>
      <c r="B122" s="1" t="s">
        <v>15</v>
      </c>
      <c r="C122" s="1" t="s">
        <v>50</v>
      </c>
      <c r="D122" s="7">
        <v>35</v>
      </c>
      <c r="E122" s="7">
        <v>12.1</v>
      </c>
      <c r="F122" s="7">
        <v>2.9</v>
      </c>
      <c r="G122" s="7">
        <v>0.376</v>
      </c>
      <c r="H122" s="7">
        <v>0.8</v>
      </c>
      <c r="I122" s="7">
        <v>0.3</v>
      </c>
      <c r="J122" s="7">
        <v>0.88900000000000001</v>
      </c>
      <c r="K122" s="7">
        <v>2.4</v>
      </c>
      <c r="L122" s="7">
        <v>0.4</v>
      </c>
      <c r="M122" s="7">
        <v>0.1</v>
      </c>
      <c r="N122" s="7">
        <v>0.4</v>
      </c>
      <c r="O122" s="7">
        <v>0.1</v>
      </c>
      <c r="P122" s="7">
        <v>3.2</v>
      </c>
    </row>
    <row r="123" spans="1:16" x14ac:dyDescent="0.35">
      <c r="A123" s="1" t="s">
        <v>134</v>
      </c>
      <c r="B123" s="1" t="s">
        <v>15</v>
      </c>
      <c r="C123" s="1" t="s">
        <v>37</v>
      </c>
      <c r="D123" s="7">
        <v>18</v>
      </c>
      <c r="E123" s="7">
        <v>11.8</v>
      </c>
      <c r="F123" s="7">
        <v>3.3</v>
      </c>
      <c r="G123" s="7">
        <v>0.39</v>
      </c>
      <c r="H123" s="7">
        <v>1</v>
      </c>
      <c r="I123" s="7">
        <v>0.4</v>
      </c>
      <c r="J123" s="7">
        <v>0.85699999999999998</v>
      </c>
      <c r="K123" s="7">
        <v>2.2000000000000002</v>
      </c>
      <c r="L123" s="7">
        <v>0.7</v>
      </c>
      <c r="M123" s="7">
        <v>0.1</v>
      </c>
      <c r="N123" s="7">
        <v>0.4</v>
      </c>
      <c r="O123" s="7">
        <v>0.1</v>
      </c>
      <c r="P123" s="7">
        <v>3.9</v>
      </c>
    </row>
    <row r="124" spans="1:16" x14ac:dyDescent="0.35">
      <c r="A124" s="1" t="s">
        <v>134</v>
      </c>
      <c r="B124" s="1" t="s">
        <v>15</v>
      </c>
      <c r="C124" s="1" t="s">
        <v>34</v>
      </c>
      <c r="D124" s="7">
        <v>17</v>
      </c>
      <c r="E124" s="7">
        <v>12.5</v>
      </c>
      <c r="F124" s="7">
        <v>2.5</v>
      </c>
      <c r="G124" s="7">
        <v>0.35699999999999998</v>
      </c>
      <c r="H124" s="7">
        <v>0.6</v>
      </c>
      <c r="I124" s="7">
        <v>0.1</v>
      </c>
      <c r="J124" s="7">
        <v>1</v>
      </c>
      <c r="K124" s="7">
        <v>2.6</v>
      </c>
      <c r="L124" s="7">
        <v>0.2</v>
      </c>
      <c r="M124" s="7">
        <v>0.2</v>
      </c>
      <c r="N124" s="7">
        <v>0.4</v>
      </c>
      <c r="O124" s="7">
        <v>0.2</v>
      </c>
      <c r="P124" s="7">
        <v>2.5</v>
      </c>
    </row>
    <row r="125" spans="1:16" x14ac:dyDescent="0.35">
      <c r="A125" s="1" t="s">
        <v>135</v>
      </c>
      <c r="B125" s="1" t="s">
        <v>15</v>
      </c>
      <c r="C125" s="1" t="s">
        <v>28</v>
      </c>
      <c r="D125" s="7">
        <v>50</v>
      </c>
      <c r="E125" s="7">
        <v>21.7</v>
      </c>
      <c r="F125" s="7">
        <v>8.1999999999999993</v>
      </c>
      <c r="G125" s="7">
        <v>0.623</v>
      </c>
      <c r="H125" s="7">
        <v>0.4</v>
      </c>
      <c r="I125" s="7">
        <v>1.9</v>
      </c>
      <c r="J125" s="7">
        <v>0.78500000000000003</v>
      </c>
      <c r="K125" s="7">
        <v>5.8</v>
      </c>
      <c r="L125" s="7">
        <v>1.4</v>
      </c>
      <c r="M125" s="7">
        <v>0.5</v>
      </c>
      <c r="N125" s="7">
        <v>0.8</v>
      </c>
      <c r="O125" s="7">
        <v>0.9</v>
      </c>
      <c r="P125" s="7">
        <v>12</v>
      </c>
    </row>
    <row r="126" spans="1:16" x14ac:dyDescent="0.35">
      <c r="A126" s="1" t="s">
        <v>136</v>
      </c>
      <c r="B126" s="1" t="s">
        <v>25</v>
      </c>
      <c r="C126" s="1" t="s">
        <v>50</v>
      </c>
      <c r="D126" s="7">
        <v>63</v>
      </c>
      <c r="E126" s="7">
        <v>24.2</v>
      </c>
      <c r="F126" s="7">
        <v>12</v>
      </c>
      <c r="G126" s="7">
        <v>0.46500000000000002</v>
      </c>
      <c r="H126" s="7">
        <v>2.1</v>
      </c>
      <c r="I126" s="7">
        <v>2.2999999999999998</v>
      </c>
      <c r="J126" s="7">
        <v>0.84099999999999997</v>
      </c>
      <c r="K126" s="7">
        <v>2.7</v>
      </c>
      <c r="L126" s="7">
        <v>2</v>
      </c>
      <c r="M126" s="7">
        <v>0.7</v>
      </c>
      <c r="N126" s="7">
        <v>0.2</v>
      </c>
      <c r="O126" s="7">
        <v>1.3</v>
      </c>
      <c r="P126" s="7">
        <v>15.1</v>
      </c>
    </row>
    <row r="127" spans="1:16" x14ac:dyDescent="0.35">
      <c r="A127" s="1" t="s">
        <v>136</v>
      </c>
      <c r="B127" s="1" t="s">
        <v>25</v>
      </c>
      <c r="C127" s="1" t="s">
        <v>137</v>
      </c>
      <c r="D127" s="7">
        <v>29</v>
      </c>
      <c r="E127" s="7">
        <v>23</v>
      </c>
      <c r="F127" s="7">
        <v>11.2</v>
      </c>
      <c r="G127" s="7">
        <v>0.442</v>
      </c>
      <c r="H127" s="7">
        <v>2</v>
      </c>
      <c r="I127" s="7">
        <v>3</v>
      </c>
      <c r="J127" s="7">
        <v>0.88400000000000001</v>
      </c>
      <c r="K127" s="7">
        <v>2.4</v>
      </c>
      <c r="L127" s="7">
        <v>2.4</v>
      </c>
      <c r="M127" s="7">
        <v>0.6</v>
      </c>
      <c r="N127" s="7">
        <v>0.3</v>
      </c>
      <c r="O127" s="7">
        <v>1.3</v>
      </c>
      <c r="P127" s="7">
        <v>14.6</v>
      </c>
    </row>
    <row r="128" spans="1:16" x14ac:dyDescent="0.35">
      <c r="A128" s="1" t="s">
        <v>136</v>
      </c>
      <c r="B128" s="1" t="s">
        <v>25</v>
      </c>
      <c r="C128" s="1" t="s">
        <v>87</v>
      </c>
      <c r="D128" s="7">
        <v>34</v>
      </c>
      <c r="E128" s="7">
        <v>25.3</v>
      </c>
      <c r="F128" s="7">
        <v>12.6</v>
      </c>
      <c r="G128" s="7">
        <v>0.48199999999999998</v>
      </c>
      <c r="H128" s="7">
        <v>2.1</v>
      </c>
      <c r="I128" s="7">
        <v>1.7</v>
      </c>
      <c r="J128" s="7">
        <v>0.78</v>
      </c>
      <c r="K128" s="7">
        <v>2.9</v>
      </c>
      <c r="L128" s="7">
        <v>1.6</v>
      </c>
      <c r="M128" s="7">
        <v>0.8</v>
      </c>
      <c r="N128" s="7">
        <v>0.2</v>
      </c>
      <c r="O128" s="7">
        <v>1.3</v>
      </c>
      <c r="P128" s="7">
        <v>15.6</v>
      </c>
    </row>
    <row r="129" spans="1:16" x14ac:dyDescent="0.35">
      <c r="A129" s="1" t="s">
        <v>138</v>
      </c>
      <c r="B129" s="1" t="s">
        <v>15</v>
      </c>
      <c r="C129" s="1" t="s">
        <v>30</v>
      </c>
      <c r="D129" s="7">
        <v>15</v>
      </c>
      <c r="E129" s="7">
        <v>12.5</v>
      </c>
      <c r="F129" s="7">
        <v>3.2</v>
      </c>
      <c r="G129" s="7">
        <v>0.56299999999999994</v>
      </c>
      <c r="H129" s="7">
        <v>0.1</v>
      </c>
      <c r="I129" s="7">
        <v>1.4</v>
      </c>
      <c r="J129" s="7">
        <v>0.52400000000000002</v>
      </c>
      <c r="K129" s="7">
        <v>2.9</v>
      </c>
      <c r="L129" s="7">
        <v>1.1000000000000001</v>
      </c>
      <c r="M129" s="7">
        <v>0.1</v>
      </c>
      <c r="N129" s="7">
        <v>0.5</v>
      </c>
      <c r="O129" s="7">
        <v>0.6</v>
      </c>
      <c r="P129" s="7">
        <v>4.4000000000000004</v>
      </c>
    </row>
    <row r="130" spans="1:16" x14ac:dyDescent="0.35">
      <c r="A130" s="1" t="s">
        <v>139</v>
      </c>
      <c r="B130" s="1" t="s">
        <v>25</v>
      </c>
      <c r="C130" s="1" t="s">
        <v>37</v>
      </c>
      <c r="D130" s="7">
        <v>29</v>
      </c>
      <c r="E130" s="7">
        <v>8.6999999999999993</v>
      </c>
      <c r="F130" s="7">
        <v>4.3</v>
      </c>
      <c r="G130" s="7">
        <v>0.40500000000000003</v>
      </c>
      <c r="H130" s="7">
        <v>1.1000000000000001</v>
      </c>
      <c r="I130" s="7">
        <v>0.2</v>
      </c>
      <c r="J130" s="7">
        <v>0.85699999999999998</v>
      </c>
      <c r="K130" s="7">
        <v>0.8</v>
      </c>
      <c r="L130" s="7">
        <v>0.8</v>
      </c>
      <c r="M130" s="7">
        <v>0.2</v>
      </c>
      <c r="N130" s="7">
        <v>0.2</v>
      </c>
      <c r="O130" s="7">
        <v>0.6</v>
      </c>
      <c r="P130" s="7">
        <v>4.9000000000000004</v>
      </c>
    </row>
    <row r="131" spans="1:16" x14ac:dyDescent="0.35">
      <c r="A131" s="1" t="s">
        <v>140</v>
      </c>
      <c r="B131" s="1" t="s">
        <v>25</v>
      </c>
      <c r="C131" s="1" t="s">
        <v>60</v>
      </c>
      <c r="D131" s="7">
        <v>6</v>
      </c>
      <c r="E131" s="7">
        <v>3.7</v>
      </c>
      <c r="F131" s="7">
        <v>1</v>
      </c>
      <c r="G131" s="7">
        <v>0.33300000000000002</v>
      </c>
      <c r="H131" s="7">
        <v>0</v>
      </c>
      <c r="I131" s="7">
        <v>0.3</v>
      </c>
      <c r="J131" s="7">
        <v>0.5</v>
      </c>
      <c r="K131" s="7">
        <v>0.5</v>
      </c>
      <c r="L131" s="7">
        <v>0</v>
      </c>
      <c r="M131" s="7">
        <v>0.2</v>
      </c>
      <c r="N131" s="7">
        <v>0.2</v>
      </c>
      <c r="O131" s="7">
        <v>0.2</v>
      </c>
      <c r="P131" s="7">
        <v>0.8</v>
      </c>
    </row>
    <row r="132" spans="1:16" x14ac:dyDescent="0.35">
      <c r="A132" s="1" t="s">
        <v>141</v>
      </c>
      <c r="B132" s="1" t="s">
        <v>25</v>
      </c>
      <c r="C132" s="1" t="s">
        <v>80</v>
      </c>
      <c r="D132" s="7">
        <v>13</v>
      </c>
      <c r="E132" s="7">
        <v>7.5</v>
      </c>
      <c r="F132" s="7">
        <v>2.5</v>
      </c>
      <c r="G132" s="7">
        <v>0.39400000000000002</v>
      </c>
      <c r="H132" s="7">
        <v>0.1</v>
      </c>
      <c r="I132" s="7">
        <v>0.2</v>
      </c>
      <c r="J132" s="7">
        <v>0.33300000000000002</v>
      </c>
      <c r="K132" s="7">
        <v>1.1000000000000001</v>
      </c>
      <c r="L132" s="7">
        <v>0.7</v>
      </c>
      <c r="M132" s="7">
        <v>0.1</v>
      </c>
      <c r="N132" s="7">
        <v>0.1</v>
      </c>
      <c r="O132" s="7">
        <v>0.2</v>
      </c>
      <c r="P132" s="7">
        <v>2.2000000000000002</v>
      </c>
    </row>
    <row r="133" spans="1:16" x14ac:dyDescent="0.35">
      <c r="A133" s="1" t="s">
        <v>142</v>
      </c>
      <c r="B133" s="1" t="s">
        <v>15</v>
      </c>
      <c r="C133" s="1" t="s">
        <v>77</v>
      </c>
      <c r="D133" s="7">
        <v>41</v>
      </c>
      <c r="E133" s="7">
        <v>33.200000000000003</v>
      </c>
      <c r="F133" s="7">
        <v>14.8</v>
      </c>
      <c r="G133" s="7">
        <v>0.58299999999999996</v>
      </c>
      <c r="H133" s="7">
        <v>1.4</v>
      </c>
      <c r="I133" s="7">
        <v>3.7</v>
      </c>
      <c r="J133" s="7">
        <v>0.8</v>
      </c>
      <c r="K133" s="7">
        <v>10.1</v>
      </c>
      <c r="L133" s="7">
        <v>1.5</v>
      </c>
      <c r="M133" s="7">
        <v>0.8</v>
      </c>
      <c r="N133" s="7">
        <v>1.6</v>
      </c>
      <c r="O133" s="7">
        <v>1.8</v>
      </c>
      <c r="P133" s="7">
        <v>21.6</v>
      </c>
    </row>
    <row r="134" spans="1:16" x14ac:dyDescent="0.35">
      <c r="A134" s="1" t="s">
        <v>143</v>
      </c>
      <c r="B134" s="1" t="s">
        <v>15</v>
      </c>
      <c r="C134" s="1" t="s">
        <v>44</v>
      </c>
      <c r="D134" s="7">
        <v>3</v>
      </c>
      <c r="E134" s="7">
        <v>28.7</v>
      </c>
      <c r="F134" s="7">
        <v>6.3</v>
      </c>
      <c r="G134" s="7">
        <v>0.47399999999999998</v>
      </c>
      <c r="H134" s="7">
        <v>1</v>
      </c>
      <c r="I134" s="7">
        <v>2</v>
      </c>
      <c r="J134" s="7">
        <v>1</v>
      </c>
      <c r="K134" s="7">
        <v>4</v>
      </c>
      <c r="L134" s="7">
        <v>2</v>
      </c>
      <c r="M134" s="7">
        <v>0</v>
      </c>
      <c r="N134" s="7">
        <v>0.7</v>
      </c>
      <c r="O134" s="7">
        <v>2</v>
      </c>
      <c r="P134" s="7">
        <v>9</v>
      </c>
    </row>
    <row r="135" spans="1:16" x14ac:dyDescent="0.35">
      <c r="A135" s="1" t="s">
        <v>144</v>
      </c>
      <c r="B135" s="1" t="s">
        <v>47</v>
      </c>
      <c r="C135" s="1" t="s">
        <v>87</v>
      </c>
      <c r="D135" s="7">
        <v>41</v>
      </c>
      <c r="E135" s="7">
        <v>28.6</v>
      </c>
      <c r="F135" s="7">
        <v>11.9</v>
      </c>
      <c r="G135" s="7">
        <v>0.40500000000000003</v>
      </c>
      <c r="H135" s="7">
        <v>2</v>
      </c>
      <c r="I135" s="7">
        <v>2.9</v>
      </c>
      <c r="J135" s="7">
        <v>0.79500000000000004</v>
      </c>
      <c r="K135" s="7">
        <v>3.2</v>
      </c>
      <c r="L135" s="7">
        <v>4.3</v>
      </c>
      <c r="M135" s="7">
        <v>0.8</v>
      </c>
      <c r="N135" s="7">
        <v>0.1</v>
      </c>
      <c r="O135" s="7">
        <v>1.9</v>
      </c>
      <c r="P135" s="7">
        <v>13.8</v>
      </c>
    </row>
    <row r="136" spans="1:16" x14ac:dyDescent="0.35">
      <c r="A136" s="1" t="s">
        <v>145</v>
      </c>
      <c r="B136" s="1" t="s">
        <v>25</v>
      </c>
      <c r="C136" s="1" t="s">
        <v>39</v>
      </c>
      <c r="D136" s="7">
        <v>61</v>
      </c>
      <c r="E136" s="7">
        <v>18.3</v>
      </c>
      <c r="F136" s="7">
        <v>4.3</v>
      </c>
      <c r="G136" s="7">
        <v>0.45600000000000002</v>
      </c>
      <c r="H136" s="7">
        <v>0.7</v>
      </c>
      <c r="I136" s="7">
        <v>0.6</v>
      </c>
      <c r="J136" s="7">
        <v>0.75</v>
      </c>
      <c r="K136" s="7">
        <v>4.2</v>
      </c>
      <c r="L136" s="7">
        <v>1.6</v>
      </c>
      <c r="M136" s="7">
        <v>0.3</v>
      </c>
      <c r="N136" s="7">
        <v>0.5</v>
      </c>
      <c r="O136" s="7">
        <v>0.8</v>
      </c>
      <c r="P136" s="7">
        <v>5.0999999999999996</v>
      </c>
    </row>
    <row r="137" spans="1:16" x14ac:dyDescent="0.35">
      <c r="A137" s="1" t="s">
        <v>146</v>
      </c>
      <c r="B137" s="1" t="s">
        <v>47</v>
      </c>
      <c r="C137" s="1" t="s">
        <v>41</v>
      </c>
      <c r="D137" s="7">
        <v>38</v>
      </c>
      <c r="E137" s="7">
        <v>10.8</v>
      </c>
      <c r="F137" s="7">
        <v>4.5999999999999996</v>
      </c>
      <c r="G137" s="7">
        <v>0.439</v>
      </c>
      <c r="H137" s="7">
        <v>0.7</v>
      </c>
      <c r="I137" s="7">
        <v>0.2</v>
      </c>
      <c r="J137" s="7">
        <v>0.66700000000000004</v>
      </c>
      <c r="K137" s="7">
        <v>1.1000000000000001</v>
      </c>
      <c r="L137" s="7">
        <v>1.1000000000000001</v>
      </c>
      <c r="M137" s="7">
        <v>0.3</v>
      </c>
      <c r="N137" s="7">
        <v>0</v>
      </c>
      <c r="O137" s="7">
        <v>0.7</v>
      </c>
      <c r="P137" s="7">
        <v>4.8</v>
      </c>
    </row>
    <row r="138" spans="1:16" x14ac:dyDescent="0.35">
      <c r="A138" s="1" t="s">
        <v>589</v>
      </c>
      <c r="B138" s="1" t="s">
        <v>15</v>
      </c>
      <c r="C138" s="1" t="s">
        <v>137</v>
      </c>
      <c r="D138" s="7">
        <v>11</v>
      </c>
      <c r="E138" s="7">
        <v>3.2</v>
      </c>
      <c r="F138" s="7">
        <v>0.9</v>
      </c>
      <c r="G138" s="7">
        <v>0.7</v>
      </c>
      <c r="H138" s="7">
        <v>0</v>
      </c>
      <c r="I138" s="7">
        <v>0.5</v>
      </c>
      <c r="J138" s="7">
        <v>0.83299999999999996</v>
      </c>
      <c r="K138" s="7">
        <v>0.9</v>
      </c>
      <c r="L138" s="7">
        <v>0.1</v>
      </c>
      <c r="M138" s="7">
        <v>0.1</v>
      </c>
      <c r="N138" s="7">
        <v>0</v>
      </c>
      <c r="O138" s="7">
        <v>0.1</v>
      </c>
      <c r="P138" s="7">
        <v>1.7</v>
      </c>
    </row>
    <row r="139" spans="1:16" x14ac:dyDescent="0.35">
      <c r="A139" s="1" t="s">
        <v>147</v>
      </c>
      <c r="B139" s="1" t="s">
        <v>15</v>
      </c>
      <c r="C139" s="1" t="s">
        <v>50</v>
      </c>
      <c r="D139" s="7">
        <v>62</v>
      </c>
      <c r="E139" s="7">
        <v>30.1</v>
      </c>
      <c r="F139" s="7">
        <v>10.5</v>
      </c>
      <c r="G139" s="7">
        <v>0.432</v>
      </c>
      <c r="H139" s="7">
        <v>2.4</v>
      </c>
      <c r="I139" s="7">
        <v>1.7</v>
      </c>
      <c r="J139" s="7">
        <v>0.79600000000000004</v>
      </c>
      <c r="K139" s="7">
        <v>6.4</v>
      </c>
      <c r="L139" s="7">
        <v>1.2</v>
      </c>
      <c r="M139" s="7">
        <v>1.5</v>
      </c>
      <c r="N139" s="7">
        <v>1.3</v>
      </c>
      <c r="O139" s="7">
        <v>1.5</v>
      </c>
      <c r="P139" s="7">
        <v>12.8</v>
      </c>
    </row>
    <row r="140" spans="1:16" x14ac:dyDescent="0.35">
      <c r="A140" s="1" t="s">
        <v>147</v>
      </c>
      <c r="B140" s="1" t="s">
        <v>15</v>
      </c>
      <c r="C140" s="1" t="s">
        <v>65</v>
      </c>
      <c r="D140" s="7">
        <v>48</v>
      </c>
      <c r="E140" s="7">
        <v>29.4</v>
      </c>
      <c r="F140" s="7">
        <v>10.3</v>
      </c>
      <c r="G140" s="7">
        <v>0.435</v>
      </c>
      <c r="H140" s="7">
        <v>2.2999999999999998</v>
      </c>
      <c r="I140" s="7">
        <v>2</v>
      </c>
      <c r="J140" s="7">
        <v>0.79800000000000004</v>
      </c>
      <c r="K140" s="7">
        <v>6</v>
      </c>
      <c r="L140" s="7">
        <v>1.2</v>
      </c>
      <c r="M140" s="7">
        <v>1.7</v>
      </c>
      <c r="N140" s="7">
        <v>0.9</v>
      </c>
      <c r="O140" s="7">
        <v>1.5</v>
      </c>
      <c r="P140" s="7">
        <v>12.8</v>
      </c>
    </row>
    <row r="141" spans="1:16" x14ac:dyDescent="0.35">
      <c r="A141" s="1" t="s">
        <v>147</v>
      </c>
      <c r="B141" s="1" t="s">
        <v>15</v>
      </c>
      <c r="C141" s="1" t="s">
        <v>37</v>
      </c>
      <c r="D141" s="7">
        <v>14</v>
      </c>
      <c r="E141" s="7">
        <v>32.6</v>
      </c>
      <c r="F141" s="7">
        <v>10.9</v>
      </c>
      <c r="G141" s="7">
        <v>0.42099999999999999</v>
      </c>
      <c r="H141" s="7">
        <v>2.9</v>
      </c>
      <c r="I141" s="7">
        <v>1</v>
      </c>
      <c r="J141" s="7">
        <v>0.78600000000000003</v>
      </c>
      <c r="K141" s="7">
        <v>7.9</v>
      </c>
      <c r="L141" s="7">
        <v>1.3</v>
      </c>
      <c r="M141" s="7">
        <v>1.1000000000000001</v>
      </c>
      <c r="N141" s="7">
        <v>2.5</v>
      </c>
      <c r="O141" s="7">
        <v>1.4</v>
      </c>
      <c r="P141" s="7">
        <v>12.8</v>
      </c>
    </row>
    <row r="142" spans="1:16" x14ac:dyDescent="0.35">
      <c r="A142" s="1" t="s">
        <v>590</v>
      </c>
      <c r="B142" s="1" t="s">
        <v>25</v>
      </c>
      <c r="C142" s="1" t="s">
        <v>50</v>
      </c>
      <c r="D142" s="7">
        <v>37</v>
      </c>
      <c r="E142" s="7">
        <v>17.600000000000001</v>
      </c>
      <c r="F142" s="7">
        <v>4.8</v>
      </c>
      <c r="G142" s="7">
        <v>0.35599999999999998</v>
      </c>
      <c r="H142" s="7">
        <v>1</v>
      </c>
      <c r="I142" s="7">
        <v>0.4</v>
      </c>
      <c r="J142" s="7">
        <v>0.71399999999999997</v>
      </c>
      <c r="K142" s="7">
        <v>2.1</v>
      </c>
      <c r="L142" s="7">
        <v>0.9</v>
      </c>
      <c r="M142" s="7">
        <v>0.4</v>
      </c>
      <c r="N142" s="7">
        <v>0.1</v>
      </c>
      <c r="O142" s="7">
        <v>0.5</v>
      </c>
      <c r="P142" s="7">
        <v>4.5999999999999996</v>
      </c>
    </row>
    <row r="143" spans="1:16" x14ac:dyDescent="0.35">
      <c r="A143" s="1" t="s">
        <v>590</v>
      </c>
      <c r="B143" s="1" t="s">
        <v>25</v>
      </c>
      <c r="C143" s="1" t="s">
        <v>77</v>
      </c>
      <c r="D143" s="7">
        <v>28</v>
      </c>
      <c r="E143" s="7">
        <v>18.600000000000001</v>
      </c>
      <c r="F143" s="7">
        <v>5.0999999999999996</v>
      </c>
      <c r="G143" s="7">
        <v>0.36399999999999999</v>
      </c>
      <c r="H143" s="7">
        <v>1.1000000000000001</v>
      </c>
      <c r="I143" s="7">
        <v>0.4</v>
      </c>
      <c r="J143" s="7">
        <v>0.75</v>
      </c>
      <c r="K143" s="7">
        <v>2.2999999999999998</v>
      </c>
      <c r="L143" s="7">
        <v>1</v>
      </c>
      <c r="M143" s="7">
        <v>0.5</v>
      </c>
      <c r="N143" s="7">
        <v>0.1</v>
      </c>
      <c r="O143" s="7">
        <v>0.4</v>
      </c>
      <c r="P143" s="7">
        <v>5.0999999999999996</v>
      </c>
    </row>
    <row r="144" spans="1:16" x14ac:dyDescent="0.35">
      <c r="A144" s="1" t="s">
        <v>590</v>
      </c>
      <c r="B144" s="1" t="s">
        <v>25</v>
      </c>
      <c r="C144" s="1" t="s">
        <v>65</v>
      </c>
      <c r="D144" s="7">
        <v>9</v>
      </c>
      <c r="E144" s="7">
        <v>14.6</v>
      </c>
      <c r="F144" s="7">
        <v>3.8</v>
      </c>
      <c r="G144" s="7">
        <v>0.32400000000000001</v>
      </c>
      <c r="H144" s="7">
        <v>0.7</v>
      </c>
      <c r="I144" s="7">
        <v>0.2</v>
      </c>
      <c r="J144" s="7">
        <v>0.5</v>
      </c>
      <c r="K144" s="7">
        <v>1.3</v>
      </c>
      <c r="L144" s="7">
        <v>0.6</v>
      </c>
      <c r="M144" s="7">
        <v>0</v>
      </c>
      <c r="N144" s="7">
        <v>0</v>
      </c>
      <c r="O144" s="7">
        <v>0.6</v>
      </c>
      <c r="P144" s="7">
        <v>3.2</v>
      </c>
    </row>
    <row r="145" spans="1:16" x14ac:dyDescent="0.35">
      <c r="A145" s="1" t="s">
        <v>148</v>
      </c>
      <c r="B145" s="1" t="s">
        <v>35</v>
      </c>
      <c r="C145" s="1" t="s">
        <v>63</v>
      </c>
      <c r="D145" s="7">
        <v>50</v>
      </c>
      <c r="E145" s="7">
        <v>17.399999999999999</v>
      </c>
      <c r="F145" s="7">
        <v>4.2</v>
      </c>
      <c r="G145" s="7">
        <v>0.46200000000000002</v>
      </c>
      <c r="H145" s="7">
        <v>0.7</v>
      </c>
      <c r="I145" s="7">
        <v>0.6</v>
      </c>
      <c r="J145" s="7">
        <v>0.64500000000000002</v>
      </c>
      <c r="K145" s="7">
        <v>3.1</v>
      </c>
      <c r="L145" s="7">
        <v>0.7</v>
      </c>
      <c r="M145" s="7">
        <v>0.4</v>
      </c>
      <c r="N145" s="7">
        <v>0.6</v>
      </c>
      <c r="O145" s="7">
        <v>0.4</v>
      </c>
      <c r="P145" s="7">
        <v>5</v>
      </c>
    </row>
    <row r="146" spans="1:16" x14ac:dyDescent="0.35">
      <c r="A146" s="1" t="s">
        <v>149</v>
      </c>
      <c r="B146" s="1" t="s">
        <v>35</v>
      </c>
      <c r="C146" s="1" t="s">
        <v>50</v>
      </c>
      <c r="D146" s="7">
        <v>58</v>
      </c>
      <c r="E146" s="7">
        <v>29.2</v>
      </c>
      <c r="F146" s="7">
        <v>8.8000000000000007</v>
      </c>
      <c r="G146" s="7">
        <v>0.38400000000000001</v>
      </c>
      <c r="H146" s="7">
        <v>1.9</v>
      </c>
      <c r="I146" s="7">
        <v>2.1</v>
      </c>
      <c r="J146" s="7">
        <v>0.78500000000000003</v>
      </c>
      <c r="K146" s="7">
        <v>6.1</v>
      </c>
      <c r="L146" s="7">
        <v>2.6</v>
      </c>
      <c r="M146" s="7">
        <v>1.2</v>
      </c>
      <c r="N146" s="7">
        <v>0.4</v>
      </c>
      <c r="O146" s="7">
        <v>1.1000000000000001</v>
      </c>
      <c r="P146" s="7">
        <v>10.4</v>
      </c>
    </row>
    <row r="147" spans="1:16" x14ac:dyDescent="0.35">
      <c r="A147" s="1" t="s">
        <v>149</v>
      </c>
      <c r="B147" s="1" t="s">
        <v>35</v>
      </c>
      <c r="C147" s="1" t="s">
        <v>28</v>
      </c>
      <c r="D147" s="7">
        <v>45</v>
      </c>
      <c r="E147" s="7">
        <v>29.4</v>
      </c>
      <c r="F147" s="7">
        <v>8.9</v>
      </c>
      <c r="G147" s="7">
        <v>0.36799999999999999</v>
      </c>
      <c r="H147" s="7">
        <v>1.7</v>
      </c>
      <c r="I147" s="7">
        <v>2.1</v>
      </c>
      <c r="J147" s="7">
        <v>0.78900000000000003</v>
      </c>
      <c r="K147" s="7">
        <v>6.2</v>
      </c>
      <c r="L147" s="7">
        <v>2.8</v>
      </c>
      <c r="M147" s="7">
        <v>1</v>
      </c>
      <c r="N147" s="7">
        <v>0.3</v>
      </c>
      <c r="O147" s="7">
        <v>1.2</v>
      </c>
      <c r="P147" s="7">
        <v>9.9</v>
      </c>
    </row>
    <row r="148" spans="1:16" x14ac:dyDescent="0.35">
      <c r="A148" s="1" t="s">
        <v>149</v>
      </c>
      <c r="B148" s="1" t="s">
        <v>35</v>
      </c>
      <c r="C148" s="1" t="s">
        <v>21</v>
      </c>
      <c r="D148" s="7">
        <v>13</v>
      </c>
      <c r="E148" s="7">
        <v>28.7</v>
      </c>
      <c r="F148" s="7">
        <v>8.8000000000000007</v>
      </c>
      <c r="G148" s="7">
        <v>0.439</v>
      </c>
      <c r="H148" s="7">
        <v>2.7</v>
      </c>
      <c r="I148" s="7">
        <v>2</v>
      </c>
      <c r="J148" s="7">
        <v>0.76900000000000002</v>
      </c>
      <c r="K148" s="7">
        <v>5.8</v>
      </c>
      <c r="L148" s="7">
        <v>2</v>
      </c>
      <c r="M148" s="7">
        <v>1.5</v>
      </c>
      <c r="N148" s="7">
        <v>0.5</v>
      </c>
      <c r="O148" s="7">
        <v>0.6</v>
      </c>
      <c r="P148" s="7">
        <v>11.9</v>
      </c>
    </row>
    <row r="149" spans="1:16" x14ac:dyDescent="0.35">
      <c r="A149" s="1" t="s">
        <v>150</v>
      </c>
      <c r="B149" s="1" t="s">
        <v>25</v>
      </c>
      <c r="C149" s="1" t="s">
        <v>65</v>
      </c>
      <c r="D149" s="7">
        <v>63</v>
      </c>
      <c r="E149" s="7">
        <v>23.9</v>
      </c>
      <c r="F149" s="7">
        <v>9</v>
      </c>
      <c r="G149" s="7">
        <v>0.40400000000000003</v>
      </c>
      <c r="H149" s="7">
        <v>1</v>
      </c>
      <c r="I149" s="7">
        <v>1.9</v>
      </c>
      <c r="J149" s="7">
        <v>0.46200000000000002</v>
      </c>
      <c r="K149" s="7">
        <v>3.4</v>
      </c>
      <c r="L149" s="7">
        <v>1.7</v>
      </c>
      <c r="M149" s="7">
        <v>0.9</v>
      </c>
      <c r="N149" s="7">
        <v>0.6</v>
      </c>
      <c r="O149" s="7">
        <v>1.3</v>
      </c>
      <c r="P149" s="7">
        <v>9.1999999999999993</v>
      </c>
    </row>
    <row r="150" spans="1:16" x14ac:dyDescent="0.35">
      <c r="A150" s="1" t="s">
        <v>151</v>
      </c>
      <c r="B150" s="1" t="s">
        <v>25</v>
      </c>
      <c r="C150" s="1" t="s">
        <v>60</v>
      </c>
      <c r="D150" s="7">
        <v>59</v>
      </c>
      <c r="E150" s="7">
        <v>24.5</v>
      </c>
      <c r="F150" s="7">
        <v>9</v>
      </c>
      <c r="G150" s="7">
        <v>0.5</v>
      </c>
      <c r="H150" s="7">
        <v>2.2999999999999998</v>
      </c>
      <c r="I150" s="7">
        <v>1.5</v>
      </c>
      <c r="J150" s="7">
        <v>0.84099999999999997</v>
      </c>
      <c r="K150" s="7">
        <v>2.4</v>
      </c>
      <c r="L150" s="7">
        <v>2</v>
      </c>
      <c r="M150" s="7">
        <v>0.6</v>
      </c>
      <c r="N150" s="7">
        <v>0.1</v>
      </c>
      <c r="O150" s="7">
        <v>1</v>
      </c>
      <c r="P150" s="7">
        <v>12.6</v>
      </c>
    </row>
    <row r="151" spans="1:16" x14ac:dyDescent="0.35">
      <c r="A151" s="1" t="s">
        <v>152</v>
      </c>
      <c r="B151" s="1" t="s">
        <v>47</v>
      </c>
      <c r="C151" s="1" t="s">
        <v>96</v>
      </c>
      <c r="D151" s="7">
        <v>5</v>
      </c>
      <c r="E151" s="7">
        <v>27.8</v>
      </c>
      <c r="F151" s="7">
        <v>16.399999999999999</v>
      </c>
      <c r="G151" s="7">
        <v>0.40200000000000002</v>
      </c>
      <c r="H151" s="7">
        <v>2.4</v>
      </c>
      <c r="I151" s="7">
        <v>5.2</v>
      </c>
      <c r="J151" s="7">
        <v>1</v>
      </c>
      <c r="K151" s="7">
        <v>5.2</v>
      </c>
      <c r="L151" s="7">
        <v>6.6</v>
      </c>
      <c r="M151" s="7">
        <v>1</v>
      </c>
      <c r="N151" s="7">
        <v>0.4</v>
      </c>
      <c r="O151" s="7">
        <v>3.2</v>
      </c>
      <c r="P151" s="7">
        <v>20.8</v>
      </c>
    </row>
    <row r="152" spans="1:16" x14ac:dyDescent="0.35">
      <c r="A152" s="1" t="s">
        <v>591</v>
      </c>
      <c r="B152" s="1" t="s">
        <v>25</v>
      </c>
      <c r="C152" s="1" t="s">
        <v>50</v>
      </c>
      <c r="D152" s="7">
        <v>42</v>
      </c>
      <c r="E152" s="7">
        <v>10.9</v>
      </c>
      <c r="F152" s="7">
        <v>3.8</v>
      </c>
      <c r="G152" s="7">
        <v>0.39</v>
      </c>
      <c r="H152" s="7">
        <v>1</v>
      </c>
      <c r="I152" s="7">
        <v>0.4</v>
      </c>
      <c r="J152" s="7">
        <v>0.625</v>
      </c>
      <c r="K152" s="7">
        <v>1.1000000000000001</v>
      </c>
      <c r="L152" s="7">
        <v>0.3</v>
      </c>
      <c r="M152" s="7">
        <v>0.2</v>
      </c>
      <c r="N152" s="7">
        <v>0.1</v>
      </c>
      <c r="O152" s="7">
        <v>0.2</v>
      </c>
      <c r="P152" s="7">
        <v>4.0999999999999996</v>
      </c>
    </row>
    <row r="153" spans="1:16" x14ac:dyDescent="0.35">
      <c r="A153" s="1" t="s">
        <v>591</v>
      </c>
      <c r="B153" s="1" t="s">
        <v>25</v>
      </c>
      <c r="C153" s="1" t="s">
        <v>41</v>
      </c>
      <c r="D153" s="7">
        <v>41</v>
      </c>
      <c r="E153" s="7">
        <v>11.1</v>
      </c>
      <c r="F153" s="7">
        <v>3.9</v>
      </c>
      <c r="G153" s="7">
        <v>0.39200000000000002</v>
      </c>
      <c r="H153" s="7">
        <v>1</v>
      </c>
      <c r="I153" s="7">
        <v>0.4</v>
      </c>
      <c r="J153" s="7">
        <v>0.625</v>
      </c>
      <c r="K153" s="7">
        <v>1.1000000000000001</v>
      </c>
      <c r="L153" s="7">
        <v>0.3</v>
      </c>
      <c r="M153" s="7">
        <v>0.2</v>
      </c>
      <c r="N153" s="7">
        <v>0.1</v>
      </c>
      <c r="O153" s="7">
        <v>0.2</v>
      </c>
      <c r="P153" s="7">
        <v>4.2</v>
      </c>
    </row>
    <row r="154" spans="1:16" x14ac:dyDescent="0.35">
      <c r="A154" s="1" t="s">
        <v>591</v>
      </c>
      <c r="B154" s="1" t="s">
        <v>25</v>
      </c>
      <c r="C154" s="1" t="s">
        <v>63</v>
      </c>
      <c r="D154" s="7">
        <v>1</v>
      </c>
      <c r="E154" s="7">
        <v>1</v>
      </c>
      <c r="F154" s="7">
        <v>1</v>
      </c>
      <c r="G154" s="7">
        <v>0</v>
      </c>
      <c r="H154" s="7">
        <v>0</v>
      </c>
      <c r="I154" s="7">
        <v>0</v>
      </c>
      <c r="K154" s="7">
        <v>0</v>
      </c>
      <c r="L154" s="7">
        <v>0</v>
      </c>
      <c r="M154" s="7">
        <v>0</v>
      </c>
      <c r="N154" s="7">
        <v>0</v>
      </c>
      <c r="O154" s="7">
        <v>0</v>
      </c>
      <c r="P154" s="7">
        <v>0</v>
      </c>
    </row>
    <row r="155" spans="1:16" x14ac:dyDescent="0.35">
      <c r="A155" s="1" t="s">
        <v>153</v>
      </c>
      <c r="B155" s="1" t="s">
        <v>15</v>
      </c>
      <c r="C155" s="1" t="s">
        <v>41</v>
      </c>
      <c r="D155" s="7">
        <v>55</v>
      </c>
      <c r="E155" s="7">
        <v>34.299999999999997</v>
      </c>
      <c r="F155" s="7">
        <v>18.100000000000001</v>
      </c>
      <c r="G155" s="7">
        <v>0.51100000000000001</v>
      </c>
      <c r="H155" s="7">
        <v>1.2</v>
      </c>
      <c r="I155" s="7">
        <v>8.3000000000000007</v>
      </c>
      <c r="J155" s="7">
        <v>0.84499999999999997</v>
      </c>
      <c r="K155" s="7">
        <v>9.4</v>
      </c>
      <c r="L155" s="7">
        <v>3.1</v>
      </c>
      <c r="M155" s="7">
        <v>1.5</v>
      </c>
      <c r="N155" s="7">
        <v>2.4</v>
      </c>
      <c r="O155" s="7">
        <v>2.5</v>
      </c>
      <c r="P155" s="7">
        <v>26.7</v>
      </c>
    </row>
    <row r="156" spans="1:16" x14ac:dyDescent="0.35">
      <c r="A156" s="1" t="s">
        <v>154</v>
      </c>
      <c r="B156" s="1" t="s">
        <v>18</v>
      </c>
      <c r="C156" s="1" t="s">
        <v>87</v>
      </c>
      <c r="D156" s="7">
        <v>25</v>
      </c>
      <c r="E156" s="7">
        <v>10.7</v>
      </c>
      <c r="F156" s="7">
        <v>1.4</v>
      </c>
      <c r="G156" s="7">
        <v>0.41199999999999998</v>
      </c>
      <c r="H156" s="7">
        <v>0</v>
      </c>
      <c r="I156" s="7">
        <v>0.4</v>
      </c>
      <c r="J156" s="7">
        <v>0.45500000000000002</v>
      </c>
      <c r="K156" s="7">
        <v>3.8</v>
      </c>
      <c r="L156" s="7">
        <v>0.3</v>
      </c>
      <c r="M156" s="7">
        <v>0.4</v>
      </c>
      <c r="N156" s="7">
        <v>0.4</v>
      </c>
      <c r="O156" s="7">
        <v>0.5</v>
      </c>
      <c r="P156" s="7">
        <v>1.3</v>
      </c>
    </row>
    <row r="157" spans="1:16" x14ac:dyDescent="0.35">
      <c r="A157" s="1" t="s">
        <v>155</v>
      </c>
      <c r="B157" s="1" t="s">
        <v>25</v>
      </c>
      <c r="C157" s="1" t="s">
        <v>45</v>
      </c>
      <c r="D157" s="7">
        <v>64</v>
      </c>
      <c r="E157" s="7">
        <v>17</v>
      </c>
      <c r="F157" s="7">
        <v>6.1</v>
      </c>
      <c r="G157" s="7">
        <v>0.46300000000000002</v>
      </c>
      <c r="H157" s="7">
        <v>1.4</v>
      </c>
      <c r="I157" s="7">
        <v>0.8</v>
      </c>
      <c r="J157" s="7">
        <v>0.86499999999999999</v>
      </c>
      <c r="K157" s="7">
        <v>3.4</v>
      </c>
      <c r="L157" s="7">
        <v>1.7</v>
      </c>
      <c r="M157" s="7">
        <v>0.5</v>
      </c>
      <c r="N157" s="7">
        <v>0.2</v>
      </c>
      <c r="O157" s="7">
        <v>1</v>
      </c>
      <c r="P157" s="7">
        <v>7.7</v>
      </c>
    </row>
    <row r="158" spans="1:16" x14ac:dyDescent="0.35">
      <c r="A158" s="1" t="s">
        <v>156</v>
      </c>
      <c r="B158" s="1" t="s">
        <v>18</v>
      </c>
      <c r="C158" s="1" t="s">
        <v>50</v>
      </c>
      <c r="D158" s="7">
        <v>44</v>
      </c>
      <c r="E158" s="7">
        <v>17.600000000000001</v>
      </c>
      <c r="F158" s="7">
        <v>5.8</v>
      </c>
      <c r="G158" s="7">
        <v>0.4</v>
      </c>
      <c r="H158" s="7">
        <v>0.5</v>
      </c>
      <c r="I158" s="7">
        <v>0.8</v>
      </c>
      <c r="J158" s="7">
        <v>0.83299999999999996</v>
      </c>
      <c r="K158" s="7">
        <v>5.7</v>
      </c>
      <c r="L158" s="7">
        <v>0.5</v>
      </c>
      <c r="M158" s="7">
        <v>0.6</v>
      </c>
      <c r="N158" s="7">
        <v>0.9</v>
      </c>
      <c r="O158" s="7">
        <v>1.3</v>
      </c>
      <c r="P158" s="7">
        <v>5.8</v>
      </c>
    </row>
    <row r="159" spans="1:16" x14ac:dyDescent="0.35">
      <c r="A159" s="1" t="s">
        <v>156</v>
      </c>
      <c r="B159" s="1" t="s">
        <v>18</v>
      </c>
      <c r="C159" s="1" t="s">
        <v>51</v>
      </c>
      <c r="D159" s="7">
        <v>34</v>
      </c>
      <c r="E159" s="7">
        <v>15.9</v>
      </c>
      <c r="F159" s="7">
        <v>5</v>
      </c>
      <c r="G159" s="7">
        <v>0.40400000000000003</v>
      </c>
      <c r="H159" s="7">
        <v>0.4</v>
      </c>
      <c r="I159" s="7">
        <v>0.8</v>
      </c>
      <c r="J159" s="7">
        <v>0.82099999999999995</v>
      </c>
      <c r="K159" s="7">
        <v>4.9000000000000004</v>
      </c>
      <c r="L159" s="7">
        <v>0.4</v>
      </c>
      <c r="M159" s="7">
        <v>0.4</v>
      </c>
      <c r="N159" s="7">
        <v>0.8</v>
      </c>
      <c r="O159" s="7">
        <v>1.4</v>
      </c>
      <c r="P159" s="7">
        <v>5.0999999999999996</v>
      </c>
    </row>
    <row r="160" spans="1:16" x14ac:dyDescent="0.35">
      <c r="A160" s="1" t="s">
        <v>156</v>
      </c>
      <c r="B160" s="1" t="s">
        <v>18</v>
      </c>
      <c r="C160" s="1" t="s">
        <v>77</v>
      </c>
      <c r="D160" s="7">
        <v>10</v>
      </c>
      <c r="E160" s="7">
        <v>23.3</v>
      </c>
      <c r="F160" s="7">
        <v>8.4</v>
      </c>
      <c r="G160" s="7">
        <v>0.39300000000000002</v>
      </c>
      <c r="H160" s="7">
        <v>0.8</v>
      </c>
      <c r="I160" s="7">
        <v>0.8</v>
      </c>
      <c r="J160" s="7">
        <v>0.875</v>
      </c>
      <c r="K160" s="7">
        <v>8.1999999999999993</v>
      </c>
      <c r="L160" s="7">
        <v>0.7</v>
      </c>
      <c r="M160" s="7">
        <v>1</v>
      </c>
      <c r="N160" s="7">
        <v>1.5</v>
      </c>
      <c r="O160" s="7">
        <v>1</v>
      </c>
      <c r="P160" s="7">
        <v>8.1</v>
      </c>
    </row>
    <row r="161" spans="1:16" x14ac:dyDescent="0.35">
      <c r="A161" s="1" t="s">
        <v>592</v>
      </c>
      <c r="B161" s="1" t="s">
        <v>47</v>
      </c>
      <c r="C161" s="1" t="s">
        <v>137</v>
      </c>
      <c r="D161" s="7">
        <v>57</v>
      </c>
      <c r="E161" s="7">
        <v>14.4</v>
      </c>
      <c r="F161" s="7">
        <v>3.1</v>
      </c>
      <c r="G161" s="7">
        <v>0.35399999999999998</v>
      </c>
      <c r="H161" s="7">
        <v>0.4</v>
      </c>
      <c r="I161" s="7">
        <v>0.6</v>
      </c>
      <c r="J161" s="7">
        <v>0.86499999999999999</v>
      </c>
      <c r="K161" s="7">
        <v>1.3</v>
      </c>
      <c r="L161" s="7">
        <v>3.2</v>
      </c>
      <c r="M161" s="7">
        <v>0.4</v>
      </c>
      <c r="N161" s="7">
        <v>0</v>
      </c>
      <c r="O161" s="7">
        <v>1</v>
      </c>
      <c r="P161" s="7">
        <v>3.1</v>
      </c>
    </row>
    <row r="162" spans="1:16" x14ac:dyDescent="0.35">
      <c r="A162" s="1" t="s">
        <v>157</v>
      </c>
      <c r="B162" s="1" t="s">
        <v>35</v>
      </c>
      <c r="C162" s="1" t="s">
        <v>23</v>
      </c>
      <c r="D162" s="7">
        <v>61</v>
      </c>
      <c r="E162" s="7">
        <v>34.299999999999997</v>
      </c>
      <c r="F162" s="7">
        <v>15.7</v>
      </c>
      <c r="G162" s="7">
        <v>0.52600000000000002</v>
      </c>
      <c r="H162" s="7">
        <v>0.1</v>
      </c>
      <c r="I162" s="7">
        <v>6.6</v>
      </c>
      <c r="J162" s="7">
        <v>0.84299999999999997</v>
      </c>
      <c r="K162" s="7">
        <v>5.6</v>
      </c>
      <c r="L162" s="7">
        <v>5.6</v>
      </c>
      <c r="M162" s="7">
        <v>1</v>
      </c>
      <c r="N162" s="7">
        <v>0.2</v>
      </c>
      <c r="O162" s="7">
        <v>2.4</v>
      </c>
      <c r="P162" s="7">
        <v>22.2</v>
      </c>
    </row>
    <row r="163" spans="1:16" x14ac:dyDescent="0.35">
      <c r="A163" s="1" t="s">
        <v>158</v>
      </c>
      <c r="B163" s="1" t="s">
        <v>18</v>
      </c>
      <c r="C163" s="1" t="s">
        <v>54</v>
      </c>
      <c r="D163" s="7">
        <v>44</v>
      </c>
      <c r="E163" s="7">
        <v>10.6</v>
      </c>
      <c r="F163" s="7">
        <v>3.1</v>
      </c>
      <c r="G163" s="7">
        <v>0.65</v>
      </c>
      <c r="H163" s="7">
        <v>0</v>
      </c>
      <c r="I163" s="7">
        <v>0.8</v>
      </c>
      <c r="J163" s="7">
        <v>0.86499999999999999</v>
      </c>
      <c r="K163" s="7">
        <v>2.9</v>
      </c>
      <c r="L163" s="7">
        <v>0.5</v>
      </c>
      <c r="M163" s="7">
        <v>0.2</v>
      </c>
      <c r="N163" s="7">
        <v>0.3</v>
      </c>
      <c r="O163" s="7">
        <v>0.7</v>
      </c>
      <c r="P163" s="7">
        <v>4.8</v>
      </c>
    </row>
    <row r="164" spans="1:16" x14ac:dyDescent="0.35">
      <c r="A164" s="1" t="s">
        <v>159</v>
      </c>
      <c r="B164" s="1" t="s">
        <v>35</v>
      </c>
      <c r="C164" s="1" t="s">
        <v>19</v>
      </c>
      <c r="D164" s="7">
        <v>38</v>
      </c>
      <c r="E164" s="7">
        <v>18.399999999999999</v>
      </c>
      <c r="F164" s="7">
        <v>5.8</v>
      </c>
      <c r="G164" s="7">
        <v>0.45200000000000001</v>
      </c>
      <c r="H164" s="7">
        <v>0.2</v>
      </c>
      <c r="I164" s="7">
        <v>1.2</v>
      </c>
      <c r="J164" s="7">
        <v>0.622</v>
      </c>
      <c r="K164" s="7">
        <v>3.2</v>
      </c>
      <c r="L164" s="7">
        <v>0.6</v>
      </c>
      <c r="M164" s="7">
        <v>0.7</v>
      </c>
      <c r="N164" s="7">
        <v>0.2</v>
      </c>
      <c r="O164" s="7">
        <v>1</v>
      </c>
      <c r="P164" s="7">
        <v>6.1</v>
      </c>
    </row>
    <row r="165" spans="1:16" x14ac:dyDescent="0.35">
      <c r="A165" s="1" t="s">
        <v>160</v>
      </c>
      <c r="B165" s="1" t="s">
        <v>18</v>
      </c>
      <c r="C165" s="1" t="s">
        <v>50</v>
      </c>
      <c r="D165" s="7">
        <v>58</v>
      </c>
      <c r="E165" s="7">
        <v>17.399999999999999</v>
      </c>
      <c r="F165" s="7">
        <v>5.9</v>
      </c>
      <c r="G165" s="7">
        <v>0.46100000000000002</v>
      </c>
      <c r="H165" s="7">
        <v>0.9</v>
      </c>
      <c r="I165" s="7">
        <v>1.4</v>
      </c>
      <c r="J165" s="7">
        <v>0.73499999999999999</v>
      </c>
      <c r="K165" s="7">
        <v>5.8</v>
      </c>
      <c r="L165" s="7">
        <v>1.2</v>
      </c>
      <c r="M165" s="7">
        <v>0.8</v>
      </c>
      <c r="N165" s="7">
        <v>1</v>
      </c>
      <c r="O165" s="7">
        <v>0.9</v>
      </c>
      <c r="P165" s="7">
        <v>7.4</v>
      </c>
    </row>
    <row r="166" spans="1:16" x14ac:dyDescent="0.35">
      <c r="A166" s="1" t="s">
        <v>160</v>
      </c>
      <c r="B166" s="1" t="s">
        <v>18</v>
      </c>
      <c r="C166" s="1" t="s">
        <v>65</v>
      </c>
      <c r="D166" s="7">
        <v>46</v>
      </c>
      <c r="E166" s="7">
        <v>16.899999999999999</v>
      </c>
      <c r="F166" s="7">
        <v>6</v>
      </c>
      <c r="G166" s="7">
        <v>0.44800000000000001</v>
      </c>
      <c r="H166" s="7">
        <v>1</v>
      </c>
      <c r="I166" s="7">
        <v>1.3</v>
      </c>
      <c r="J166" s="7">
        <v>0.79700000000000004</v>
      </c>
      <c r="K166" s="7">
        <v>5.6</v>
      </c>
      <c r="L166" s="7">
        <v>1.3</v>
      </c>
      <c r="M166" s="7">
        <v>0.8</v>
      </c>
      <c r="N166" s="7">
        <v>0.9</v>
      </c>
      <c r="O166" s="7">
        <v>1</v>
      </c>
      <c r="P166" s="7">
        <v>7.4</v>
      </c>
    </row>
    <row r="167" spans="1:16" x14ac:dyDescent="0.35">
      <c r="A167" s="1" t="s">
        <v>160</v>
      </c>
      <c r="B167" s="1" t="s">
        <v>18</v>
      </c>
      <c r="C167" s="1" t="s">
        <v>28</v>
      </c>
      <c r="D167" s="7">
        <v>12</v>
      </c>
      <c r="E167" s="7">
        <v>19.5</v>
      </c>
      <c r="F167" s="7">
        <v>5.5</v>
      </c>
      <c r="G167" s="7">
        <v>0.51500000000000001</v>
      </c>
      <c r="H167" s="7">
        <v>0.4</v>
      </c>
      <c r="I167" s="7">
        <v>2</v>
      </c>
      <c r="J167" s="7">
        <v>0.58299999999999996</v>
      </c>
      <c r="K167" s="7">
        <v>6.7</v>
      </c>
      <c r="L167" s="7">
        <v>1.1000000000000001</v>
      </c>
      <c r="M167" s="7">
        <v>0.9</v>
      </c>
      <c r="N167" s="7">
        <v>1.2</v>
      </c>
      <c r="O167" s="7">
        <v>0.9</v>
      </c>
      <c r="P167" s="7">
        <v>7.3</v>
      </c>
    </row>
    <row r="168" spans="1:16" x14ac:dyDescent="0.35">
      <c r="A168" s="1" t="s">
        <v>161</v>
      </c>
      <c r="B168" s="1" t="s">
        <v>25</v>
      </c>
      <c r="C168" s="1" t="s">
        <v>30</v>
      </c>
      <c r="D168" s="7">
        <v>64</v>
      </c>
      <c r="E168" s="7">
        <v>31.2</v>
      </c>
      <c r="F168" s="7">
        <v>16</v>
      </c>
      <c r="G168" s="7">
        <v>0.41499999999999998</v>
      </c>
      <c r="H168" s="7">
        <v>1.9</v>
      </c>
      <c r="I168" s="7">
        <v>7</v>
      </c>
      <c r="J168" s="7">
        <v>0.77800000000000002</v>
      </c>
      <c r="K168" s="7">
        <v>3.5</v>
      </c>
      <c r="L168" s="7">
        <v>6.8</v>
      </c>
      <c r="M168" s="7">
        <v>0.6</v>
      </c>
      <c r="N168" s="7">
        <v>0.3</v>
      </c>
      <c r="O168" s="7">
        <v>2.7</v>
      </c>
      <c r="P168" s="7">
        <v>20.6</v>
      </c>
    </row>
    <row r="169" spans="1:16" x14ac:dyDescent="0.35">
      <c r="A169" s="1" t="s">
        <v>162</v>
      </c>
      <c r="B169" s="1" t="s">
        <v>25</v>
      </c>
      <c r="C169" s="1" t="s">
        <v>39</v>
      </c>
      <c r="D169" s="7">
        <v>59</v>
      </c>
      <c r="E169" s="7">
        <v>23.1</v>
      </c>
      <c r="F169" s="7">
        <v>7.7</v>
      </c>
      <c r="G169" s="7">
        <v>0.46200000000000002</v>
      </c>
      <c r="H169" s="7">
        <v>1.3</v>
      </c>
      <c r="I169" s="7">
        <v>1.3</v>
      </c>
      <c r="J169" s="7">
        <v>0.76900000000000002</v>
      </c>
      <c r="K169" s="7">
        <v>4.9000000000000004</v>
      </c>
      <c r="L169" s="7">
        <v>2.2999999999999998</v>
      </c>
      <c r="M169" s="7">
        <v>1.4</v>
      </c>
      <c r="N169" s="7">
        <v>0.3</v>
      </c>
      <c r="O169" s="7">
        <v>1.2</v>
      </c>
      <c r="P169" s="7">
        <v>9.4</v>
      </c>
    </row>
    <row r="170" spans="1:16" x14ac:dyDescent="0.35">
      <c r="A170" s="1" t="s">
        <v>653</v>
      </c>
      <c r="B170" s="1" t="s">
        <v>47</v>
      </c>
      <c r="C170" s="1" t="s">
        <v>60</v>
      </c>
      <c r="D170" s="7">
        <v>54</v>
      </c>
      <c r="E170" s="7">
        <v>33.299999999999997</v>
      </c>
      <c r="F170" s="7">
        <v>20.6</v>
      </c>
      <c r="G170" s="7">
        <v>0.46100000000000002</v>
      </c>
      <c r="H170" s="7">
        <v>2.9</v>
      </c>
      <c r="I170" s="7">
        <v>9.1</v>
      </c>
      <c r="J170" s="7">
        <v>0.752</v>
      </c>
      <c r="K170" s="7">
        <v>9.3000000000000007</v>
      </c>
      <c r="L170" s="7">
        <v>8.6999999999999993</v>
      </c>
      <c r="M170" s="7">
        <v>1.1000000000000001</v>
      </c>
      <c r="N170" s="7">
        <v>0.2</v>
      </c>
      <c r="O170" s="7">
        <v>4.2</v>
      </c>
      <c r="P170" s="7">
        <v>28.7</v>
      </c>
    </row>
    <row r="171" spans="1:16" x14ac:dyDescent="0.35">
      <c r="A171" s="1" t="s">
        <v>163</v>
      </c>
      <c r="B171" s="1" t="s">
        <v>25</v>
      </c>
      <c r="C171" s="1" t="s">
        <v>19</v>
      </c>
      <c r="D171" s="7">
        <v>29</v>
      </c>
      <c r="E171" s="7">
        <v>22</v>
      </c>
      <c r="F171" s="7">
        <v>5.4</v>
      </c>
      <c r="G171" s="7">
        <v>0.41399999999999998</v>
      </c>
      <c r="H171" s="7">
        <v>0.8</v>
      </c>
      <c r="I171" s="7">
        <v>1.2</v>
      </c>
      <c r="J171" s="7">
        <v>0.77800000000000002</v>
      </c>
      <c r="K171" s="7">
        <v>1.9</v>
      </c>
      <c r="L171" s="7">
        <v>0.7</v>
      </c>
      <c r="M171" s="7">
        <v>0.8</v>
      </c>
      <c r="N171" s="7">
        <v>0.1</v>
      </c>
      <c r="O171" s="7">
        <v>0.5</v>
      </c>
      <c r="P171" s="7">
        <v>6.2</v>
      </c>
    </row>
    <row r="172" spans="1:16" x14ac:dyDescent="0.35">
      <c r="A172" s="1" t="s">
        <v>164</v>
      </c>
      <c r="B172" s="1" t="s">
        <v>25</v>
      </c>
      <c r="C172" s="1" t="s">
        <v>32</v>
      </c>
      <c r="D172" s="7">
        <v>48</v>
      </c>
      <c r="E172" s="7">
        <v>17.399999999999999</v>
      </c>
      <c r="F172" s="7">
        <v>6</v>
      </c>
      <c r="G172" s="7">
        <v>0.41399999999999998</v>
      </c>
      <c r="H172" s="7">
        <v>1.2</v>
      </c>
      <c r="I172" s="7">
        <v>0.7</v>
      </c>
      <c r="J172" s="7">
        <v>0.66700000000000004</v>
      </c>
      <c r="K172" s="7">
        <v>1.9</v>
      </c>
      <c r="L172" s="7">
        <v>1.2</v>
      </c>
      <c r="M172" s="7">
        <v>0.5</v>
      </c>
      <c r="N172" s="7">
        <v>0.1</v>
      </c>
      <c r="O172" s="7">
        <v>0.4</v>
      </c>
      <c r="P172" s="7">
        <v>6.7</v>
      </c>
    </row>
    <row r="173" spans="1:16" x14ac:dyDescent="0.35">
      <c r="A173" s="1" t="s">
        <v>165</v>
      </c>
      <c r="B173" s="1" t="s">
        <v>35</v>
      </c>
      <c r="C173" s="1" t="s">
        <v>90</v>
      </c>
      <c r="D173" s="7">
        <v>38</v>
      </c>
      <c r="E173" s="7">
        <v>19.8</v>
      </c>
      <c r="F173" s="7">
        <v>6.2</v>
      </c>
      <c r="G173" s="7">
        <v>0.39</v>
      </c>
      <c r="H173" s="7">
        <v>0.7</v>
      </c>
      <c r="I173" s="7">
        <v>1.2</v>
      </c>
      <c r="J173" s="7">
        <v>0.67400000000000004</v>
      </c>
      <c r="K173" s="7">
        <v>3.1</v>
      </c>
      <c r="L173" s="7">
        <v>0.5</v>
      </c>
      <c r="M173" s="7">
        <v>0.5</v>
      </c>
      <c r="N173" s="7">
        <v>0.2</v>
      </c>
      <c r="O173" s="7">
        <v>0.9</v>
      </c>
      <c r="P173" s="7">
        <v>6.4</v>
      </c>
    </row>
    <row r="174" spans="1:16" x14ac:dyDescent="0.35">
      <c r="A174" s="1" t="s">
        <v>654</v>
      </c>
      <c r="B174" s="1" t="s">
        <v>47</v>
      </c>
      <c r="C174" s="1" t="s">
        <v>63</v>
      </c>
      <c r="D174" s="7">
        <v>21</v>
      </c>
      <c r="E174" s="7">
        <v>11.1</v>
      </c>
      <c r="F174" s="7">
        <v>4.3</v>
      </c>
      <c r="G174" s="7">
        <v>0.39600000000000002</v>
      </c>
      <c r="H174" s="7">
        <v>0.3</v>
      </c>
      <c r="I174" s="7">
        <v>0.5</v>
      </c>
      <c r="J174" s="7">
        <v>0.63600000000000001</v>
      </c>
      <c r="K174" s="7">
        <v>1.4</v>
      </c>
      <c r="L174" s="7">
        <v>1.4</v>
      </c>
      <c r="M174" s="7">
        <v>0.3</v>
      </c>
      <c r="N174" s="7">
        <v>0.2</v>
      </c>
      <c r="O174" s="7">
        <v>0.5</v>
      </c>
      <c r="P174" s="7">
        <v>4.0999999999999996</v>
      </c>
    </row>
    <row r="175" spans="1:16" x14ac:dyDescent="0.35">
      <c r="A175" s="1" t="s">
        <v>655</v>
      </c>
      <c r="B175" s="1" t="s">
        <v>47</v>
      </c>
      <c r="C175" s="1" t="s">
        <v>21</v>
      </c>
      <c r="D175" s="7">
        <v>54</v>
      </c>
      <c r="E175" s="7">
        <v>28.4</v>
      </c>
      <c r="F175" s="7">
        <v>12.3</v>
      </c>
      <c r="G175" s="7">
        <v>0.437</v>
      </c>
      <c r="H175" s="7">
        <v>2.2000000000000002</v>
      </c>
      <c r="I175" s="7">
        <v>4.0999999999999996</v>
      </c>
      <c r="J175" s="7">
        <v>0.76900000000000002</v>
      </c>
      <c r="K175" s="7">
        <v>3.1</v>
      </c>
      <c r="L175" s="7">
        <v>5.0999999999999996</v>
      </c>
      <c r="M175" s="7">
        <v>0.6</v>
      </c>
      <c r="N175" s="7">
        <v>0.1</v>
      </c>
      <c r="O175" s="7">
        <v>2.5</v>
      </c>
      <c r="P175" s="7">
        <v>16.100000000000001</v>
      </c>
    </row>
    <row r="176" spans="1:16" x14ac:dyDescent="0.35">
      <c r="A176" s="1" t="s">
        <v>166</v>
      </c>
      <c r="B176" s="1" t="s">
        <v>18</v>
      </c>
      <c r="C176" s="1" t="s">
        <v>50</v>
      </c>
      <c r="D176" s="7">
        <v>57</v>
      </c>
      <c r="E176" s="7">
        <v>33</v>
      </c>
      <c r="F176" s="7">
        <v>13.8</v>
      </c>
      <c r="G176" s="7">
        <v>0.53300000000000003</v>
      </c>
      <c r="H176" s="7">
        <v>0.1</v>
      </c>
      <c r="I176" s="7">
        <v>5.2</v>
      </c>
      <c r="J176" s="7">
        <v>0.57499999999999996</v>
      </c>
      <c r="K176" s="7">
        <v>15.2</v>
      </c>
      <c r="L176" s="7">
        <v>2.7</v>
      </c>
      <c r="M176" s="7">
        <v>1.9</v>
      </c>
      <c r="N176" s="7">
        <v>1.6</v>
      </c>
      <c r="O176" s="7">
        <v>3.6</v>
      </c>
      <c r="P176" s="7">
        <v>17.7</v>
      </c>
    </row>
    <row r="177" spans="1:16" x14ac:dyDescent="0.35">
      <c r="A177" s="1" t="s">
        <v>166</v>
      </c>
      <c r="B177" s="1" t="s">
        <v>18</v>
      </c>
      <c r="C177" s="1" t="s">
        <v>90</v>
      </c>
      <c r="D177" s="7">
        <v>49</v>
      </c>
      <c r="E177" s="7">
        <v>33.799999999999997</v>
      </c>
      <c r="F177" s="7">
        <v>13.9</v>
      </c>
      <c r="G177" s="7">
        <v>0.53</v>
      </c>
      <c r="H177" s="7">
        <v>0</v>
      </c>
      <c r="I177" s="7">
        <v>5.2</v>
      </c>
      <c r="J177" s="7">
        <v>0.58399999999999996</v>
      </c>
      <c r="K177" s="7">
        <v>15.8</v>
      </c>
      <c r="L177" s="7">
        <v>2.8</v>
      </c>
      <c r="M177" s="7">
        <v>2</v>
      </c>
      <c r="N177" s="7">
        <v>1.7</v>
      </c>
      <c r="O177" s="7">
        <v>3.6</v>
      </c>
      <c r="P177" s="7">
        <v>17.8</v>
      </c>
    </row>
    <row r="178" spans="1:16" x14ac:dyDescent="0.35">
      <c r="A178" s="1" t="s">
        <v>166</v>
      </c>
      <c r="B178" s="1" t="s">
        <v>18</v>
      </c>
      <c r="C178" s="1" t="s">
        <v>137</v>
      </c>
      <c r="D178" s="7">
        <v>8</v>
      </c>
      <c r="E178" s="7">
        <v>28.1</v>
      </c>
      <c r="F178" s="7">
        <v>13.1</v>
      </c>
      <c r="G178" s="7">
        <v>0.55200000000000005</v>
      </c>
      <c r="H178" s="7">
        <v>0.5</v>
      </c>
      <c r="I178" s="7">
        <v>4.9000000000000004</v>
      </c>
      <c r="J178" s="7">
        <v>0.51300000000000001</v>
      </c>
      <c r="K178" s="7">
        <v>11.1</v>
      </c>
      <c r="L178" s="7">
        <v>1.8</v>
      </c>
      <c r="M178" s="7">
        <v>1.5</v>
      </c>
      <c r="N178" s="7">
        <v>1.4</v>
      </c>
      <c r="O178" s="7">
        <v>3.6</v>
      </c>
      <c r="P178" s="7">
        <v>17.5</v>
      </c>
    </row>
    <row r="179" spans="1:16" x14ac:dyDescent="0.35">
      <c r="A179" s="1" t="s">
        <v>167</v>
      </c>
      <c r="B179" s="1" t="s">
        <v>35</v>
      </c>
      <c r="C179" s="1" t="s">
        <v>41</v>
      </c>
      <c r="D179" s="7">
        <v>40</v>
      </c>
      <c r="E179" s="7">
        <v>7.8</v>
      </c>
      <c r="F179" s="7">
        <v>1.3</v>
      </c>
      <c r="G179" s="7">
        <v>0.4</v>
      </c>
      <c r="H179" s="7">
        <v>0.4</v>
      </c>
      <c r="I179" s="7">
        <v>0.1</v>
      </c>
      <c r="J179" s="7">
        <v>1</v>
      </c>
      <c r="K179" s="7">
        <v>1.1000000000000001</v>
      </c>
      <c r="L179" s="7">
        <v>0.5</v>
      </c>
      <c r="M179" s="7">
        <v>0.3</v>
      </c>
      <c r="N179" s="7">
        <v>0.1</v>
      </c>
      <c r="O179" s="7">
        <v>0.2</v>
      </c>
      <c r="P179" s="7">
        <v>1.5</v>
      </c>
    </row>
    <row r="180" spans="1:16" x14ac:dyDescent="0.35">
      <c r="A180" s="1" t="s">
        <v>168</v>
      </c>
      <c r="B180" s="1" t="s">
        <v>47</v>
      </c>
      <c r="C180" s="1" t="s">
        <v>48</v>
      </c>
      <c r="D180" s="7">
        <v>51</v>
      </c>
      <c r="E180" s="7">
        <v>24.9</v>
      </c>
      <c r="F180" s="7">
        <v>6.7</v>
      </c>
      <c r="G180" s="7">
        <v>0.44400000000000001</v>
      </c>
      <c r="H180" s="7">
        <v>0.6</v>
      </c>
      <c r="I180" s="7">
        <v>1.1000000000000001</v>
      </c>
      <c r="J180" s="7">
        <v>0.74099999999999999</v>
      </c>
      <c r="K180" s="7">
        <v>3.6</v>
      </c>
      <c r="L180" s="7">
        <v>3.4</v>
      </c>
      <c r="M180" s="7">
        <v>2</v>
      </c>
      <c r="N180" s="7">
        <v>0.3</v>
      </c>
      <c r="O180" s="7">
        <v>1.3</v>
      </c>
      <c r="P180" s="7">
        <v>7.3</v>
      </c>
    </row>
    <row r="181" spans="1:16" x14ac:dyDescent="0.35">
      <c r="A181" s="1" t="s">
        <v>169</v>
      </c>
      <c r="B181" s="1" t="s">
        <v>25</v>
      </c>
      <c r="C181" s="1" t="s">
        <v>109</v>
      </c>
      <c r="D181" s="7">
        <v>35</v>
      </c>
      <c r="E181" s="7">
        <v>9</v>
      </c>
      <c r="F181" s="7">
        <v>3.2</v>
      </c>
      <c r="G181" s="7">
        <v>0.32700000000000001</v>
      </c>
      <c r="H181" s="7">
        <v>0.6</v>
      </c>
      <c r="I181" s="7">
        <v>0.4</v>
      </c>
      <c r="J181" s="7">
        <v>0.84599999999999997</v>
      </c>
      <c r="K181" s="7">
        <v>1.2</v>
      </c>
      <c r="L181" s="7">
        <v>0.6</v>
      </c>
      <c r="M181" s="7">
        <v>0.3</v>
      </c>
      <c r="N181" s="7">
        <v>0.1</v>
      </c>
      <c r="O181" s="7">
        <v>0.4</v>
      </c>
      <c r="P181" s="7">
        <v>3</v>
      </c>
    </row>
    <row r="182" spans="1:16" x14ac:dyDescent="0.35">
      <c r="A182" s="1" t="s">
        <v>593</v>
      </c>
      <c r="B182" s="1" t="s">
        <v>15</v>
      </c>
      <c r="C182" s="1" t="s">
        <v>30</v>
      </c>
      <c r="D182" s="7">
        <v>5</v>
      </c>
      <c r="E182" s="7">
        <v>3</v>
      </c>
      <c r="F182" s="7">
        <v>1.4</v>
      </c>
      <c r="G182" s="7">
        <v>0.14299999999999999</v>
      </c>
      <c r="H182" s="7">
        <v>0</v>
      </c>
      <c r="I182" s="7">
        <v>0</v>
      </c>
      <c r="K182" s="7">
        <v>1.2</v>
      </c>
      <c r="L182" s="7">
        <v>0.2</v>
      </c>
      <c r="M182" s="7">
        <v>0</v>
      </c>
      <c r="N182" s="7">
        <v>0</v>
      </c>
      <c r="O182" s="7">
        <v>0</v>
      </c>
      <c r="P182" s="7">
        <v>0.4</v>
      </c>
    </row>
    <row r="183" spans="1:16" x14ac:dyDescent="0.35">
      <c r="A183" s="1" t="s">
        <v>170</v>
      </c>
      <c r="B183" s="1" t="s">
        <v>25</v>
      </c>
      <c r="C183" s="1" t="s">
        <v>32</v>
      </c>
      <c r="D183" s="7">
        <v>36</v>
      </c>
      <c r="E183" s="7">
        <v>15.5</v>
      </c>
      <c r="F183" s="7">
        <v>4.8</v>
      </c>
      <c r="G183" s="7">
        <v>0.35099999999999998</v>
      </c>
      <c r="H183" s="7">
        <v>1.4</v>
      </c>
      <c r="I183" s="7">
        <v>0.4</v>
      </c>
      <c r="J183" s="7">
        <v>0.84599999999999997</v>
      </c>
      <c r="K183" s="7">
        <v>1.8</v>
      </c>
      <c r="L183" s="7">
        <v>1.2</v>
      </c>
      <c r="M183" s="7">
        <v>0.4</v>
      </c>
      <c r="N183" s="7">
        <v>0.1</v>
      </c>
      <c r="O183" s="7">
        <v>0.5</v>
      </c>
      <c r="P183" s="7">
        <v>5.0999999999999996</v>
      </c>
    </row>
    <row r="184" spans="1:16" x14ac:dyDescent="0.35">
      <c r="A184" s="1" t="s">
        <v>171</v>
      </c>
      <c r="B184" s="1" t="s">
        <v>18</v>
      </c>
      <c r="C184" s="1" t="s">
        <v>88</v>
      </c>
      <c r="D184" s="7">
        <v>44</v>
      </c>
      <c r="E184" s="7">
        <v>30.2</v>
      </c>
      <c r="F184" s="7">
        <v>15.9</v>
      </c>
      <c r="G184" s="7">
        <v>0.47399999999999998</v>
      </c>
      <c r="H184" s="7">
        <v>1.3</v>
      </c>
      <c r="I184" s="7">
        <v>8.6999999999999993</v>
      </c>
      <c r="J184" s="7">
        <v>0.81399999999999995</v>
      </c>
      <c r="K184" s="7">
        <v>11.8</v>
      </c>
      <c r="L184" s="7">
        <v>3.1</v>
      </c>
      <c r="M184" s="7">
        <v>0.9</v>
      </c>
      <c r="N184" s="7">
        <v>1.3</v>
      </c>
      <c r="O184" s="7">
        <v>3.1</v>
      </c>
      <c r="P184" s="7">
        <v>23.4</v>
      </c>
    </row>
    <row r="185" spans="1:16" x14ac:dyDescent="0.35">
      <c r="A185" s="1" t="s">
        <v>172</v>
      </c>
      <c r="B185" s="1" t="s">
        <v>35</v>
      </c>
      <c r="C185" s="1" t="s">
        <v>50</v>
      </c>
      <c r="D185" s="7">
        <v>61</v>
      </c>
      <c r="E185" s="7">
        <v>17.3</v>
      </c>
      <c r="F185" s="7">
        <v>4.8</v>
      </c>
      <c r="G185" s="7">
        <v>0.435</v>
      </c>
      <c r="H185" s="7">
        <v>0.8</v>
      </c>
      <c r="I185" s="7">
        <v>1.3</v>
      </c>
      <c r="J185" s="7">
        <v>0.80800000000000005</v>
      </c>
      <c r="K185" s="7">
        <v>3.3</v>
      </c>
      <c r="L185" s="7">
        <v>0.9</v>
      </c>
      <c r="M185" s="7">
        <v>0.5</v>
      </c>
      <c r="N185" s="7">
        <v>0.3</v>
      </c>
      <c r="O185" s="7">
        <v>0.7</v>
      </c>
      <c r="P185" s="7">
        <v>6</v>
      </c>
    </row>
    <row r="186" spans="1:16" x14ac:dyDescent="0.35">
      <c r="A186" s="1" t="s">
        <v>172</v>
      </c>
      <c r="B186" s="1" t="s">
        <v>35</v>
      </c>
      <c r="C186" s="1" t="s">
        <v>88</v>
      </c>
      <c r="D186" s="7">
        <v>49</v>
      </c>
      <c r="E186" s="7">
        <v>15.8</v>
      </c>
      <c r="F186" s="7">
        <v>4.5999999999999996</v>
      </c>
      <c r="G186" s="7">
        <v>0.442</v>
      </c>
      <c r="H186" s="7">
        <v>0.8</v>
      </c>
      <c r="I186" s="7">
        <v>1.2</v>
      </c>
      <c r="J186" s="7">
        <v>0.78700000000000003</v>
      </c>
      <c r="K186" s="7">
        <v>3.1</v>
      </c>
      <c r="L186" s="7">
        <v>0.8</v>
      </c>
      <c r="M186" s="7">
        <v>0.5</v>
      </c>
      <c r="N186" s="7">
        <v>0.3</v>
      </c>
      <c r="O186" s="7">
        <v>0.6</v>
      </c>
      <c r="P186" s="7">
        <v>5.8</v>
      </c>
    </row>
    <row r="187" spans="1:16" x14ac:dyDescent="0.35">
      <c r="A187" s="1" t="s">
        <v>172</v>
      </c>
      <c r="B187" s="1" t="s">
        <v>35</v>
      </c>
      <c r="C187" s="1" t="s">
        <v>34</v>
      </c>
      <c r="D187" s="7">
        <v>12</v>
      </c>
      <c r="E187" s="7">
        <v>23.1</v>
      </c>
      <c r="F187" s="7">
        <v>5.7</v>
      </c>
      <c r="G187" s="7">
        <v>0.41199999999999998</v>
      </c>
      <c r="H187" s="7">
        <v>0.8</v>
      </c>
      <c r="I187" s="7">
        <v>1.4</v>
      </c>
      <c r="J187" s="7">
        <v>0.88200000000000001</v>
      </c>
      <c r="K187" s="7">
        <v>4.0999999999999996</v>
      </c>
      <c r="L187" s="7">
        <v>1.1000000000000001</v>
      </c>
      <c r="M187" s="7">
        <v>0.5</v>
      </c>
      <c r="N187" s="7">
        <v>0.5</v>
      </c>
      <c r="O187" s="7">
        <v>1</v>
      </c>
      <c r="P187" s="7">
        <v>6.8</v>
      </c>
    </row>
    <row r="188" spans="1:16" x14ac:dyDescent="0.35">
      <c r="A188" s="1" t="s">
        <v>173</v>
      </c>
      <c r="B188" s="1" t="s">
        <v>15</v>
      </c>
      <c r="C188" s="1" t="s">
        <v>23</v>
      </c>
      <c r="D188" s="7">
        <v>14</v>
      </c>
      <c r="E188" s="7">
        <v>9.3000000000000007</v>
      </c>
      <c r="F188" s="7">
        <v>2</v>
      </c>
      <c r="G188" s="7">
        <v>0.75</v>
      </c>
      <c r="H188" s="7">
        <v>0.1</v>
      </c>
      <c r="I188" s="7">
        <v>0.8</v>
      </c>
      <c r="J188" s="7">
        <v>0.72699999999999998</v>
      </c>
      <c r="K188" s="7">
        <v>2.5</v>
      </c>
      <c r="L188" s="7">
        <v>0.4</v>
      </c>
      <c r="M188" s="7">
        <v>0.1</v>
      </c>
      <c r="N188" s="7">
        <v>0.4</v>
      </c>
      <c r="O188" s="7">
        <v>0.7</v>
      </c>
      <c r="P188" s="7">
        <v>3.6</v>
      </c>
    </row>
    <row r="189" spans="1:16" x14ac:dyDescent="0.35">
      <c r="A189" s="1" t="s">
        <v>174</v>
      </c>
      <c r="B189" s="1" t="s">
        <v>25</v>
      </c>
      <c r="C189" s="1" t="s">
        <v>50</v>
      </c>
      <c r="D189" s="7">
        <v>29</v>
      </c>
      <c r="E189" s="7">
        <v>14.4</v>
      </c>
      <c r="F189" s="7">
        <v>4.5999999999999996</v>
      </c>
      <c r="G189" s="7">
        <v>0.33600000000000002</v>
      </c>
      <c r="H189" s="7">
        <v>0.4</v>
      </c>
      <c r="I189" s="7">
        <v>1</v>
      </c>
      <c r="J189" s="7">
        <v>0.86199999999999999</v>
      </c>
      <c r="K189" s="7">
        <v>1.4</v>
      </c>
      <c r="L189" s="7">
        <v>1.1000000000000001</v>
      </c>
      <c r="M189" s="7">
        <v>0.4</v>
      </c>
      <c r="N189" s="7">
        <v>0.4</v>
      </c>
      <c r="O189" s="7">
        <v>0.9</v>
      </c>
      <c r="P189" s="7">
        <v>4.4000000000000004</v>
      </c>
    </row>
    <row r="190" spans="1:16" x14ac:dyDescent="0.35">
      <c r="A190" s="1" t="s">
        <v>174</v>
      </c>
      <c r="B190" s="1" t="s">
        <v>25</v>
      </c>
      <c r="C190" s="1" t="s">
        <v>96</v>
      </c>
      <c r="D190" s="7">
        <v>27</v>
      </c>
      <c r="E190" s="7">
        <v>15.3</v>
      </c>
      <c r="F190" s="7">
        <v>4.9000000000000004</v>
      </c>
      <c r="G190" s="7">
        <v>0.33800000000000002</v>
      </c>
      <c r="H190" s="7">
        <v>0.5</v>
      </c>
      <c r="I190" s="7">
        <v>1.1000000000000001</v>
      </c>
      <c r="J190" s="7">
        <v>0.86199999999999999</v>
      </c>
      <c r="K190" s="7">
        <v>1.5</v>
      </c>
      <c r="L190" s="7">
        <v>1.1000000000000001</v>
      </c>
      <c r="M190" s="7">
        <v>0.4</v>
      </c>
      <c r="N190" s="7">
        <v>0.4</v>
      </c>
      <c r="O190" s="7">
        <v>0.9</v>
      </c>
      <c r="P190" s="7">
        <v>4.7</v>
      </c>
    </row>
    <row r="191" spans="1:16" x14ac:dyDescent="0.35">
      <c r="A191" s="1" t="s">
        <v>174</v>
      </c>
      <c r="B191" s="1" t="s">
        <v>25</v>
      </c>
      <c r="C191" s="1" t="s">
        <v>65</v>
      </c>
      <c r="D191" s="7">
        <v>2</v>
      </c>
      <c r="E191" s="7">
        <v>2</v>
      </c>
      <c r="F191" s="7">
        <v>0.5</v>
      </c>
      <c r="G191" s="7">
        <v>0</v>
      </c>
      <c r="H191" s="7">
        <v>0</v>
      </c>
      <c r="I191" s="7">
        <v>0</v>
      </c>
      <c r="K191" s="7">
        <v>0</v>
      </c>
      <c r="L191" s="7">
        <v>0</v>
      </c>
      <c r="M191" s="7">
        <v>0</v>
      </c>
      <c r="N191" s="7">
        <v>0</v>
      </c>
      <c r="O191" s="7">
        <v>0</v>
      </c>
      <c r="P191" s="7">
        <v>0</v>
      </c>
    </row>
    <row r="192" spans="1:16" x14ac:dyDescent="0.35">
      <c r="A192" s="1" t="s">
        <v>175</v>
      </c>
      <c r="B192" s="1" t="s">
        <v>25</v>
      </c>
      <c r="C192" s="1" t="s">
        <v>50</v>
      </c>
      <c r="D192" s="7">
        <v>35</v>
      </c>
      <c r="E192" s="7">
        <v>13.9</v>
      </c>
      <c r="F192" s="7">
        <v>3.4</v>
      </c>
      <c r="G192" s="7">
        <v>0.47099999999999997</v>
      </c>
      <c r="H192" s="7">
        <v>0.4</v>
      </c>
      <c r="I192" s="7">
        <v>1.2</v>
      </c>
      <c r="J192" s="7">
        <v>0.74399999999999999</v>
      </c>
      <c r="K192" s="7">
        <v>1.9</v>
      </c>
      <c r="L192" s="7">
        <v>1.1000000000000001</v>
      </c>
      <c r="M192" s="7">
        <v>0.4</v>
      </c>
      <c r="N192" s="7">
        <v>0.2</v>
      </c>
      <c r="O192" s="7">
        <v>0.9</v>
      </c>
      <c r="P192" s="7">
        <v>4.5</v>
      </c>
    </row>
    <row r="193" spans="1:16" x14ac:dyDescent="0.35">
      <c r="A193" s="1" t="s">
        <v>175</v>
      </c>
      <c r="B193" s="1" t="s">
        <v>25</v>
      </c>
      <c r="C193" s="1" t="s">
        <v>87</v>
      </c>
      <c r="D193" s="7">
        <v>11</v>
      </c>
      <c r="E193" s="7">
        <v>7.5</v>
      </c>
      <c r="F193" s="7">
        <v>2.1</v>
      </c>
      <c r="G193" s="7">
        <v>0.435</v>
      </c>
      <c r="H193" s="7">
        <v>0.2</v>
      </c>
      <c r="I193" s="7">
        <v>0.2</v>
      </c>
      <c r="J193" s="7">
        <v>1</v>
      </c>
      <c r="K193" s="7">
        <v>1.1000000000000001</v>
      </c>
      <c r="L193" s="7">
        <v>0.6</v>
      </c>
      <c r="M193" s="7">
        <v>0.1</v>
      </c>
      <c r="N193" s="7">
        <v>0.2</v>
      </c>
      <c r="O193" s="7">
        <v>0.9</v>
      </c>
      <c r="P193" s="7">
        <v>2.2000000000000002</v>
      </c>
    </row>
    <row r="194" spans="1:16" x14ac:dyDescent="0.35">
      <c r="A194" s="1" t="s">
        <v>175</v>
      </c>
      <c r="B194" s="1" t="s">
        <v>25</v>
      </c>
      <c r="C194" s="1" t="s">
        <v>137</v>
      </c>
      <c r="D194" s="7">
        <v>24</v>
      </c>
      <c r="E194" s="7">
        <v>16.8</v>
      </c>
      <c r="F194" s="7">
        <v>4</v>
      </c>
      <c r="G194" s="7">
        <v>0.47899999999999998</v>
      </c>
      <c r="H194" s="7">
        <v>0.5</v>
      </c>
      <c r="I194" s="7">
        <v>1.7</v>
      </c>
      <c r="J194" s="7">
        <v>0.73199999999999998</v>
      </c>
      <c r="K194" s="7">
        <v>2.2999999999999998</v>
      </c>
      <c r="L194" s="7">
        <v>1.4</v>
      </c>
      <c r="M194" s="7">
        <v>0.5</v>
      </c>
      <c r="N194" s="7">
        <v>0.3</v>
      </c>
      <c r="O194" s="7">
        <v>0.9</v>
      </c>
      <c r="P194" s="7">
        <v>5.6</v>
      </c>
    </row>
    <row r="195" spans="1:16" x14ac:dyDescent="0.35">
      <c r="A195" s="1" t="s">
        <v>176</v>
      </c>
      <c r="B195" s="1" t="s">
        <v>18</v>
      </c>
      <c r="C195" s="1" t="s">
        <v>109</v>
      </c>
      <c r="D195" s="7">
        <v>6</v>
      </c>
      <c r="E195" s="7">
        <v>4</v>
      </c>
      <c r="F195" s="7">
        <v>2</v>
      </c>
      <c r="G195" s="7">
        <v>0.75</v>
      </c>
      <c r="H195" s="7">
        <v>0</v>
      </c>
      <c r="I195" s="7">
        <v>0.5</v>
      </c>
      <c r="J195" s="7">
        <v>0.33300000000000002</v>
      </c>
      <c r="K195" s="7">
        <v>1.8</v>
      </c>
      <c r="L195" s="7">
        <v>0</v>
      </c>
      <c r="M195" s="7">
        <v>0</v>
      </c>
      <c r="N195" s="7">
        <v>0.3</v>
      </c>
      <c r="O195" s="7">
        <v>0.5</v>
      </c>
      <c r="P195" s="7">
        <v>3.2</v>
      </c>
    </row>
    <row r="196" spans="1:16" x14ac:dyDescent="0.35">
      <c r="A196" s="1" t="s">
        <v>177</v>
      </c>
      <c r="B196" s="1" t="s">
        <v>18</v>
      </c>
      <c r="C196" s="1" t="s">
        <v>26</v>
      </c>
      <c r="D196" s="7">
        <v>45</v>
      </c>
      <c r="E196" s="7">
        <v>24.2</v>
      </c>
      <c r="F196" s="7">
        <v>6.8</v>
      </c>
      <c r="G196" s="7">
        <v>0.62</v>
      </c>
      <c r="H196" s="7">
        <v>0</v>
      </c>
      <c r="I196" s="7">
        <v>1.4</v>
      </c>
      <c r="J196" s="7">
        <v>0.58099999999999996</v>
      </c>
      <c r="K196" s="7">
        <v>9.9</v>
      </c>
      <c r="L196" s="7">
        <v>1.7</v>
      </c>
      <c r="M196" s="7">
        <v>0.6</v>
      </c>
      <c r="N196" s="7">
        <v>1</v>
      </c>
      <c r="O196" s="7">
        <v>1.1000000000000001</v>
      </c>
      <c r="P196" s="7">
        <v>9.1999999999999993</v>
      </c>
    </row>
    <row r="197" spans="1:16" x14ac:dyDescent="0.35">
      <c r="A197" s="1" t="s">
        <v>656</v>
      </c>
      <c r="B197" s="1" t="s">
        <v>15</v>
      </c>
      <c r="C197" s="1" t="s">
        <v>48</v>
      </c>
      <c r="D197" s="7">
        <v>22</v>
      </c>
      <c r="E197" s="7">
        <v>17.5</v>
      </c>
      <c r="F197" s="7">
        <v>2.5</v>
      </c>
      <c r="G197" s="7">
        <v>0.63</v>
      </c>
      <c r="H197" s="7">
        <v>0</v>
      </c>
      <c r="I197" s="7">
        <v>1</v>
      </c>
      <c r="J197" s="7">
        <v>0.78300000000000003</v>
      </c>
      <c r="K197" s="7">
        <v>4.5999999999999996</v>
      </c>
      <c r="L197" s="7">
        <v>0.7</v>
      </c>
      <c r="M197" s="7">
        <v>0.5</v>
      </c>
      <c r="N197" s="7">
        <v>0.1</v>
      </c>
      <c r="O197" s="7">
        <v>0.8</v>
      </c>
      <c r="P197" s="7">
        <v>3.9</v>
      </c>
    </row>
    <row r="198" spans="1:16" x14ac:dyDescent="0.35">
      <c r="A198" s="1" t="s">
        <v>178</v>
      </c>
      <c r="B198" s="1" t="s">
        <v>35</v>
      </c>
      <c r="C198" s="1" t="s">
        <v>19</v>
      </c>
      <c r="D198" s="7">
        <v>50</v>
      </c>
      <c r="E198" s="7">
        <v>23.4</v>
      </c>
      <c r="F198" s="7">
        <v>4</v>
      </c>
      <c r="G198" s="7">
        <v>0.372</v>
      </c>
      <c r="H198" s="7">
        <v>0.9</v>
      </c>
      <c r="I198" s="7">
        <v>0.4</v>
      </c>
      <c r="J198" s="7">
        <v>0.78900000000000003</v>
      </c>
      <c r="K198" s="7">
        <v>1.5</v>
      </c>
      <c r="L198" s="7">
        <v>0.9</v>
      </c>
      <c r="M198" s="7">
        <v>0.5</v>
      </c>
      <c r="N198" s="7">
        <v>0.3</v>
      </c>
      <c r="O198" s="7">
        <v>0.6</v>
      </c>
      <c r="P198" s="7">
        <v>4.2</v>
      </c>
    </row>
    <row r="199" spans="1:16" x14ac:dyDescent="0.35">
      <c r="A199" s="1" t="s">
        <v>179</v>
      </c>
      <c r="B199" s="1" t="s">
        <v>18</v>
      </c>
      <c r="C199" s="1" t="s">
        <v>77</v>
      </c>
      <c r="D199" s="7">
        <v>56</v>
      </c>
      <c r="E199" s="7">
        <v>12.7</v>
      </c>
      <c r="F199" s="7">
        <v>3.6</v>
      </c>
      <c r="G199" s="7">
        <v>0.51800000000000002</v>
      </c>
      <c r="H199" s="7">
        <v>0.1</v>
      </c>
      <c r="I199" s="7">
        <v>0.9</v>
      </c>
      <c r="J199" s="7">
        <v>0.56899999999999995</v>
      </c>
      <c r="K199" s="7">
        <v>3.5</v>
      </c>
      <c r="L199" s="7">
        <v>0.9</v>
      </c>
      <c r="M199" s="7">
        <v>0.3</v>
      </c>
      <c r="N199" s="7">
        <v>0.3</v>
      </c>
      <c r="O199" s="7">
        <v>0.8</v>
      </c>
      <c r="P199" s="7">
        <v>4.3</v>
      </c>
    </row>
    <row r="200" spans="1:16" x14ac:dyDescent="0.35">
      <c r="A200" s="1" t="s">
        <v>180</v>
      </c>
      <c r="B200" s="1" t="s">
        <v>47</v>
      </c>
      <c r="C200" s="1" t="s">
        <v>51</v>
      </c>
      <c r="D200" s="7">
        <v>44</v>
      </c>
      <c r="E200" s="7">
        <v>11</v>
      </c>
      <c r="F200" s="7">
        <v>3.8</v>
      </c>
      <c r="G200" s="7">
        <v>0.39600000000000002</v>
      </c>
      <c r="H200" s="7">
        <v>0.4</v>
      </c>
      <c r="I200" s="7">
        <v>0.8</v>
      </c>
      <c r="J200" s="7">
        <v>0.86499999999999999</v>
      </c>
      <c r="K200" s="7">
        <v>1.1000000000000001</v>
      </c>
      <c r="L200" s="7">
        <v>1.3</v>
      </c>
      <c r="M200" s="7">
        <v>0.3</v>
      </c>
      <c r="N200" s="7">
        <v>0.1</v>
      </c>
      <c r="O200" s="7">
        <v>0.6</v>
      </c>
      <c r="P200" s="7">
        <v>4.2</v>
      </c>
    </row>
    <row r="201" spans="1:16" x14ac:dyDescent="0.35">
      <c r="A201" s="1" t="s">
        <v>181</v>
      </c>
      <c r="B201" s="1" t="s">
        <v>15</v>
      </c>
      <c r="C201" s="1" t="s">
        <v>60</v>
      </c>
      <c r="D201" s="7">
        <v>64</v>
      </c>
      <c r="E201" s="7">
        <v>29.7</v>
      </c>
      <c r="F201" s="7">
        <v>7.1</v>
      </c>
      <c r="G201" s="7">
        <v>0.46800000000000003</v>
      </c>
      <c r="H201" s="7">
        <v>1.5</v>
      </c>
      <c r="I201" s="7">
        <v>1.5</v>
      </c>
      <c r="J201" s="7">
        <v>0.72199999999999998</v>
      </c>
      <c r="K201" s="7">
        <v>5.5</v>
      </c>
      <c r="L201" s="7">
        <v>1.5</v>
      </c>
      <c r="M201" s="7">
        <v>0.7</v>
      </c>
      <c r="N201" s="7">
        <v>0.6</v>
      </c>
      <c r="O201" s="7">
        <v>1</v>
      </c>
      <c r="P201" s="7">
        <v>9.3000000000000007</v>
      </c>
    </row>
    <row r="202" spans="1:16" x14ac:dyDescent="0.35">
      <c r="A202" s="1" t="s">
        <v>182</v>
      </c>
      <c r="B202" s="1" t="s">
        <v>25</v>
      </c>
      <c r="C202" s="1" t="s">
        <v>23</v>
      </c>
      <c r="D202" s="7">
        <v>63</v>
      </c>
      <c r="E202" s="7">
        <v>25.1</v>
      </c>
      <c r="F202" s="7">
        <v>9.1999999999999993</v>
      </c>
      <c r="G202" s="7">
        <v>0.41699999999999998</v>
      </c>
      <c r="H202" s="7">
        <v>2.2999999999999998</v>
      </c>
      <c r="I202" s="7">
        <v>1.4</v>
      </c>
      <c r="J202" s="7">
        <v>0.83299999999999996</v>
      </c>
      <c r="K202" s="7">
        <v>2</v>
      </c>
      <c r="L202" s="7">
        <v>1.7</v>
      </c>
      <c r="M202" s="7">
        <v>0.5</v>
      </c>
      <c r="N202" s="7">
        <v>0</v>
      </c>
      <c r="O202" s="7">
        <v>0.9</v>
      </c>
      <c r="P202" s="7">
        <v>11.2</v>
      </c>
    </row>
    <row r="203" spans="1:16" x14ac:dyDescent="0.35">
      <c r="A203" s="1" t="s">
        <v>183</v>
      </c>
      <c r="B203" s="1" t="s">
        <v>25</v>
      </c>
      <c r="C203" s="1" t="s">
        <v>34</v>
      </c>
      <c r="D203" s="7">
        <v>61</v>
      </c>
      <c r="E203" s="7">
        <v>31.7</v>
      </c>
      <c r="F203" s="7">
        <v>14.2</v>
      </c>
      <c r="G203" s="7">
        <v>0.47</v>
      </c>
      <c r="H203" s="7">
        <v>2.7</v>
      </c>
      <c r="I203" s="7">
        <v>3.4</v>
      </c>
      <c r="J203" s="7">
        <v>0.82</v>
      </c>
      <c r="K203" s="7">
        <v>2.6</v>
      </c>
      <c r="L203" s="7">
        <v>3.2</v>
      </c>
      <c r="M203" s="7">
        <v>1.1000000000000001</v>
      </c>
      <c r="N203" s="7">
        <v>0.2</v>
      </c>
      <c r="O203" s="7">
        <v>2</v>
      </c>
      <c r="P203" s="7">
        <v>18.8</v>
      </c>
    </row>
    <row r="204" spans="1:16" x14ac:dyDescent="0.35">
      <c r="A204" s="1" t="s">
        <v>184</v>
      </c>
      <c r="B204" s="1" t="s">
        <v>47</v>
      </c>
      <c r="C204" s="1" t="s">
        <v>51</v>
      </c>
      <c r="D204" s="7">
        <v>45</v>
      </c>
      <c r="E204" s="7">
        <v>31.7</v>
      </c>
      <c r="F204" s="7">
        <v>15.4</v>
      </c>
      <c r="G204" s="7">
        <v>0.47499999999999998</v>
      </c>
      <c r="H204" s="7">
        <v>1</v>
      </c>
      <c r="I204" s="7">
        <v>6.8</v>
      </c>
      <c r="J204" s="7">
        <v>0.70299999999999996</v>
      </c>
      <c r="K204" s="7">
        <v>4</v>
      </c>
      <c r="L204" s="7">
        <v>6.8</v>
      </c>
      <c r="M204" s="7">
        <v>1.4</v>
      </c>
      <c r="N204" s="7">
        <v>0.5</v>
      </c>
      <c r="O204" s="7">
        <v>3.1</v>
      </c>
      <c r="P204" s="7">
        <v>20.399999999999999</v>
      </c>
    </row>
    <row r="205" spans="1:16" x14ac:dyDescent="0.35">
      <c r="A205" s="1" t="s">
        <v>185</v>
      </c>
      <c r="B205" s="1" t="s">
        <v>25</v>
      </c>
      <c r="C205" s="1" t="s">
        <v>34</v>
      </c>
      <c r="D205" s="7">
        <v>15</v>
      </c>
      <c r="E205" s="7">
        <v>3.4</v>
      </c>
      <c r="F205" s="7">
        <v>1.1000000000000001</v>
      </c>
      <c r="G205" s="7">
        <v>0.35299999999999998</v>
      </c>
      <c r="H205" s="7">
        <v>0.3</v>
      </c>
      <c r="I205" s="7">
        <v>0.3</v>
      </c>
      <c r="J205" s="7">
        <v>0.5</v>
      </c>
      <c r="K205" s="7">
        <v>0.3</v>
      </c>
      <c r="L205" s="7">
        <v>0.1</v>
      </c>
      <c r="M205" s="7">
        <v>0.3</v>
      </c>
      <c r="N205" s="7">
        <v>0.1</v>
      </c>
      <c r="O205" s="7">
        <v>0.2</v>
      </c>
      <c r="P205" s="7">
        <v>1.2</v>
      </c>
    </row>
    <row r="206" spans="1:16" x14ac:dyDescent="0.35">
      <c r="A206" s="1" t="s">
        <v>186</v>
      </c>
      <c r="B206" s="1" t="s">
        <v>25</v>
      </c>
      <c r="C206" s="1" t="s">
        <v>37</v>
      </c>
      <c r="D206" s="7">
        <v>8</v>
      </c>
      <c r="E206" s="7">
        <v>8.3000000000000007</v>
      </c>
      <c r="F206" s="7">
        <v>1.4</v>
      </c>
      <c r="G206" s="7">
        <v>0.36399999999999999</v>
      </c>
      <c r="H206" s="7">
        <v>0.3</v>
      </c>
      <c r="I206" s="7">
        <v>0.8</v>
      </c>
      <c r="J206" s="7">
        <v>0.66700000000000004</v>
      </c>
      <c r="K206" s="7">
        <v>0.4</v>
      </c>
      <c r="L206" s="7">
        <v>0.1</v>
      </c>
      <c r="M206" s="7">
        <v>0.3</v>
      </c>
      <c r="N206" s="7">
        <v>0</v>
      </c>
      <c r="O206" s="7">
        <v>0.3</v>
      </c>
      <c r="P206" s="7">
        <v>1.8</v>
      </c>
    </row>
    <row r="207" spans="1:16" x14ac:dyDescent="0.35">
      <c r="A207" s="1" t="s">
        <v>594</v>
      </c>
      <c r="B207" s="1" t="s">
        <v>47</v>
      </c>
      <c r="C207" s="1" t="s">
        <v>90</v>
      </c>
      <c r="D207" s="7">
        <v>27</v>
      </c>
      <c r="E207" s="7">
        <v>13.1</v>
      </c>
      <c r="F207" s="7">
        <v>3.5</v>
      </c>
      <c r="G207" s="7">
        <v>0.36199999999999999</v>
      </c>
      <c r="H207" s="7">
        <v>0.4</v>
      </c>
      <c r="I207" s="7">
        <v>0.9</v>
      </c>
      <c r="J207" s="7">
        <v>0.79200000000000004</v>
      </c>
      <c r="K207" s="7">
        <v>1.2</v>
      </c>
      <c r="L207" s="7">
        <v>3.4</v>
      </c>
      <c r="M207" s="7">
        <v>0.5</v>
      </c>
      <c r="N207" s="7">
        <v>0.1</v>
      </c>
      <c r="O207" s="7">
        <v>1.3</v>
      </c>
      <c r="P207" s="7">
        <v>3.6</v>
      </c>
    </row>
    <row r="208" spans="1:16" x14ac:dyDescent="0.35">
      <c r="A208" s="1" t="s">
        <v>187</v>
      </c>
      <c r="B208" s="1" t="s">
        <v>47</v>
      </c>
      <c r="C208" s="1" t="s">
        <v>34</v>
      </c>
      <c r="D208" s="7">
        <v>64</v>
      </c>
      <c r="E208" s="7">
        <v>28.3</v>
      </c>
      <c r="F208" s="7">
        <v>10.6</v>
      </c>
      <c r="G208" s="7">
        <v>0.47299999999999998</v>
      </c>
      <c r="H208" s="7">
        <v>0.5</v>
      </c>
      <c r="I208" s="7">
        <v>2.2000000000000002</v>
      </c>
      <c r="J208" s="7">
        <v>0.72299999999999998</v>
      </c>
      <c r="K208" s="7">
        <v>3.3</v>
      </c>
      <c r="L208" s="7">
        <v>5.2</v>
      </c>
      <c r="M208" s="7">
        <v>1.3</v>
      </c>
      <c r="N208" s="7">
        <v>0.2</v>
      </c>
      <c r="O208" s="7">
        <v>2</v>
      </c>
      <c r="P208" s="7">
        <v>12.1</v>
      </c>
    </row>
    <row r="209" spans="1:16" x14ac:dyDescent="0.35">
      <c r="A209" s="1" t="s">
        <v>188</v>
      </c>
      <c r="B209" s="1" t="s">
        <v>15</v>
      </c>
      <c r="C209" s="1" t="s">
        <v>50</v>
      </c>
      <c r="D209" s="7">
        <v>28</v>
      </c>
      <c r="E209" s="7">
        <v>7.5</v>
      </c>
      <c r="F209" s="7">
        <v>1.6</v>
      </c>
      <c r="G209" s="7">
        <v>0.435</v>
      </c>
      <c r="H209" s="7">
        <v>0.2</v>
      </c>
      <c r="I209" s="7">
        <v>0.7</v>
      </c>
      <c r="J209" s="7">
        <v>0.7</v>
      </c>
      <c r="K209" s="7">
        <v>1.6</v>
      </c>
      <c r="L209" s="7">
        <v>0.3</v>
      </c>
      <c r="M209" s="7">
        <v>0.4</v>
      </c>
      <c r="N209" s="7">
        <v>0.2</v>
      </c>
      <c r="O209" s="7">
        <v>0.6</v>
      </c>
      <c r="P209" s="7">
        <v>2.1</v>
      </c>
    </row>
    <row r="210" spans="1:16" x14ac:dyDescent="0.35">
      <c r="A210" s="1" t="s">
        <v>188</v>
      </c>
      <c r="B210" s="1" t="s">
        <v>15</v>
      </c>
      <c r="C210" s="1" t="s">
        <v>51</v>
      </c>
      <c r="D210" s="7">
        <v>11</v>
      </c>
      <c r="E210" s="7">
        <v>5.5</v>
      </c>
      <c r="F210" s="7">
        <v>1.5</v>
      </c>
      <c r="G210" s="7">
        <v>0.35299999999999998</v>
      </c>
      <c r="H210" s="7">
        <v>0.1</v>
      </c>
      <c r="I210" s="7">
        <v>0.9</v>
      </c>
      <c r="J210" s="7">
        <v>0.6</v>
      </c>
      <c r="K210" s="7">
        <v>0.9</v>
      </c>
      <c r="L210" s="7">
        <v>0.3</v>
      </c>
      <c r="M210" s="7">
        <v>0.3</v>
      </c>
      <c r="N210" s="7">
        <v>0.2</v>
      </c>
      <c r="O210" s="7">
        <v>0.5</v>
      </c>
      <c r="P210" s="7">
        <v>1.7</v>
      </c>
    </row>
    <row r="211" spans="1:16" x14ac:dyDescent="0.35">
      <c r="A211" s="1" t="s">
        <v>188</v>
      </c>
      <c r="B211" s="1" t="s">
        <v>15</v>
      </c>
      <c r="C211" s="1" t="s">
        <v>44</v>
      </c>
      <c r="D211" s="7">
        <v>17</v>
      </c>
      <c r="E211" s="7">
        <v>8.8000000000000007</v>
      </c>
      <c r="F211" s="7">
        <v>1.7</v>
      </c>
      <c r="G211" s="7">
        <v>0.48299999999999998</v>
      </c>
      <c r="H211" s="7">
        <v>0.3</v>
      </c>
      <c r="I211" s="7">
        <v>0.6</v>
      </c>
      <c r="J211" s="7">
        <v>0.8</v>
      </c>
      <c r="K211" s="7">
        <v>2.1</v>
      </c>
      <c r="L211" s="7">
        <v>0.3</v>
      </c>
      <c r="M211" s="7">
        <v>0.4</v>
      </c>
      <c r="N211" s="7">
        <v>0.2</v>
      </c>
      <c r="O211" s="7">
        <v>0.6</v>
      </c>
      <c r="P211" s="7">
        <v>2.4</v>
      </c>
    </row>
    <row r="212" spans="1:16" x14ac:dyDescent="0.35">
      <c r="A212" s="1" t="s">
        <v>189</v>
      </c>
      <c r="B212" s="1" t="s">
        <v>18</v>
      </c>
      <c r="C212" s="1" t="s">
        <v>48</v>
      </c>
      <c r="D212" s="7">
        <v>43</v>
      </c>
      <c r="E212" s="7">
        <v>14.2</v>
      </c>
      <c r="F212" s="7">
        <v>3.1</v>
      </c>
      <c r="G212" s="7">
        <v>0.70099999999999996</v>
      </c>
      <c r="H212" s="7">
        <v>0</v>
      </c>
      <c r="I212" s="7">
        <v>1.4</v>
      </c>
      <c r="J212" s="7">
        <v>0.53300000000000003</v>
      </c>
      <c r="K212" s="7">
        <v>2.5</v>
      </c>
      <c r="L212" s="7">
        <v>0.5</v>
      </c>
      <c r="M212" s="7">
        <v>0.3</v>
      </c>
      <c r="N212" s="7">
        <v>1.3</v>
      </c>
      <c r="O212" s="7">
        <v>0.7</v>
      </c>
      <c r="P212" s="7">
        <v>5.0999999999999996</v>
      </c>
    </row>
    <row r="213" spans="1:16" x14ac:dyDescent="0.35">
      <c r="A213" s="1" t="s">
        <v>190</v>
      </c>
      <c r="B213" s="1" t="s">
        <v>15</v>
      </c>
      <c r="C213" s="1" t="s">
        <v>19</v>
      </c>
      <c r="D213" s="7">
        <v>55</v>
      </c>
      <c r="E213" s="7">
        <v>30.7</v>
      </c>
      <c r="F213" s="7">
        <v>13.6</v>
      </c>
      <c r="G213" s="7">
        <v>0.439</v>
      </c>
      <c r="H213" s="7">
        <v>3</v>
      </c>
      <c r="I213" s="7">
        <v>4.8</v>
      </c>
      <c r="J213" s="7">
        <v>0.88600000000000001</v>
      </c>
      <c r="K213" s="7">
        <v>5.5</v>
      </c>
      <c r="L213" s="7">
        <v>2.1</v>
      </c>
      <c r="M213" s="7">
        <v>0.7</v>
      </c>
      <c r="N213" s="7">
        <v>0.1</v>
      </c>
      <c r="O213" s="7">
        <v>1.3</v>
      </c>
      <c r="P213" s="7">
        <v>19.2</v>
      </c>
    </row>
    <row r="214" spans="1:16" x14ac:dyDescent="0.35">
      <c r="A214" s="1" t="s">
        <v>191</v>
      </c>
      <c r="B214" s="1" t="s">
        <v>25</v>
      </c>
      <c r="C214" s="1" t="s">
        <v>90</v>
      </c>
      <c r="D214" s="7">
        <v>66</v>
      </c>
      <c r="E214" s="7">
        <v>25.8</v>
      </c>
      <c r="F214" s="7">
        <v>8.1999999999999993</v>
      </c>
      <c r="G214" s="7">
        <v>0.435</v>
      </c>
      <c r="H214" s="7">
        <v>2</v>
      </c>
      <c r="I214" s="7">
        <v>1.3</v>
      </c>
      <c r="J214" s="7">
        <v>0.85899999999999999</v>
      </c>
      <c r="K214" s="7">
        <v>2.2999999999999998</v>
      </c>
      <c r="L214" s="7">
        <v>1.5</v>
      </c>
      <c r="M214" s="7">
        <v>0.7</v>
      </c>
      <c r="N214" s="7">
        <v>0.2</v>
      </c>
      <c r="O214" s="7">
        <v>0.6</v>
      </c>
      <c r="P214" s="7">
        <v>10.3</v>
      </c>
    </row>
    <row r="215" spans="1:16" x14ac:dyDescent="0.35">
      <c r="A215" s="1" t="s">
        <v>192</v>
      </c>
      <c r="B215" s="1" t="s">
        <v>47</v>
      </c>
      <c r="C215" s="1" t="s">
        <v>137</v>
      </c>
      <c r="D215" s="7">
        <v>59</v>
      </c>
      <c r="E215" s="7">
        <v>30.9</v>
      </c>
      <c r="F215" s="7">
        <v>11.8</v>
      </c>
      <c r="G215" s="7">
        <v>0.40100000000000002</v>
      </c>
      <c r="H215" s="7">
        <v>1.8</v>
      </c>
      <c r="I215" s="7">
        <v>1.2</v>
      </c>
      <c r="J215" s="7">
        <v>0.875</v>
      </c>
      <c r="K215" s="7">
        <v>1.9</v>
      </c>
      <c r="L215" s="7">
        <v>3.9</v>
      </c>
      <c r="M215" s="7">
        <v>0.7</v>
      </c>
      <c r="N215" s="7">
        <v>0.1</v>
      </c>
      <c r="O215" s="7">
        <v>2.6</v>
      </c>
      <c r="P215" s="7">
        <v>12.3</v>
      </c>
    </row>
    <row r="216" spans="1:16" x14ac:dyDescent="0.35">
      <c r="A216" s="1" t="s">
        <v>193</v>
      </c>
      <c r="B216" s="1" t="s">
        <v>18</v>
      </c>
      <c r="C216" s="1" t="s">
        <v>45</v>
      </c>
      <c r="D216" s="7">
        <v>36</v>
      </c>
      <c r="E216" s="7">
        <v>27.5</v>
      </c>
      <c r="F216" s="7">
        <v>6.6</v>
      </c>
      <c r="G216" s="7">
        <v>0.41899999999999998</v>
      </c>
      <c r="H216" s="7">
        <v>1.4</v>
      </c>
      <c r="I216" s="7">
        <v>1</v>
      </c>
      <c r="J216" s="7">
        <v>0.72199999999999998</v>
      </c>
      <c r="K216" s="7">
        <v>6.3</v>
      </c>
      <c r="L216" s="7">
        <v>3.4</v>
      </c>
      <c r="M216" s="7">
        <v>0.8</v>
      </c>
      <c r="N216" s="7">
        <v>0.9</v>
      </c>
      <c r="O216" s="7">
        <v>1.2</v>
      </c>
      <c r="P216" s="7">
        <v>7.6</v>
      </c>
    </row>
    <row r="217" spans="1:16" x14ac:dyDescent="0.35">
      <c r="A217" s="1" t="s">
        <v>194</v>
      </c>
      <c r="B217" s="1" t="s">
        <v>15</v>
      </c>
      <c r="C217" s="1" t="s">
        <v>23</v>
      </c>
      <c r="D217" s="7">
        <v>60</v>
      </c>
      <c r="E217" s="7">
        <v>21.5</v>
      </c>
      <c r="F217" s="7">
        <v>8.4</v>
      </c>
      <c r="G217" s="7">
        <v>0.442</v>
      </c>
      <c r="H217" s="7">
        <v>1</v>
      </c>
      <c r="I217" s="7">
        <v>1.9</v>
      </c>
      <c r="J217" s="7">
        <v>0.876</v>
      </c>
      <c r="K217" s="7">
        <v>5.4</v>
      </c>
      <c r="L217" s="7">
        <v>1.7</v>
      </c>
      <c r="M217" s="7">
        <v>0.4</v>
      </c>
      <c r="N217" s="7">
        <v>0.5</v>
      </c>
      <c r="O217" s="7">
        <v>1.3</v>
      </c>
      <c r="P217" s="7">
        <v>10</v>
      </c>
    </row>
    <row r="218" spans="1:16" x14ac:dyDescent="0.35">
      <c r="A218" s="1" t="s">
        <v>195</v>
      </c>
      <c r="B218" s="1" t="s">
        <v>35</v>
      </c>
      <c r="C218" s="1" t="s">
        <v>80</v>
      </c>
      <c r="D218" s="7">
        <v>42</v>
      </c>
      <c r="E218" s="7">
        <v>29.1</v>
      </c>
      <c r="F218" s="7">
        <v>16</v>
      </c>
      <c r="G218" s="7">
        <v>0.432</v>
      </c>
      <c r="H218" s="7">
        <v>3.2</v>
      </c>
      <c r="I218" s="7">
        <v>4.5</v>
      </c>
      <c r="J218" s="7">
        <v>0.88200000000000001</v>
      </c>
      <c r="K218" s="7">
        <v>5.7</v>
      </c>
      <c r="L218" s="7">
        <v>3.9</v>
      </c>
      <c r="M218" s="7">
        <v>1.3</v>
      </c>
      <c r="N218" s="7">
        <v>0.5</v>
      </c>
      <c r="O218" s="7">
        <v>2.7</v>
      </c>
      <c r="P218" s="7">
        <v>21</v>
      </c>
    </row>
    <row r="219" spans="1:16" x14ac:dyDescent="0.35">
      <c r="A219" s="1" t="s">
        <v>196</v>
      </c>
      <c r="B219" s="1" t="s">
        <v>18</v>
      </c>
      <c r="C219" s="1" t="s">
        <v>32</v>
      </c>
      <c r="D219" s="7">
        <v>62</v>
      </c>
      <c r="E219" s="7">
        <v>16.5</v>
      </c>
      <c r="F219" s="7">
        <v>4.5999999999999996</v>
      </c>
      <c r="G219" s="7">
        <v>0.58399999999999996</v>
      </c>
      <c r="H219" s="7">
        <v>0.1</v>
      </c>
      <c r="I219" s="7">
        <v>0.9</v>
      </c>
      <c r="J219" s="7">
        <v>0.73199999999999998</v>
      </c>
      <c r="K219" s="7">
        <v>4.3</v>
      </c>
      <c r="L219" s="7">
        <v>0.8</v>
      </c>
      <c r="M219" s="7">
        <v>0.4</v>
      </c>
      <c r="N219" s="7">
        <v>0.5</v>
      </c>
      <c r="O219" s="7">
        <v>0.8</v>
      </c>
      <c r="P219" s="7">
        <v>6.1</v>
      </c>
    </row>
    <row r="220" spans="1:16" x14ac:dyDescent="0.35">
      <c r="A220" s="1" t="s">
        <v>197</v>
      </c>
      <c r="B220" s="1" t="s">
        <v>15</v>
      </c>
      <c r="C220" s="1" t="s">
        <v>51</v>
      </c>
      <c r="D220" s="7">
        <v>38</v>
      </c>
      <c r="E220" s="7">
        <v>15.2</v>
      </c>
      <c r="F220" s="7">
        <v>5.4</v>
      </c>
      <c r="G220" s="7">
        <v>0.56000000000000005</v>
      </c>
      <c r="H220" s="7">
        <v>0</v>
      </c>
      <c r="I220" s="7">
        <v>1.1000000000000001</v>
      </c>
      <c r="J220" s="7">
        <v>0.76700000000000002</v>
      </c>
      <c r="K220" s="7">
        <v>4.2</v>
      </c>
      <c r="L220" s="7">
        <v>1.3</v>
      </c>
      <c r="M220" s="7">
        <v>0.6</v>
      </c>
      <c r="N220" s="7">
        <v>0.4</v>
      </c>
      <c r="O220" s="7">
        <v>0.9</v>
      </c>
      <c r="P220" s="7">
        <v>7</v>
      </c>
    </row>
    <row r="221" spans="1:16" x14ac:dyDescent="0.35">
      <c r="A221" s="1" t="s">
        <v>198</v>
      </c>
      <c r="B221" s="1" t="s">
        <v>25</v>
      </c>
      <c r="C221" s="1" t="s">
        <v>19</v>
      </c>
      <c r="D221" s="7">
        <v>63</v>
      </c>
      <c r="E221" s="7">
        <v>35.1</v>
      </c>
      <c r="F221" s="7">
        <v>14.8</v>
      </c>
      <c r="G221" s="7">
        <v>0.47299999999999998</v>
      </c>
      <c r="H221" s="7">
        <v>1.2</v>
      </c>
      <c r="I221" s="7">
        <v>5</v>
      </c>
      <c r="J221" s="7">
        <v>0.80100000000000005</v>
      </c>
      <c r="K221" s="7">
        <v>6.1</v>
      </c>
      <c r="L221" s="7">
        <v>3.3</v>
      </c>
      <c r="M221" s="7">
        <v>1.1000000000000001</v>
      </c>
      <c r="N221" s="7">
        <v>0.7</v>
      </c>
      <c r="O221" s="7">
        <v>1.9</v>
      </c>
      <c r="P221" s="7">
        <v>19.3</v>
      </c>
    </row>
    <row r="222" spans="1:16" x14ac:dyDescent="0.35">
      <c r="A222" s="1" t="s">
        <v>199</v>
      </c>
      <c r="B222" s="1" t="s">
        <v>18</v>
      </c>
      <c r="C222" s="1" t="s">
        <v>87</v>
      </c>
      <c r="D222" s="7">
        <v>62</v>
      </c>
      <c r="E222" s="7">
        <v>34.5</v>
      </c>
      <c r="F222" s="7">
        <v>8.1999999999999993</v>
      </c>
      <c r="G222" s="7">
        <v>0.69799999999999995</v>
      </c>
      <c r="H222" s="7">
        <v>0</v>
      </c>
      <c r="I222" s="7">
        <v>5.9</v>
      </c>
      <c r="J222" s="7">
        <v>0.621</v>
      </c>
      <c r="K222" s="7">
        <v>13.7</v>
      </c>
      <c r="L222" s="7">
        <v>1.5</v>
      </c>
      <c r="M222" s="7">
        <v>0.8</v>
      </c>
      <c r="N222" s="7">
        <v>2</v>
      </c>
      <c r="O222" s="7">
        <v>1.9</v>
      </c>
      <c r="P222" s="7">
        <v>15.1</v>
      </c>
    </row>
    <row r="223" spans="1:16" x14ac:dyDescent="0.35">
      <c r="A223" s="1" t="s">
        <v>200</v>
      </c>
      <c r="B223" s="1" t="s">
        <v>47</v>
      </c>
      <c r="C223" s="1" t="s">
        <v>77</v>
      </c>
      <c r="D223" s="7">
        <v>34</v>
      </c>
      <c r="E223" s="7">
        <v>12.6</v>
      </c>
      <c r="F223" s="7">
        <v>5.6</v>
      </c>
      <c r="G223" s="7">
        <v>0.4</v>
      </c>
      <c r="H223" s="7">
        <v>0.8</v>
      </c>
      <c r="I223" s="7">
        <v>0.9</v>
      </c>
      <c r="J223" s="7">
        <v>0.93300000000000005</v>
      </c>
      <c r="K223" s="7">
        <v>2.1</v>
      </c>
      <c r="L223" s="7">
        <v>1.5</v>
      </c>
      <c r="M223" s="7">
        <v>0.4</v>
      </c>
      <c r="N223" s="7">
        <v>0.1</v>
      </c>
      <c r="O223" s="7">
        <v>0.9</v>
      </c>
      <c r="P223" s="7">
        <v>6.1</v>
      </c>
    </row>
    <row r="224" spans="1:16" x14ac:dyDescent="0.35">
      <c r="A224" s="1" t="s">
        <v>201</v>
      </c>
      <c r="B224" s="1" t="s">
        <v>15</v>
      </c>
      <c r="C224" s="1" t="s">
        <v>34</v>
      </c>
      <c r="D224" s="7">
        <v>58</v>
      </c>
      <c r="E224" s="7">
        <v>33</v>
      </c>
      <c r="F224" s="7">
        <v>12.5</v>
      </c>
      <c r="G224" s="7">
        <v>0.433</v>
      </c>
      <c r="H224" s="7">
        <v>1.2</v>
      </c>
      <c r="I224" s="7">
        <v>3.5</v>
      </c>
      <c r="J224" s="7">
        <v>0.67500000000000004</v>
      </c>
      <c r="K224" s="7">
        <v>7.6</v>
      </c>
      <c r="L224" s="7">
        <v>3.7</v>
      </c>
      <c r="M224" s="7">
        <v>0.9</v>
      </c>
      <c r="N224" s="7">
        <v>0.6</v>
      </c>
      <c r="O224" s="7">
        <v>1.6</v>
      </c>
      <c r="P224" s="7">
        <v>14.4</v>
      </c>
    </row>
    <row r="225" spans="1:16" x14ac:dyDescent="0.35">
      <c r="A225" s="1" t="s">
        <v>202</v>
      </c>
      <c r="B225" s="1" t="s">
        <v>25</v>
      </c>
      <c r="C225" s="1" t="s">
        <v>37</v>
      </c>
      <c r="D225" s="7">
        <v>34</v>
      </c>
      <c r="E225" s="7">
        <v>28.6</v>
      </c>
      <c r="F225" s="7">
        <v>12.9</v>
      </c>
      <c r="G225" s="7">
        <v>0.37</v>
      </c>
      <c r="H225" s="7">
        <v>2.7</v>
      </c>
      <c r="I225" s="7">
        <v>3</v>
      </c>
      <c r="J225" s="7">
        <v>0.75700000000000001</v>
      </c>
      <c r="K225" s="7">
        <v>1.9</v>
      </c>
      <c r="L225" s="7">
        <v>1.5</v>
      </c>
      <c r="M225" s="7">
        <v>0.6</v>
      </c>
      <c r="N225" s="7">
        <v>0.4</v>
      </c>
      <c r="O225" s="7">
        <v>1.1000000000000001</v>
      </c>
      <c r="P225" s="7">
        <v>14.5</v>
      </c>
    </row>
    <row r="226" spans="1:16" x14ac:dyDescent="0.35">
      <c r="A226" s="1" t="s">
        <v>203</v>
      </c>
      <c r="B226" s="1" t="s">
        <v>47</v>
      </c>
      <c r="C226" s="1" t="s">
        <v>56</v>
      </c>
      <c r="D226" s="7">
        <v>63</v>
      </c>
      <c r="E226" s="7">
        <v>35.1</v>
      </c>
      <c r="F226" s="7">
        <v>15.3</v>
      </c>
      <c r="G226" s="7">
        <v>0.38200000000000001</v>
      </c>
      <c r="H226" s="7">
        <v>3.5</v>
      </c>
      <c r="I226" s="7">
        <v>3.7</v>
      </c>
      <c r="J226" s="7">
        <v>0.82</v>
      </c>
      <c r="K226" s="7">
        <v>3.4</v>
      </c>
      <c r="L226" s="7">
        <v>7.5</v>
      </c>
      <c r="M226" s="7">
        <v>1</v>
      </c>
      <c r="N226" s="7">
        <v>0.2</v>
      </c>
      <c r="O226" s="7">
        <v>2.9</v>
      </c>
      <c r="P226" s="7">
        <v>18.2</v>
      </c>
    </row>
    <row r="227" spans="1:16" x14ac:dyDescent="0.35">
      <c r="A227" s="1" t="s">
        <v>204</v>
      </c>
      <c r="B227" s="1" t="s">
        <v>25</v>
      </c>
      <c r="C227" s="1" t="s">
        <v>50</v>
      </c>
      <c r="D227" s="7">
        <v>55</v>
      </c>
      <c r="E227" s="7">
        <v>16.899999999999999</v>
      </c>
      <c r="F227" s="7">
        <v>4.4000000000000004</v>
      </c>
      <c r="G227" s="7">
        <v>0.36</v>
      </c>
      <c r="H227" s="7">
        <v>0.6</v>
      </c>
      <c r="I227" s="7">
        <v>1</v>
      </c>
      <c r="J227" s="7">
        <v>0.64300000000000002</v>
      </c>
      <c r="K227" s="7">
        <v>2.7</v>
      </c>
      <c r="L227" s="7">
        <v>0.8</v>
      </c>
      <c r="M227" s="7">
        <v>0.4</v>
      </c>
      <c r="N227" s="7">
        <v>0.1</v>
      </c>
      <c r="O227" s="7">
        <v>0.5</v>
      </c>
      <c r="P227" s="7">
        <v>4.4000000000000004</v>
      </c>
    </row>
    <row r="228" spans="1:16" x14ac:dyDescent="0.35">
      <c r="A228" s="1" t="s">
        <v>204</v>
      </c>
      <c r="B228" s="1" t="s">
        <v>25</v>
      </c>
      <c r="C228" s="1" t="s">
        <v>65</v>
      </c>
      <c r="D228" s="7">
        <v>33</v>
      </c>
      <c r="E228" s="7">
        <v>20.100000000000001</v>
      </c>
      <c r="F228" s="7">
        <v>5.3</v>
      </c>
      <c r="G228" s="7">
        <v>0.35399999999999998</v>
      </c>
      <c r="H228" s="7">
        <v>0.6</v>
      </c>
      <c r="I228" s="7">
        <v>1.1000000000000001</v>
      </c>
      <c r="J228" s="7">
        <v>0.73</v>
      </c>
      <c r="K228" s="7">
        <v>3</v>
      </c>
      <c r="L228" s="7">
        <v>0.9</v>
      </c>
      <c r="M228" s="7">
        <v>0.5</v>
      </c>
      <c r="N228" s="7">
        <v>0.1</v>
      </c>
      <c r="O228" s="7">
        <v>0.6</v>
      </c>
      <c r="P228" s="7">
        <v>5.2</v>
      </c>
    </row>
    <row r="229" spans="1:16" x14ac:dyDescent="0.35">
      <c r="A229" s="1" t="s">
        <v>204</v>
      </c>
      <c r="B229" s="1" t="s">
        <v>25</v>
      </c>
      <c r="C229" s="1" t="s">
        <v>77</v>
      </c>
      <c r="D229" s="7">
        <v>22</v>
      </c>
      <c r="E229" s="7">
        <v>12.1</v>
      </c>
      <c r="F229" s="7">
        <v>3</v>
      </c>
      <c r="G229" s="7">
        <v>0.373</v>
      </c>
      <c r="H229" s="7">
        <v>0.6</v>
      </c>
      <c r="I229" s="7">
        <v>0.9</v>
      </c>
      <c r="J229" s="7">
        <v>0.47399999999999998</v>
      </c>
      <c r="K229" s="7">
        <v>2.2999999999999998</v>
      </c>
      <c r="L229" s="7">
        <v>0.7</v>
      </c>
      <c r="M229" s="7">
        <v>0.3</v>
      </c>
      <c r="N229" s="7">
        <v>0.2</v>
      </c>
      <c r="O229" s="7">
        <v>0.5</v>
      </c>
      <c r="P229" s="7">
        <v>3.3</v>
      </c>
    </row>
    <row r="230" spans="1:16" x14ac:dyDescent="0.35">
      <c r="A230" s="1" t="s">
        <v>205</v>
      </c>
      <c r="B230" s="1" t="s">
        <v>15</v>
      </c>
      <c r="C230" s="1" t="s">
        <v>63</v>
      </c>
      <c r="D230" s="7">
        <v>64</v>
      </c>
      <c r="E230" s="7">
        <v>26.2</v>
      </c>
      <c r="F230" s="7">
        <v>8.6999999999999993</v>
      </c>
      <c r="G230" s="7">
        <v>0.47099999999999997</v>
      </c>
      <c r="H230" s="7">
        <v>1.4</v>
      </c>
      <c r="I230" s="7">
        <v>2.7</v>
      </c>
      <c r="J230" s="7">
        <v>0.74399999999999999</v>
      </c>
      <c r="K230" s="7">
        <v>3.5</v>
      </c>
      <c r="L230" s="7">
        <v>1.2</v>
      </c>
      <c r="M230" s="7">
        <v>0.7</v>
      </c>
      <c r="N230" s="7">
        <v>0.8</v>
      </c>
      <c r="O230" s="7">
        <v>0.9</v>
      </c>
      <c r="P230" s="7">
        <v>11.6</v>
      </c>
    </row>
    <row r="231" spans="1:16" x14ac:dyDescent="0.35">
      <c r="A231" s="1" t="s">
        <v>595</v>
      </c>
      <c r="B231" s="1" t="s">
        <v>47</v>
      </c>
      <c r="C231" s="1" t="s">
        <v>26</v>
      </c>
      <c r="D231" s="7">
        <v>2</v>
      </c>
      <c r="E231" s="7">
        <v>11.5</v>
      </c>
      <c r="F231" s="7">
        <v>1</v>
      </c>
      <c r="G231" s="7">
        <v>0.5</v>
      </c>
      <c r="H231" s="7">
        <v>0</v>
      </c>
      <c r="I231" s="7">
        <v>0</v>
      </c>
      <c r="K231" s="7">
        <v>1</v>
      </c>
      <c r="L231" s="7">
        <v>1</v>
      </c>
      <c r="M231" s="7">
        <v>0</v>
      </c>
      <c r="N231" s="7">
        <v>0</v>
      </c>
      <c r="O231" s="7">
        <v>2.5</v>
      </c>
      <c r="P231" s="7">
        <v>1</v>
      </c>
    </row>
    <row r="232" spans="1:16" x14ac:dyDescent="0.35">
      <c r="A232" s="1" t="s">
        <v>206</v>
      </c>
      <c r="B232" s="1" t="s">
        <v>25</v>
      </c>
      <c r="C232" s="1" t="s">
        <v>41</v>
      </c>
      <c r="D232" s="7">
        <v>61</v>
      </c>
      <c r="E232" s="7">
        <v>25.1</v>
      </c>
      <c r="F232" s="7">
        <v>7</v>
      </c>
      <c r="G232" s="7">
        <v>0.41899999999999998</v>
      </c>
      <c r="H232" s="7">
        <v>1.9</v>
      </c>
      <c r="I232" s="7">
        <v>0.7</v>
      </c>
      <c r="J232" s="7">
        <v>0.72699999999999998</v>
      </c>
      <c r="K232" s="7">
        <v>3.4</v>
      </c>
      <c r="L232" s="7">
        <v>1.4</v>
      </c>
      <c r="M232" s="7">
        <v>1.2</v>
      </c>
      <c r="N232" s="7">
        <v>0.5</v>
      </c>
      <c r="O232" s="7">
        <v>0.9</v>
      </c>
      <c r="P232" s="7">
        <v>8.1999999999999993</v>
      </c>
    </row>
    <row r="233" spans="1:16" x14ac:dyDescent="0.35">
      <c r="A233" s="1" t="s">
        <v>207</v>
      </c>
      <c r="B233" s="1" t="s">
        <v>15</v>
      </c>
      <c r="C233" s="1" t="s">
        <v>96</v>
      </c>
      <c r="D233" s="7">
        <v>43</v>
      </c>
      <c r="E233" s="7">
        <v>28.4</v>
      </c>
      <c r="F233" s="7">
        <v>7.3</v>
      </c>
      <c r="G233" s="7">
        <v>0.38900000000000001</v>
      </c>
      <c r="H233" s="7">
        <v>0.8</v>
      </c>
      <c r="I233" s="7">
        <v>1.9</v>
      </c>
      <c r="J233" s="7">
        <v>0.75900000000000001</v>
      </c>
      <c r="K233" s="7">
        <v>6.2</v>
      </c>
      <c r="L233" s="7">
        <v>6.2</v>
      </c>
      <c r="M233" s="7">
        <v>1.4</v>
      </c>
      <c r="N233" s="7">
        <v>0.8</v>
      </c>
      <c r="O233" s="7">
        <v>2.2999999999999998</v>
      </c>
      <c r="P233" s="7">
        <v>8</v>
      </c>
    </row>
    <row r="234" spans="1:16" x14ac:dyDescent="0.35">
      <c r="A234" s="1" t="s">
        <v>208</v>
      </c>
      <c r="B234" s="1" t="s">
        <v>15</v>
      </c>
      <c r="C234" s="1" t="s">
        <v>80</v>
      </c>
      <c r="D234" s="7">
        <v>55</v>
      </c>
      <c r="E234" s="7">
        <v>20.5</v>
      </c>
      <c r="F234" s="7">
        <v>5.5</v>
      </c>
      <c r="G234" s="7">
        <v>0.41399999999999998</v>
      </c>
      <c r="H234" s="7">
        <v>1.3</v>
      </c>
      <c r="I234" s="7">
        <v>0.8</v>
      </c>
      <c r="J234" s="7">
        <v>0.72699999999999998</v>
      </c>
      <c r="K234" s="7">
        <v>6.3</v>
      </c>
      <c r="L234" s="7">
        <v>0.8</v>
      </c>
      <c r="M234" s="7">
        <v>0.5</v>
      </c>
      <c r="N234" s="7">
        <v>0.4</v>
      </c>
      <c r="O234" s="7">
        <v>0.8</v>
      </c>
      <c r="P234" s="7">
        <v>6.5</v>
      </c>
    </row>
    <row r="235" spans="1:16" x14ac:dyDescent="0.35">
      <c r="A235" s="1" t="s">
        <v>209</v>
      </c>
      <c r="B235" s="1" t="s">
        <v>35</v>
      </c>
      <c r="C235" s="1" t="s">
        <v>109</v>
      </c>
      <c r="D235" s="7">
        <v>44</v>
      </c>
      <c r="E235" s="7">
        <v>9.4</v>
      </c>
      <c r="F235" s="7">
        <v>2.2000000000000002</v>
      </c>
      <c r="G235" s="7">
        <v>0.5</v>
      </c>
      <c r="H235" s="7">
        <v>0.1</v>
      </c>
      <c r="I235" s="7">
        <v>0.8</v>
      </c>
      <c r="J235" s="7">
        <v>0.63900000000000001</v>
      </c>
      <c r="K235" s="7">
        <v>1.8</v>
      </c>
      <c r="L235" s="7">
        <v>0.5</v>
      </c>
      <c r="M235" s="7">
        <v>0.5</v>
      </c>
      <c r="N235" s="7">
        <v>0.2</v>
      </c>
      <c r="O235" s="7">
        <v>0.4</v>
      </c>
      <c r="P235" s="7">
        <v>2.9</v>
      </c>
    </row>
    <row r="236" spans="1:16" x14ac:dyDescent="0.35">
      <c r="A236" s="1" t="s">
        <v>210</v>
      </c>
      <c r="B236" s="1" t="s">
        <v>15</v>
      </c>
      <c r="C236" s="1" t="s">
        <v>50</v>
      </c>
      <c r="D236" s="7">
        <v>40</v>
      </c>
      <c r="E236" s="7">
        <v>18.899999999999999</v>
      </c>
      <c r="F236" s="7">
        <v>6.5</v>
      </c>
      <c r="G236" s="7">
        <v>0.44400000000000001</v>
      </c>
      <c r="H236" s="7">
        <v>1.2</v>
      </c>
      <c r="I236" s="7">
        <v>1.8</v>
      </c>
      <c r="J236" s="7">
        <v>0.78100000000000003</v>
      </c>
      <c r="K236" s="7">
        <v>2.8</v>
      </c>
      <c r="L236" s="7">
        <v>0.8</v>
      </c>
      <c r="M236" s="7">
        <v>0.5</v>
      </c>
      <c r="N236" s="7">
        <v>0.4</v>
      </c>
      <c r="O236" s="7">
        <v>0.9</v>
      </c>
      <c r="P236" s="7">
        <v>8.4</v>
      </c>
    </row>
    <row r="237" spans="1:16" x14ac:dyDescent="0.35">
      <c r="A237" s="1" t="s">
        <v>210</v>
      </c>
      <c r="B237" s="1" t="s">
        <v>15</v>
      </c>
      <c r="C237" s="1" t="s">
        <v>87</v>
      </c>
      <c r="D237" s="7">
        <v>30</v>
      </c>
      <c r="E237" s="7">
        <v>18.399999999999999</v>
      </c>
      <c r="F237" s="7">
        <v>6.5</v>
      </c>
      <c r="G237" s="7">
        <v>0.38500000000000001</v>
      </c>
      <c r="H237" s="7">
        <v>1.1000000000000001</v>
      </c>
      <c r="I237" s="7">
        <v>2.1</v>
      </c>
      <c r="J237" s="7">
        <v>0.77800000000000002</v>
      </c>
      <c r="K237" s="7">
        <v>2.7</v>
      </c>
      <c r="L237" s="7">
        <v>0.7</v>
      </c>
      <c r="M237" s="7">
        <v>0.4</v>
      </c>
      <c r="N237" s="7">
        <v>0.3</v>
      </c>
      <c r="O237" s="7">
        <v>0.9</v>
      </c>
      <c r="P237" s="7">
        <v>7.8</v>
      </c>
    </row>
    <row r="238" spans="1:16" x14ac:dyDescent="0.35">
      <c r="A238" s="1" t="s">
        <v>210</v>
      </c>
      <c r="B238" s="1" t="s">
        <v>15</v>
      </c>
      <c r="C238" s="1" t="s">
        <v>37</v>
      </c>
      <c r="D238" s="7">
        <v>10</v>
      </c>
      <c r="E238" s="7">
        <v>20.100000000000001</v>
      </c>
      <c r="F238" s="7">
        <v>6.6</v>
      </c>
      <c r="G238" s="7">
        <v>0.621</v>
      </c>
      <c r="H238" s="7">
        <v>1.4</v>
      </c>
      <c r="I238" s="7">
        <v>1</v>
      </c>
      <c r="J238" s="7">
        <v>0.8</v>
      </c>
      <c r="K238" s="7">
        <v>3.2</v>
      </c>
      <c r="L238" s="7">
        <v>1.2</v>
      </c>
      <c r="M238" s="7">
        <v>0.9</v>
      </c>
      <c r="N238" s="7">
        <v>0.5</v>
      </c>
      <c r="O238" s="7">
        <v>0.9</v>
      </c>
      <c r="P238" s="7">
        <v>10.4</v>
      </c>
    </row>
    <row r="239" spans="1:16" x14ac:dyDescent="0.35">
      <c r="A239" s="1" t="s">
        <v>211</v>
      </c>
      <c r="B239" s="1" t="s">
        <v>15</v>
      </c>
      <c r="C239" s="1" t="s">
        <v>90</v>
      </c>
      <c r="D239" s="7">
        <v>18</v>
      </c>
      <c r="E239" s="7">
        <v>28.4</v>
      </c>
      <c r="F239" s="7">
        <v>13.9</v>
      </c>
      <c r="G239" s="7">
        <v>0.35199999999999998</v>
      </c>
      <c r="H239" s="7">
        <v>1.5</v>
      </c>
      <c r="I239" s="7">
        <v>5.4</v>
      </c>
      <c r="J239" s="7">
        <v>0.77600000000000002</v>
      </c>
      <c r="K239" s="7">
        <v>4.7</v>
      </c>
      <c r="L239" s="7">
        <v>3.3</v>
      </c>
      <c r="M239" s="7">
        <v>0.4</v>
      </c>
      <c r="N239" s="7">
        <v>0.4</v>
      </c>
      <c r="O239" s="7">
        <v>2.2000000000000002</v>
      </c>
      <c r="P239" s="7">
        <v>15.5</v>
      </c>
    </row>
    <row r="240" spans="1:16" x14ac:dyDescent="0.35">
      <c r="A240" s="1" t="s">
        <v>212</v>
      </c>
      <c r="B240" s="1" t="s">
        <v>25</v>
      </c>
      <c r="C240" s="1" t="s">
        <v>28</v>
      </c>
      <c r="D240" s="7">
        <v>42</v>
      </c>
      <c r="E240" s="7">
        <v>11.3</v>
      </c>
      <c r="F240" s="7">
        <v>3.7</v>
      </c>
      <c r="G240" s="7">
        <v>0.39600000000000002</v>
      </c>
      <c r="H240" s="7">
        <v>0.6</v>
      </c>
      <c r="I240" s="7">
        <v>0.6</v>
      </c>
      <c r="J240" s="7">
        <v>0.92</v>
      </c>
      <c r="K240" s="7">
        <v>1.7</v>
      </c>
      <c r="L240" s="7">
        <v>1.1000000000000001</v>
      </c>
      <c r="M240" s="7">
        <v>0.3</v>
      </c>
      <c r="N240" s="7">
        <v>0.2</v>
      </c>
      <c r="O240" s="7">
        <v>0.9</v>
      </c>
      <c r="P240" s="7">
        <v>4</v>
      </c>
    </row>
    <row r="241" spans="1:16" x14ac:dyDescent="0.35">
      <c r="A241" s="1" t="s">
        <v>213</v>
      </c>
      <c r="B241" s="1" t="s">
        <v>25</v>
      </c>
      <c r="C241" s="1" t="s">
        <v>51</v>
      </c>
      <c r="D241" s="7">
        <v>2</v>
      </c>
      <c r="E241" s="7">
        <v>2</v>
      </c>
      <c r="F241" s="7">
        <v>1</v>
      </c>
      <c r="G241" s="7">
        <v>0.5</v>
      </c>
      <c r="H241" s="7">
        <v>0</v>
      </c>
      <c r="I241" s="7">
        <v>0</v>
      </c>
      <c r="K241" s="7">
        <v>0</v>
      </c>
      <c r="L241" s="7">
        <v>0</v>
      </c>
      <c r="M241" s="7">
        <v>0</v>
      </c>
      <c r="N241" s="7">
        <v>0</v>
      </c>
      <c r="O241" s="7">
        <v>0</v>
      </c>
      <c r="P241" s="7">
        <v>1</v>
      </c>
    </row>
    <row r="242" spans="1:16" x14ac:dyDescent="0.35">
      <c r="A242" s="1" t="s">
        <v>214</v>
      </c>
      <c r="B242" s="1" t="s">
        <v>15</v>
      </c>
      <c r="C242" s="1" t="s">
        <v>72</v>
      </c>
      <c r="D242" s="7">
        <v>41</v>
      </c>
      <c r="E242" s="7">
        <v>29.7</v>
      </c>
      <c r="F242" s="7">
        <v>11.1</v>
      </c>
      <c r="G242" s="7">
        <v>0.47799999999999998</v>
      </c>
      <c r="H242" s="7">
        <v>0.5</v>
      </c>
      <c r="I242" s="7">
        <v>2.7</v>
      </c>
      <c r="J242" s="7">
        <v>0.82899999999999996</v>
      </c>
      <c r="K242" s="7">
        <v>6</v>
      </c>
      <c r="L242" s="7">
        <v>1.7</v>
      </c>
      <c r="M242" s="7">
        <v>0.8</v>
      </c>
      <c r="N242" s="7">
        <v>0.2</v>
      </c>
      <c r="O242" s="7">
        <v>1</v>
      </c>
      <c r="P242" s="7">
        <v>13.4</v>
      </c>
    </row>
    <row r="243" spans="1:16" x14ac:dyDescent="0.35">
      <c r="A243" s="1" t="s">
        <v>596</v>
      </c>
      <c r="B243" s="1" t="s">
        <v>25</v>
      </c>
      <c r="C243" s="1" t="s">
        <v>19</v>
      </c>
      <c r="D243" s="7">
        <v>5</v>
      </c>
      <c r="E243" s="7">
        <v>4</v>
      </c>
      <c r="F243" s="7">
        <v>1</v>
      </c>
      <c r="G243" s="7">
        <v>0.2</v>
      </c>
      <c r="H243" s="7">
        <v>0</v>
      </c>
      <c r="I243" s="7">
        <v>0.8</v>
      </c>
      <c r="J243" s="7">
        <v>0.75</v>
      </c>
      <c r="K243" s="7">
        <v>0.2</v>
      </c>
      <c r="L243" s="7">
        <v>0.6</v>
      </c>
      <c r="M243" s="7">
        <v>0</v>
      </c>
      <c r="N243" s="7">
        <v>0</v>
      </c>
      <c r="O243" s="7">
        <v>0.2</v>
      </c>
      <c r="P243" s="7">
        <v>1</v>
      </c>
    </row>
    <row r="244" spans="1:16" x14ac:dyDescent="0.35">
      <c r="A244" s="1" t="s">
        <v>490</v>
      </c>
      <c r="B244" s="1" t="s">
        <v>15</v>
      </c>
      <c r="C244" s="1" t="s">
        <v>90</v>
      </c>
      <c r="D244" s="7">
        <v>4</v>
      </c>
      <c r="E244" s="7">
        <v>12</v>
      </c>
      <c r="F244" s="7">
        <v>1</v>
      </c>
      <c r="G244" s="7">
        <v>0.25</v>
      </c>
      <c r="H244" s="7">
        <v>0</v>
      </c>
      <c r="I244" s="7">
        <v>1.5</v>
      </c>
      <c r="J244" s="7">
        <v>0.66700000000000004</v>
      </c>
      <c r="K244" s="7">
        <v>3.8</v>
      </c>
      <c r="L244" s="7">
        <v>0.5</v>
      </c>
      <c r="M244" s="7">
        <v>0.3</v>
      </c>
      <c r="N244" s="7">
        <v>0.3</v>
      </c>
      <c r="O244" s="7">
        <v>0.5</v>
      </c>
      <c r="P244" s="7">
        <v>1.5</v>
      </c>
    </row>
    <row r="245" spans="1:16" x14ac:dyDescent="0.35">
      <c r="A245" s="1" t="s">
        <v>597</v>
      </c>
      <c r="B245" s="1" t="s">
        <v>25</v>
      </c>
      <c r="C245" s="1" t="s">
        <v>28</v>
      </c>
      <c r="D245" s="7">
        <v>2</v>
      </c>
      <c r="E245" s="7">
        <v>6.5</v>
      </c>
      <c r="F245" s="7">
        <v>4.5</v>
      </c>
      <c r="G245" s="7">
        <v>0.44400000000000001</v>
      </c>
      <c r="H245" s="7">
        <v>1</v>
      </c>
      <c r="I245" s="7">
        <v>1</v>
      </c>
      <c r="J245" s="7">
        <v>1</v>
      </c>
      <c r="K245" s="7">
        <v>0.5</v>
      </c>
      <c r="L245" s="7">
        <v>0</v>
      </c>
      <c r="M245" s="7">
        <v>0</v>
      </c>
      <c r="N245" s="7">
        <v>0</v>
      </c>
      <c r="O245" s="7">
        <v>0</v>
      </c>
      <c r="P245" s="7">
        <v>6</v>
      </c>
    </row>
    <row r="246" spans="1:16" x14ac:dyDescent="0.35">
      <c r="A246" s="1" t="s">
        <v>634</v>
      </c>
      <c r="B246" s="1" t="s">
        <v>25</v>
      </c>
      <c r="C246" s="1" t="s">
        <v>60</v>
      </c>
      <c r="D246" s="7">
        <v>63</v>
      </c>
      <c r="E246" s="7">
        <v>28.8</v>
      </c>
      <c r="F246" s="7">
        <v>12.6</v>
      </c>
      <c r="G246" s="7">
        <v>0.437</v>
      </c>
      <c r="H246" s="7">
        <v>2.9</v>
      </c>
      <c r="I246" s="7">
        <v>2.4</v>
      </c>
      <c r="J246" s="7">
        <v>0.80100000000000005</v>
      </c>
      <c r="K246" s="7">
        <v>3.1</v>
      </c>
      <c r="L246" s="7">
        <v>2</v>
      </c>
      <c r="M246" s="7">
        <v>0.6</v>
      </c>
      <c r="N246" s="7">
        <v>0.1</v>
      </c>
      <c r="O246" s="7">
        <v>1</v>
      </c>
      <c r="P246" s="7">
        <v>15.8</v>
      </c>
    </row>
    <row r="247" spans="1:16" x14ac:dyDescent="0.35">
      <c r="A247" s="1" t="s">
        <v>216</v>
      </c>
      <c r="B247" s="1" t="s">
        <v>25</v>
      </c>
      <c r="C247" s="1" t="s">
        <v>37</v>
      </c>
      <c r="D247" s="7">
        <v>61</v>
      </c>
      <c r="E247" s="7">
        <v>36.700000000000003</v>
      </c>
      <c r="F247" s="7">
        <v>22.7</v>
      </c>
      <c r="G247" s="7">
        <v>0.435</v>
      </c>
      <c r="H247" s="7">
        <v>4.4000000000000004</v>
      </c>
      <c r="I247" s="7">
        <v>11.8</v>
      </c>
      <c r="J247" s="7">
        <v>0.86099999999999999</v>
      </c>
      <c r="K247" s="7">
        <v>6.4</v>
      </c>
      <c r="L247" s="7">
        <v>7.4</v>
      </c>
      <c r="M247" s="7">
        <v>1.7</v>
      </c>
      <c r="N247" s="7">
        <v>0.9</v>
      </c>
      <c r="O247" s="7">
        <v>4.5</v>
      </c>
      <c r="P247" s="7">
        <v>34.4</v>
      </c>
    </row>
    <row r="248" spans="1:16" x14ac:dyDescent="0.35">
      <c r="A248" s="1" t="s">
        <v>217</v>
      </c>
      <c r="B248" s="1" t="s">
        <v>35</v>
      </c>
      <c r="C248" s="1" t="s">
        <v>50</v>
      </c>
      <c r="D248" s="7">
        <v>62</v>
      </c>
      <c r="E248" s="7">
        <v>23</v>
      </c>
      <c r="F248" s="7">
        <v>4.5999999999999996</v>
      </c>
      <c r="G248" s="7">
        <v>0.502</v>
      </c>
      <c r="H248" s="7">
        <v>0.5</v>
      </c>
      <c r="I248" s="7">
        <v>1.1000000000000001</v>
      </c>
      <c r="J248" s="7">
        <v>0.59099999999999997</v>
      </c>
      <c r="K248" s="7">
        <v>3.9</v>
      </c>
      <c r="L248" s="7">
        <v>1.1000000000000001</v>
      </c>
      <c r="M248" s="7">
        <v>0.9</v>
      </c>
      <c r="N248" s="7">
        <v>0.5</v>
      </c>
      <c r="O248" s="7">
        <v>0.9</v>
      </c>
      <c r="P248" s="7">
        <v>5.8</v>
      </c>
    </row>
    <row r="249" spans="1:16" x14ac:dyDescent="0.35">
      <c r="A249" s="1" t="s">
        <v>217</v>
      </c>
      <c r="B249" s="1" t="s">
        <v>35</v>
      </c>
      <c r="C249" s="1" t="s">
        <v>80</v>
      </c>
      <c r="D249" s="7">
        <v>50</v>
      </c>
      <c r="E249" s="7">
        <v>22.8</v>
      </c>
      <c r="F249" s="7">
        <v>4.3</v>
      </c>
      <c r="G249" s="7">
        <v>0.51600000000000001</v>
      </c>
      <c r="H249" s="7">
        <v>0.5</v>
      </c>
      <c r="I249" s="7">
        <v>0.8</v>
      </c>
      <c r="J249" s="7">
        <v>0.57099999999999995</v>
      </c>
      <c r="K249" s="7">
        <v>4</v>
      </c>
      <c r="L249" s="7">
        <v>1</v>
      </c>
      <c r="M249" s="7">
        <v>1</v>
      </c>
      <c r="N249" s="7">
        <v>0.6</v>
      </c>
      <c r="O249" s="7">
        <v>0.9</v>
      </c>
      <c r="P249" s="7">
        <v>5.5</v>
      </c>
    </row>
    <row r="250" spans="1:16" x14ac:dyDescent="0.35">
      <c r="A250" s="1" t="s">
        <v>217</v>
      </c>
      <c r="B250" s="1" t="s">
        <v>35</v>
      </c>
      <c r="C250" s="1" t="s">
        <v>32</v>
      </c>
      <c r="D250" s="7">
        <v>12</v>
      </c>
      <c r="E250" s="7">
        <v>23.8</v>
      </c>
      <c r="F250" s="7">
        <v>5.5</v>
      </c>
      <c r="G250" s="7">
        <v>0.45500000000000002</v>
      </c>
      <c r="H250" s="7">
        <v>0.6</v>
      </c>
      <c r="I250" s="7">
        <v>2</v>
      </c>
      <c r="J250" s="7">
        <v>0.625</v>
      </c>
      <c r="K250" s="7">
        <v>3.3</v>
      </c>
      <c r="L250" s="7">
        <v>1.7</v>
      </c>
      <c r="M250" s="7">
        <v>0.8</v>
      </c>
      <c r="N250" s="7">
        <v>0.3</v>
      </c>
      <c r="O250" s="7">
        <v>0.6</v>
      </c>
      <c r="P250" s="7">
        <v>6.8</v>
      </c>
    </row>
    <row r="251" spans="1:16" x14ac:dyDescent="0.35">
      <c r="A251" s="1" t="s">
        <v>218</v>
      </c>
      <c r="B251" s="1" t="s">
        <v>47</v>
      </c>
      <c r="C251" s="1" t="s">
        <v>54</v>
      </c>
      <c r="D251" s="7">
        <v>3</v>
      </c>
      <c r="E251" s="7">
        <v>2.7</v>
      </c>
      <c r="F251" s="7">
        <v>1.3</v>
      </c>
      <c r="G251" s="7">
        <v>0.25</v>
      </c>
      <c r="H251" s="7">
        <v>0</v>
      </c>
      <c r="I251" s="7">
        <v>0</v>
      </c>
      <c r="K251" s="7">
        <v>0</v>
      </c>
      <c r="L251" s="7">
        <v>0</v>
      </c>
      <c r="M251" s="7">
        <v>0</v>
      </c>
      <c r="N251" s="7">
        <v>0</v>
      </c>
      <c r="O251" s="7">
        <v>0</v>
      </c>
      <c r="P251" s="7">
        <v>0.7</v>
      </c>
    </row>
    <row r="252" spans="1:16" x14ac:dyDescent="0.35">
      <c r="A252" s="1" t="s">
        <v>219</v>
      </c>
      <c r="B252" s="1" t="s">
        <v>18</v>
      </c>
      <c r="C252" s="1" t="s">
        <v>80</v>
      </c>
      <c r="D252" s="7">
        <v>63</v>
      </c>
      <c r="E252" s="7">
        <v>27.8</v>
      </c>
      <c r="F252" s="7">
        <v>12.9</v>
      </c>
      <c r="G252" s="7">
        <v>0.57999999999999996</v>
      </c>
      <c r="H252" s="7">
        <v>0</v>
      </c>
      <c r="I252" s="7">
        <v>5.6</v>
      </c>
      <c r="J252" s="7">
        <v>0.65800000000000003</v>
      </c>
      <c r="K252" s="7">
        <v>7.1</v>
      </c>
      <c r="L252" s="7">
        <v>1.7</v>
      </c>
      <c r="M252" s="7">
        <v>0.6</v>
      </c>
      <c r="N252" s="7">
        <v>1.1000000000000001</v>
      </c>
      <c r="O252" s="7">
        <v>1.7</v>
      </c>
      <c r="P252" s="7">
        <v>18.600000000000001</v>
      </c>
    </row>
    <row r="253" spans="1:16" x14ac:dyDescent="0.35">
      <c r="A253" s="1" t="s">
        <v>220</v>
      </c>
      <c r="B253" s="1" t="s">
        <v>25</v>
      </c>
      <c r="C253" s="1" t="s">
        <v>63</v>
      </c>
      <c r="D253" s="7">
        <v>56</v>
      </c>
      <c r="E253" s="7">
        <v>31.8</v>
      </c>
      <c r="F253" s="7">
        <v>9.3000000000000007</v>
      </c>
      <c r="G253" s="7">
        <v>0.42</v>
      </c>
      <c r="H253" s="7">
        <v>1.3</v>
      </c>
      <c r="I253" s="7">
        <v>1.6</v>
      </c>
      <c r="J253" s="7">
        <v>0.81499999999999995</v>
      </c>
      <c r="K253" s="7">
        <v>2.9</v>
      </c>
      <c r="L253" s="7">
        <v>2.1</v>
      </c>
      <c r="M253" s="7">
        <v>1.4</v>
      </c>
      <c r="N253" s="7">
        <v>0.3</v>
      </c>
      <c r="O253" s="7">
        <v>1.1000000000000001</v>
      </c>
      <c r="P253" s="7">
        <v>10.4</v>
      </c>
    </row>
    <row r="254" spans="1:16" x14ac:dyDescent="0.35">
      <c r="A254" s="1" t="s">
        <v>221</v>
      </c>
      <c r="B254" s="1" t="s">
        <v>35</v>
      </c>
      <c r="C254" s="1" t="s">
        <v>30</v>
      </c>
      <c r="D254" s="7">
        <v>63</v>
      </c>
      <c r="E254" s="7">
        <v>30.9</v>
      </c>
      <c r="F254" s="7">
        <v>11.2</v>
      </c>
      <c r="G254" s="7">
        <v>0.47099999999999997</v>
      </c>
      <c r="H254" s="7">
        <v>2.4</v>
      </c>
      <c r="I254" s="7">
        <v>1.3</v>
      </c>
      <c r="J254" s="7">
        <v>0.747</v>
      </c>
      <c r="K254" s="7">
        <v>4.3</v>
      </c>
      <c r="L254" s="7">
        <v>2.1</v>
      </c>
      <c r="M254" s="7">
        <v>0.6</v>
      </c>
      <c r="N254" s="7">
        <v>0.3</v>
      </c>
      <c r="O254" s="7">
        <v>1.5</v>
      </c>
      <c r="P254" s="7">
        <v>13.9</v>
      </c>
    </row>
    <row r="255" spans="1:16" x14ac:dyDescent="0.35">
      <c r="A255" s="1" t="s">
        <v>222</v>
      </c>
      <c r="B255" s="1" t="s">
        <v>15</v>
      </c>
      <c r="C255" s="1" t="s">
        <v>88</v>
      </c>
      <c r="D255" s="7">
        <v>65</v>
      </c>
      <c r="E255" s="7">
        <v>34.5</v>
      </c>
      <c r="F255" s="7">
        <v>16.100000000000001</v>
      </c>
      <c r="G255" s="7">
        <v>0.47199999999999998</v>
      </c>
      <c r="H255" s="7">
        <v>1.8</v>
      </c>
      <c r="I255" s="7">
        <v>2.9</v>
      </c>
      <c r="J255" s="7">
        <v>0.80600000000000005</v>
      </c>
      <c r="K255" s="7">
        <v>6.8</v>
      </c>
      <c r="L255" s="7">
        <v>3.2</v>
      </c>
      <c r="M255" s="7">
        <v>0.8</v>
      </c>
      <c r="N255" s="7">
        <v>0.5</v>
      </c>
      <c r="O255" s="7">
        <v>1.5</v>
      </c>
      <c r="P255" s="7">
        <v>19.399999999999999</v>
      </c>
    </row>
    <row r="256" spans="1:16" x14ac:dyDescent="0.35">
      <c r="A256" s="1" t="s">
        <v>223</v>
      </c>
      <c r="B256" s="1" t="s">
        <v>35</v>
      </c>
      <c r="C256" s="1" t="s">
        <v>48</v>
      </c>
      <c r="D256" s="7">
        <v>43</v>
      </c>
      <c r="E256" s="7">
        <v>11.3</v>
      </c>
      <c r="F256" s="7">
        <v>3.8</v>
      </c>
      <c r="G256" s="7">
        <v>0.46700000000000003</v>
      </c>
      <c r="H256" s="7">
        <v>0.4</v>
      </c>
      <c r="I256" s="7">
        <v>1.2</v>
      </c>
      <c r="J256" s="7">
        <v>0.78</v>
      </c>
      <c r="K256" s="7">
        <v>2</v>
      </c>
      <c r="L256" s="7">
        <v>1.1000000000000001</v>
      </c>
      <c r="M256" s="7">
        <v>0.8</v>
      </c>
      <c r="N256" s="7">
        <v>0.4</v>
      </c>
      <c r="O256" s="7">
        <v>0.4</v>
      </c>
      <c r="P256" s="7">
        <v>4.9000000000000004</v>
      </c>
    </row>
    <row r="257" spans="1:16" x14ac:dyDescent="0.35">
      <c r="A257" s="1" t="s">
        <v>224</v>
      </c>
      <c r="B257" s="1" t="s">
        <v>35</v>
      </c>
      <c r="C257" s="1" t="s">
        <v>26</v>
      </c>
      <c r="D257" s="7">
        <v>57</v>
      </c>
      <c r="E257" s="7">
        <v>27.4</v>
      </c>
      <c r="F257" s="7">
        <v>8.4</v>
      </c>
      <c r="G257" s="7">
        <v>0.41599999999999998</v>
      </c>
      <c r="H257" s="7">
        <v>1.9</v>
      </c>
      <c r="I257" s="7">
        <v>1.6</v>
      </c>
      <c r="J257" s="7">
        <v>0.747</v>
      </c>
      <c r="K257" s="7">
        <v>6.5</v>
      </c>
      <c r="L257" s="7">
        <v>1.6</v>
      </c>
      <c r="M257" s="7">
        <v>1</v>
      </c>
      <c r="N257" s="7">
        <v>0.4</v>
      </c>
      <c r="O257" s="7">
        <v>1.1000000000000001</v>
      </c>
      <c r="P257" s="7">
        <v>10.199999999999999</v>
      </c>
    </row>
    <row r="258" spans="1:16" x14ac:dyDescent="0.35">
      <c r="A258" s="1" t="s">
        <v>225</v>
      </c>
      <c r="B258" s="1" t="s">
        <v>18</v>
      </c>
      <c r="C258" s="1" t="s">
        <v>37</v>
      </c>
      <c r="D258" s="7">
        <v>23</v>
      </c>
      <c r="E258" s="7">
        <v>11.6</v>
      </c>
      <c r="F258" s="7">
        <v>2.9</v>
      </c>
      <c r="G258" s="7">
        <v>0.65700000000000003</v>
      </c>
      <c r="H258" s="7">
        <v>0</v>
      </c>
      <c r="I258" s="7">
        <v>1.2</v>
      </c>
      <c r="J258" s="7">
        <v>0.67900000000000005</v>
      </c>
      <c r="K258" s="7">
        <v>3.9</v>
      </c>
      <c r="L258" s="7">
        <v>0.8</v>
      </c>
      <c r="M258" s="7">
        <v>0.4</v>
      </c>
      <c r="N258" s="7">
        <v>0.5</v>
      </c>
      <c r="O258" s="7">
        <v>0.7</v>
      </c>
      <c r="P258" s="7">
        <v>4.7</v>
      </c>
    </row>
    <row r="259" spans="1:16" x14ac:dyDescent="0.35">
      <c r="A259" s="1" t="s">
        <v>226</v>
      </c>
      <c r="B259" s="1" t="s">
        <v>15</v>
      </c>
      <c r="C259" s="1" t="s">
        <v>21</v>
      </c>
      <c r="D259" s="7">
        <v>3</v>
      </c>
      <c r="E259" s="7">
        <v>7</v>
      </c>
      <c r="F259" s="7">
        <v>2</v>
      </c>
      <c r="G259" s="7">
        <v>0.16700000000000001</v>
      </c>
      <c r="H259" s="7">
        <v>0</v>
      </c>
      <c r="I259" s="7">
        <v>1.3</v>
      </c>
      <c r="J259" s="7">
        <v>0.75</v>
      </c>
      <c r="K259" s="7">
        <v>2.7</v>
      </c>
      <c r="L259" s="7">
        <v>0.3</v>
      </c>
      <c r="M259" s="7">
        <v>0</v>
      </c>
      <c r="N259" s="7">
        <v>0</v>
      </c>
      <c r="O259" s="7">
        <v>0</v>
      </c>
      <c r="P259" s="7">
        <v>1.7</v>
      </c>
    </row>
    <row r="260" spans="1:16" x14ac:dyDescent="0.35">
      <c r="A260" s="1" t="s">
        <v>227</v>
      </c>
      <c r="B260" s="1" t="s">
        <v>18</v>
      </c>
      <c r="C260" s="1" t="s">
        <v>26</v>
      </c>
      <c r="D260" s="7">
        <v>56</v>
      </c>
      <c r="E260" s="7">
        <v>17</v>
      </c>
      <c r="F260" s="7">
        <v>4.2</v>
      </c>
      <c r="G260" s="7">
        <v>0.66</v>
      </c>
      <c r="H260" s="7">
        <v>0</v>
      </c>
      <c r="I260" s="7">
        <v>3.1</v>
      </c>
      <c r="J260" s="7">
        <v>0.63</v>
      </c>
      <c r="K260" s="7">
        <v>4</v>
      </c>
      <c r="L260" s="7">
        <v>0.9</v>
      </c>
      <c r="M260" s="7">
        <v>0.4</v>
      </c>
      <c r="N260" s="7">
        <v>0.9</v>
      </c>
      <c r="O260" s="7">
        <v>0.7</v>
      </c>
      <c r="P260" s="7">
        <v>7.5</v>
      </c>
    </row>
    <row r="261" spans="1:16" x14ac:dyDescent="0.35">
      <c r="A261" s="1" t="s">
        <v>228</v>
      </c>
      <c r="B261" s="1" t="s">
        <v>35</v>
      </c>
      <c r="C261" s="1" t="s">
        <v>109</v>
      </c>
      <c r="D261" s="7">
        <v>45</v>
      </c>
      <c r="E261" s="7">
        <v>33.4</v>
      </c>
      <c r="F261" s="7">
        <v>13.5</v>
      </c>
      <c r="G261" s="7">
        <v>0.502</v>
      </c>
      <c r="H261" s="7">
        <v>1.6</v>
      </c>
      <c r="I261" s="7">
        <v>2.5</v>
      </c>
      <c r="J261" s="7">
        <v>0.84699999999999998</v>
      </c>
      <c r="K261" s="7">
        <v>6.5</v>
      </c>
      <c r="L261" s="7">
        <v>4.0999999999999996</v>
      </c>
      <c r="M261" s="7">
        <v>0.8</v>
      </c>
      <c r="N261" s="7">
        <v>0.4</v>
      </c>
      <c r="O261" s="7">
        <v>1.8</v>
      </c>
      <c r="P261" s="7">
        <v>17.3</v>
      </c>
    </row>
    <row r="262" spans="1:16" x14ac:dyDescent="0.35">
      <c r="A262" s="1" t="s">
        <v>229</v>
      </c>
      <c r="B262" s="1" t="s">
        <v>15</v>
      </c>
      <c r="C262" s="1" t="s">
        <v>50</v>
      </c>
      <c r="D262" s="7">
        <v>40</v>
      </c>
      <c r="E262" s="7">
        <v>15</v>
      </c>
      <c r="F262" s="7">
        <v>4.3</v>
      </c>
      <c r="G262" s="7">
        <v>0.55600000000000005</v>
      </c>
      <c r="H262" s="7">
        <v>0.2</v>
      </c>
      <c r="I262" s="7">
        <v>1.2</v>
      </c>
      <c r="J262" s="7">
        <v>0.5</v>
      </c>
      <c r="K262" s="7">
        <v>4.0999999999999996</v>
      </c>
      <c r="L262" s="7">
        <v>1.4</v>
      </c>
      <c r="M262" s="7">
        <v>0.6</v>
      </c>
      <c r="N262" s="7">
        <v>1.1000000000000001</v>
      </c>
      <c r="O262" s="7">
        <v>0.9</v>
      </c>
      <c r="P262" s="7">
        <v>5.5</v>
      </c>
    </row>
    <row r="263" spans="1:16" x14ac:dyDescent="0.35">
      <c r="A263" s="1" t="s">
        <v>229</v>
      </c>
      <c r="B263" s="1" t="s">
        <v>15</v>
      </c>
      <c r="C263" s="1" t="s">
        <v>137</v>
      </c>
      <c r="D263" s="7">
        <v>29</v>
      </c>
      <c r="E263" s="7">
        <v>14.2</v>
      </c>
      <c r="F263" s="7">
        <v>4.0999999999999996</v>
      </c>
      <c r="G263" s="7">
        <v>0.50800000000000001</v>
      </c>
      <c r="H263" s="7">
        <v>0.2</v>
      </c>
      <c r="I263" s="7">
        <v>1.1000000000000001</v>
      </c>
      <c r="J263" s="7">
        <v>0.51500000000000001</v>
      </c>
      <c r="K263" s="7">
        <v>3.9</v>
      </c>
      <c r="L263" s="7">
        <v>1.5</v>
      </c>
      <c r="M263" s="7">
        <v>0.6</v>
      </c>
      <c r="N263" s="7">
        <v>1.1000000000000001</v>
      </c>
      <c r="O263" s="7">
        <v>0.7</v>
      </c>
      <c r="P263" s="7">
        <v>5</v>
      </c>
    </row>
    <row r="264" spans="1:16" x14ac:dyDescent="0.35">
      <c r="A264" s="1" t="s">
        <v>229</v>
      </c>
      <c r="B264" s="1" t="s">
        <v>15</v>
      </c>
      <c r="C264" s="1" t="s">
        <v>90</v>
      </c>
      <c r="D264" s="7">
        <v>11</v>
      </c>
      <c r="E264" s="7">
        <v>17.100000000000001</v>
      </c>
      <c r="F264" s="7">
        <v>4.5999999999999996</v>
      </c>
      <c r="G264" s="7">
        <v>0.66700000000000004</v>
      </c>
      <c r="H264" s="7">
        <v>0.2</v>
      </c>
      <c r="I264" s="7">
        <v>1.2</v>
      </c>
      <c r="J264" s="7">
        <v>0.46200000000000002</v>
      </c>
      <c r="K264" s="7">
        <v>4.4000000000000004</v>
      </c>
      <c r="L264" s="7">
        <v>1</v>
      </c>
      <c r="M264" s="7">
        <v>0.7</v>
      </c>
      <c r="N264" s="7">
        <v>0.9</v>
      </c>
      <c r="O264" s="7">
        <v>1.4</v>
      </c>
      <c r="P264" s="7">
        <v>6.9</v>
      </c>
    </row>
    <row r="265" spans="1:16" x14ac:dyDescent="0.35">
      <c r="A265" s="1" t="s">
        <v>230</v>
      </c>
      <c r="B265" s="1" t="s">
        <v>18</v>
      </c>
      <c r="C265" s="1" t="s">
        <v>45</v>
      </c>
      <c r="D265" s="7">
        <v>4</v>
      </c>
      <c r="E265" s="7">
        <v>2.8</v>
      </c>
      <c r="F265" s="7">
        <v>1.3</v>
      </c>
      <c r="G265" s="7">
        <v>0.2</v>
      </c>
      <c r="H265" s="7">
        <v>0</v>
      </c>
      <c r="I265" s="7">
        <v>0.5</v>
      </c>
      <c r="J265" s="7">
        <v>1</v>
      </c>
      <c r="K265" s="7">
        <v>1.8</v>
      </c>
      <c r="L265" s="7">
        <v>0</v>
      </c>
      <c r="M265" s="7">
        <v>0.3</v>
      </c>
      <c r="N265" s="7">
        <v>0</v>
      </c>
      <c r="O265" s="7">
        <v>0.3</v>
      </c>
      <c r="P265" s="7">
        <v>1</v>
      </c>
    </row>
    <row r="266" spans="1:16" x14ac:dyDescent="0.35">
      <c r="A266" s="1" t="s">
        <v>657</v>
      </c>
      <c r="B266" s="1" t="s">
        <v>15</v>
      </c>
      <c r="C266" s="1" t="s">
        <v>50</v>
      </c>
      <c r="D266" s="7">
        <v>48</v>
      </c>
      <c r="E266" s="7">
        <v>17.399999999999999</v>
      </c>
      <c r="F266" s="7">
        <v>5.0999999999999996</v>
      </c>
      <c r="G266" s="7">
        <v>0.40500000000000003</v>
      </c>
      <c r="H266" s="7">
        <v>0.9</v>
      </c>
      <c r="I266" s="7">
        <v>1.5</v>
      </c>
      <c r="J266" s="7">
        <v>0.62</v>
      </c>
      <c r="K266" s="7">
        <v>4.0999999999999996</v>
      </c>
      <c r="L266" s="7">
        <v>0.8</v>
      </c>
      <c r="M266" s="7">
        <v>0.4</v>
      </c>
      <c r="N266" s="7">
        <v>0.2</v>
      </c>
      <c r="O266" s="7">
        <v>0.7</v>
      </c>
      <c r="P266" s="7">
        <v>6</v>
      </c>
    </row>
    <row r="267" spans="1:16" x14ac:dyDescent="0.35">
      <c r="A267" s="1" t="s">
        <v>657</v>
      </c>
      <c r="B267" s="1" t="s">
        <v>15</v>
      </c>
      <c r="C267" s="1" t="s">
        <v>63</v>
      </c>
      <c r="D267" s="7">
        <v>34</v>
      </c>
      <c r="E267" s="7">
        <v>12.4</v>
      </c>
      <c r="F267" s="7">
        <v>3.2</v>
      </c>
      <c r="G267" s="7">
        <v>0.34499999999999997</v>
      </c>
      <c r="H267" s="7">
        <v>0.4</v>
      </c>
      <c r="I267" s="7">
        <v>0.7</v>
      </c>
      <c r="J267" s="7">
        <v>0.64</v>
      </c>
      <c r="K267" s="7">
        <v>2.8</v>
      </c>
      <c r="L267" s="7">
        <v>0.6</v>
      </c>
      <c r="M267" s="7">
        <v>0.1</v>
      </c>
      <c r="N267" s="7">
        <v>0.1</v>
      </c>
      <c r="O267" s="7">
        <v>0.5</v>
      </c>
      <c r="P267" s="7">
        <v>3.1</v>
      </c>
    </row>
    <row r="268" spans="1:16" x14ac:dyDescent="0.35">
      <c r="A268" s="1" t="s">
        <v>657</v>
      </c>
      <c r="B268" s="1" t="s">
        <v>15</v>
      </c>
      <c r="C268" s="1" t="s">
        <v>65</v>
      </c>
      <c r="D268" s="7">
        <v>14</v>
      </c>
      <c r="E268" s="7">
        <v>29.4</v>
      </c>
      <c r="F268" s="7">
        <v>9.8000000000000007</v>
      </c>
      <c r="G268" s="7">
        <v>0.45300000000000001</v>
      </c>
      <c r="H268" s="7">
        <v>2.1</v>
      </c>
      <c r="I268" s="7">
        <v>3.3</v>
      </c>
      <c r="J268" s="7">
        <v>0.60899999999999999</v>
      </c>
      <c r="K268" s="7">
        <v>7.3</v>
      </c>
      <c r="L268" s="7">
        <v>1.3</v>
      </c>
      <c r="M268" s="7">
        <v>1</v>
      </c>
      <c r="N268" s="7">
        <v>0.3</v>
      </c>
      <c r="O268" s="7">
        <v>1</v>
      </c>
      <c r="P268" s="7">
        <v>12.9</v>
      </c>
    </row>
    <row r="269" spans="1:16" x14ac:dyDescent="0.35">
      <c r="A269" s="1" t="s">
        <v>658</v>
      </c>
      <c r="B269" s="1" t="s">
        <v>18</v>
      </c>
      <c r="C269" s="1" t="s">
        <v>56</v>
      </c>
      <c r="D269" s="7">
        <v>31</v>
      </c>
      <c r="E269" s="7">
        <v>12.1</v>
      </c>
      <c r="F269" s="7">
        <v>4.5</v>
      </c>
      <c r="G269" s="7">
        <v>0.53200000000000003</v>
      </c>
      <c r="H269" s="7">
        <v>0.2</v>
      </c>
      <c r="I269" s="7">
        <v>1.9</v>
      </c>
      <c r="J269" s="7">
        <v>0.627</v>
      </c>
      <c r="K269" s="7">
        <v>4.3</v>
      </c>
      <c r="L269" s="7">
        <v>0.9</v>
      </c>
      <c r="M269" s="7">
        <v>0.3</v>
      </c>
      <c r="N269" s="7">
        <v>0.2</v>
      </c>
      <c r="O269" s="7">
        <v>1</v>
      </c>
      <c r="P269" s="7">
        <v>6.1</v>
      </c>
    </row>
    <row r="270" spans="1:16" x14ac:dyDescent="0.35">
      <c r="A270" s="1" t="s">
        <v>231</v>
      </c>
      <c r="B270" s="1" t="s">
        <v>25</v>
      </c>
      <c r="C270" s="1" t="s">
        <v>21</v>
      </c>
      <c r="D270" s="7">
        <v>47</v>
      </c>
      <c r="E270" s="7">
        <v>27.2</v>
      </c>
      <c r="F270" s="7">
        <v>11.3</v>
      </c>
      <c r="G270" s="7">
        <v>0.41399999999999998</v>
      </c>
      <c r="H270" s="7">
        <v>2.1</v>
      </c>
      <c r="I270" s="7">
        <v>1.7</v>
      </c>
      <c r="J270" s="7">
        <v>0.83499999999999996</v>
      </c>
      <c r="K270" s="7">
        <v>4</v>
      </c>
      <c r="L270" s="7">
        <v>1.9</v>
      </c>
      <c r="M270" s="7">
        <v>0.6</v>
      </c>
      <c r="N270" s="7">
        <v>0.1</v>
      </c>
      <c r="O270" s="7">
        <v>1.5</v>
      </c>
      <c r="P270" s="7">
        <v>12.9</v>
      </c>
    </row>
    <row r="271" spans="1:16" x14ac:dyDescent="0.35">
      <c r="A271" s="1" t="s">
        <v>232</v>
      </c>
      <c r="B271" s="1" t="s">
        <v>15</v>
      </c>
      <c r="C271" s="1" t="s">
        <v>19</v>
      </c>
      <c r="D271" s="7">
        <v>7</v>
      </c>
      <c r="E271" s="7">
        <v>2.7</v>
      </c>
      <c r="F271" s="7">
        <v>1.6</v>
      </c>
      <c r="G271" s="7">
        <v>9.0999999999999998E-2</v>
      </c>
      <c r="H271" s="7">
        <v>0</v>
      </c>
      <c r="I271" s="7">
        <v>0</v>
      </c>
      <c r="K271" s="7">
        <v>0.3</v>
      </c>
      <c r="L271" s="7">
        <v>0.1</v>
      </c>
      <c r="M271" s="7">
        <v>0</v>
      </c>
      <c r="N271" s="7">
        <v>0</v>
      </c>
      <c r="O271" s="7">
        <v>0</v>
      </c>
      <c r="P271" s="7">
        <v>0.3</v>
      </c>
    </row>
    <row r="272" spans="1:16" x14ac:dyDescent="0.35">
      <c r="A272" s="1" t="s">
        <v>233</v>
      </c>
      <c r="B272" s="1" t="s">
        <v>15</v>
      </c>
      <c r="C272" s="1" t="s">
        <v>44</v>
      </c>
      <c r="D272" s="7">
        <v>47</v>
      </c>
      <c r="E272" s="7">
        <v>16.3</v>
      </c>
      <c r="F272" s="7">
        <v>4</v>
      </c>
      <c r="G272" s="7">
        <v>0.42899999999999999</v>
      </c>
      <c r="H272" s="7">
        <v>0.4</v>
      </c>
      <c r="I272" s="7">
        <v>1.1000000000000001</v>
      </c>
      <c r="J272" s="7">
        <v>0.82399999999999995</v>
      </c>
      <c r="K272" s="7">
        <v>3.4</v>
      </c>
      <c r="L272" s="7">
        <v>0.9</v>
      </c>
      <c r="M272" s="7">
        <v>0.6</v>
      </c>
      <c r="N272" s="7">
        <v>0.2</v>
      </c>
      <c r="O272" s="7">
        <v>0.8</v>
      </c>
      <c r="P272" s="7">
        <v>4.8</v>
      </c>
    </row>
    <row r="273" spans="1:16" x14ac:dyDescent="0.35">
      <c r="A273" s="1" t="s">
        <v>234</v>
      </c>
      <c r="B273" s="1" t="s">
        <v>25</v>
      </c>
      <c r="C273" s="1" t="s">
        <v>51</v>
      </c>
      <c r="D273" s="7">
        <v>64</v>
      </c>
      <c r="E273" s="7">
        <v>32</v>
      </c>
      <c r="F273" s="7">
        <v>16.600000000000001</v>
      </c>
      <c r="G273" s="7">
        <v>0.42899999999999999</v>
      </c>
      <c r="H273" s="7">
        <v>3.8</v>
      </c>
      <c r="I273" s="7">
        <v>2</v>
      </c>
      <c r="J273" s="7">
        <v>0.85499999999999998</v>
      </c>
      <c r="K273" s="7">
        <v>4.8</v>
      </c>
      <c r="L273" s="7">
        <v>3.1</v>
      </c>
      <c r="M273" s="7">
        <v>0.9</v>
      </c>
      <c r="N273" s="7">
        <v>0.3</v>
      </c>
      <c r="O273" s="7">
        <v>2.2999999999999998</v>
      </c>
      <c r="P273" s="7">
        <v>19.8</v>
      </c>
    </row>
    <row r="274" spans="1:16" x14ac:dyDescent="0.35">
      <c r="A274" s="1" t="s">
        <v>235</v>
      </c>
      <c r="B274" s="1" t="s">
        <v>47</v>
      </c>
      <c r="C274" s="1" t="s">
        <v>39</v>
      </c>
      <c r="D274" s="7">
        <v>52</v>
      </c>
      <c r="E274" s="7">
        <v>21.2</v>
      </c>
      <c r="F274" s="7">
        <v>6.5</v>
      </c>
      <c r="G274" s="7">
        <v>0.53</v>
      </c>
      <c r="H274" s="7">
        <v>1.4</v>
      </c>
      <c r="I274" s="7">
        <v>1.6</v>
      </c>
      <c r="J274" s="7">
        <v>0.83099999999999996</v>
      </c>
      <c r="K274" s="7">
        <v>3</v>
      </c>
      <c r="L274" s="7">
        <v>2.9</v>
      </c>
      <c r="M274" s="7">
        <v>0.8</v>
      </c>
      <c r="N274" s="7">
        <v>0.1</v>
      </c>
      <c r="O274" s="7">
        <v>0.9</v>
      </c>
      <c r="P274" s="7">
        <v>9.6</v>
      </c>
    </row>
    <row r="275" spans="1:16" x14ac:dyDescent="0.35">
      <c r="A275" s="1" t="s">
        <v>236</v>
      </c>
      <c r="B275" s="1" t="s">
        <v>35</v>
      </c>
      <c r="C275" s="1" t="s">
        <v>50</v>
      </c>
      <c r="D275" s="7">
        <v>54</v>
      </c>
      <c r="E275" s="7">
        <v>18.399999999999999</v>
      </c>
      <c r="F275" s="7">
        <v>4.5999999999999996</v>
      </c>
      <c r="G275" s="7">
        <v>0.40300000000000002</v>
      </c>
      <c r="H275" s="7">
        <v>1.1000000000000001</v>
      </c>
      <c r="I275" s="7">
        <v>0.8</v>
      </c>
      <c r="J275" s="7">
        <v>0.71399999999999997</v>
      </c>
      <c r="K275" s="7">
        <v>2.9</v>
      </c>
      <c r="L275" s="7">
        <v>1.8</v>
      </c>
      <c r="M275" s="7">
        <v>0.7</v>
      </c>
      <c r="N275" s="7">
        <v>0.2</v>
      </c>
      <c r="O275" s="7">
        <v>0.9</v>
      </c>
      <c r="P275" s="7">
        <v>5.4</v>
      </c>
    </row>
    <row r="276" spans="1:16" x14ac:dyDescent="0.35">
      <c r="A276" s="1" t="s">
        <v>236</v>
      </c>
      <c r="B276" s="1" t="s">
        <v>35</v>
      </c>
      <c r="C276" s="1" t="s">
        <v>28</v>
      </c>
      <c r="D276" s="7">
        <v>48</v>
      </c>
      <c r="E276" s="7">
        <v>18.8</v>
      </c>
      <c r="F276" s="7">
        <v>4.9000000000000004</v>
      </c>
      <c r="G276" s="7">
        <v>0.41199999999999998</v>
      </c>
      <c r="H276" s="7">
        <v>1.2</v>
      </c>
      <c r="I276" s="7">
        <v>0.8</v>
      </c>
      <c r="J276" s="7">
        <v>0.68400000000000005</v>
      </c>
      <c r="K276" s="7">
        <v>3</v>
      </c>
      <c r="L276" s="7">
        <v>2</v>
      </c>
      <c r="M276" s="7">
        <v>0.6</v>
      </c>
      <c r="N276" s="7">
        <v>0.1</v>
      </c>
      <c r="O276" s="7">
        <v>0.8</v>
      </c>
      <c r="P276" s="7">
        <v>5.7</v>
      </c>
    </row>
    <row r="277" spans="1:16" x14ac:dyDescent="0.35">
      <c r="A277" s="1" t="s">
        <v>236</v>
      </c>
      <c r="B277" s="1" t="s">
        <v>35</v>
      </c>
      <c r="C277" s="1" t="s">
        <v>21</v>
      </c>
      <c r="D277" s="7">
        <v>6</v>
      </c>
      <c r="E277" s="7">
        <v>15.2</v>
      </c>
      <c r="F277" s="7">
        <v>2.5</v>
      </c>
      <c r="G277" s="7">
        <v>0.26700000000000002</v>
      </c>
      <c r="H277" s="7">
        <v>0.5</v>
      </c>
      <c r="I277" s="7">
        <v>0.7</v>
      </c>
      <c r="J277" s="7">
        <v>1</v>
      </c>
      <c r="K277" s="7">
        <v>1.7</v>
      </c>
      <c r="L277" s="7">
        <v>0.7</v>
      </c>
      <c r="M277" s="7">
        <v>0.8</v>
      </c>
      <c r="N277" s="7">
        <v>0.8</v>
      </c>
      <c r="O277" s="7">
        <v>1.2</v>
      </c>
      <c r="P277" s="7">
        <v>2.5</v>
      </c>
    </row>
    <row r="278" spans="1:16" x14ac:dyDescent="0.35">
      <c r="A278" s="1" t="s">
        <v>237</v>
      </c>
      <c r="B278" s="1" t="s">
        <v>35</v>
      </c>
      <c r="C278" s="1" t="s">
        <v>44</v>
      </c>
      <c r="D278" s="7">
        <v>13</v>
      </c>
      <c r="E278" s="7">
        <v>7.9</v>
      </c>
      <c r="F278" s="7">
        <v>2.5</v>
      </c>
      <c r="G278" s="7">
        <v>0.46899999999999997</v>
      </c>
      <c r="H278" s="7">
        <v>0</v>
      </c>
      <c r="I278" s="7">
        <v>1</v>
      </c>
      <c r="J278" s="7">
        <v>0.61499999999999999</v>
      </c>
      <c r="K278" s="7">
        <v>2.5</v>
      </c>
      <c r="L278" s="7">
        <v>0.3</v>
      </c>
      <c r="M278" s="7">
        <v>0.4</v>
      </c>
      <c r="N278" s="7">
        <v>0</v>
      </c>
      <c r="O278" s="7">
        <v>0.3</v>
      </c>
      <c r="P278" s="7">
        <v>2.9</v>
      </c>
    </row>
    <row r="279" spans="1:16" x14ac:dyDescent="0.35">
      <c r="A279" s="1" t="s">
        <v>238</v>
      </c>
      <c r="B279" s="1" t="s">
        <v>47</v>
      </c>
      <c r="C279" s="1" t="s">
        <v>83</v>
      </c>
      <c r="D279" s="7">
        <v>58</v>
      </c>
      <c r="E279" s="7">
        <v>23.6</v>
      </c>
      <c r="F279" s="7">
        <v>8.6</v>
      </c>
      <c r="G279" s="7">
        <v>0.40699999999999997</v>
      </c>
      <c r="H279" s="7">
        <v>1.4</v>
      </c>
      <c r="I279" s="7">
        <v>1.2</v>
      </c>
      <c r="J279" s="7">
        <v>0.86099999999999999</v>
      </c>
      <c r="K279" s="7">
        <v>2.2999999999999998</v>
      </c>
      <c r="L279" s="7">
        <v>3.3</v>
      </c>
      <c r="M279" s="7">
        <v>0.8</v>
      </c>
      <c r="N279" s="7">
        <v>0.2</v>
      </c>
      <c r="O279" s="7">
        <v>1.3</v>
      </c>
      <c r="P279" s="7">
        <v>9.4</v>
      </c>
    </row>
    <row r="280" spans="1:16" x14ac:dyDescent="0.35">
      <c r="A280" s="1" t="s">
        <v>239</v>
      </c>
      <c r="B280" s="1" t="s">
        <v>25</v>
      </c>
      <c r="C280" s="1" t="s">
        <v>26</v>
      </c>
      <c r="D280" s="7">
        <v>55</v>
      </c>
      <c r="E280" s="7">
        <v>34.9</v>
      </c>
      <c r="F280" s="7">
        <v>16.899999999999999</v>
      </c>
      <c r="G280" s="7">
        <v>0.45200000000000001</v>
      </c>
      <c r="H280" s="7">
        <v>2.1</v>
      </c>
      <c r="I280" s="7">
        <v>3.1</v>
      </c>
      <c r="J280" s="7">
        <v>0.7</v>
      </c>
      <c r="K280" s="7">
        <v>4.9000000000000004</v>
      </c>
      <c r="L280" s="7">
        <v>6.9</v>
      </c>
      <c r="M280" s="7">
        <v>1.7</v>
      </c>
      <c r="N280" s="7">
        <v>0.8</v>
      </c>
      <c r="O280" s="7">
        <v>2.9</v>
      </c>
      <c r="P280" s="7">
        <v>19.600000000000001</v>
      </c>
    </row>
    <row r="281" spans="1:16" x14ac:dyDescent="0.35">
      <c r="A281" s="1" t="s">
        <v>240</v>
      </c>
      <c r="B281" s="1" t="s">
        <v>25</v>
      </c>
      <c r="C281" s="1" t="s">
        <v>83</v>
      </c>
      <c r="D281" s="7">
        <v>65</v>
      </c>
      <c r="E281" s="7">
        <v>24.9</v>
      </c>
      <c r="F281" s="7">
        <v>6.6</v>
      </c>
      <c r="G281" s="7">
        <v>0.44</v>
      </c>
      <c r="H281" s="7">
        <v>1.9</v>
      </c>
      <c r="I281" s="7">
        <v>0.9</v>
      </c>
      <c r="J281" s="7">
        <v>0.78</v>
      </c>
      <c r="K281" s="7">
        <v>3.2</v>
      </c>
      <c r="L281" s="7">
        <v>1.3</v>
      </c>
      <c r="M281" s="7">
        <v>1.2</v>
      </c>
      <c r="N281" s="7">
        <v>0.6</v>
      </c>
      <c r="O281" s="7">
        <v>0.6</v>
      </c>
      <c r="P281" s="7">
        <v>8.4</v>
      </c>
    </row>
    <row r="282" spans="1:16" x14ac:dyDescent="0.35">
      <c r="A282" s="1" t="s">
        <v>241</v>
      </c>
      <c r="B282" s="1" t="s">
        <v>35</v>
      </c>
      <c r="C282" s="1" t="s">
        <v>45</v>
      </c>
      <c r="D282" s="7">
        <v>52</v>
      </c>
      <c r="E282" s="7">
        <v>19.2</v>
      </c>
      <c r="F282" s="7">
        <v>5.7</v>
      </c>
      <c r="G282" s="7">
        <v>0.47099999999999997</v>
      </c>
      <c r="H282" s="7">
        <v>0</v>
      </c>
      <c r="I282" s="7">
        <v>2.5</v>
      </c>
      <c r="J282" s="7">
        <v>0.73599999999999999</v>
      </c>
      <c r="K282" s="7">
        <v>4.9000000000000004</v>
      </c>
      <c r="L282" s="7">
        <v>1.7</v>
      </c>
      <c r="M282" s="7">
        <v>0.8</v>
      </c>
      <c r="N282" s="7">
        <v>0.4</v>
      </c>
      <c r="O282" s="7">
        <v>0.9</v>
      </c>
      <c r="P282" s="7">
        <v>7.2</v>
      </c>
    </row>
    <row r="283" spans="1:16" x14ac:dyDescent="0.35">
      <c r="A283" s="1" t="s">
        <v>242</v>
      </c>
      <c r="B283" s="1" t="s">
        <v>18</v>
      </c>
      <c r="C283" s="1" t="s">
        <v>51</v>
      </c>
      <c r="D283" s="7">
        <v>39</v>
      </c>
      <c r="E283" s="7">
        <v>28.8</v>
      </c>
      <c r="F283" s="7">
        <v>8.1999999999999993</v>
      </c>
      <c r="G283" s="7">
        <v>0.65400000000000003</v>
      </c>
      <c r="H283" s="7">
        <v>0</v>
      </c>
      <c r="I283" s="7">
        <v>2.6</v>
      </c>
      <c r="J283" s="7">
        <v>0.8</v>
      </c>
      <c r="K283" s="7">
        <v>8.3000000000000007</v>
      </c>
      <c r="L283" s="7">
        <v>1</v>
      </c>
      <c r="M283" s="7">
        <v>1</v>
      </c>
      <c r="N283" s="7">
        <v>1.4</v>
      </c>
      <c r="O283" s="7">
        <v>1.3</v>
      </c>
      <c r="P283" s="7">
        <v>12.8</v>
      </c>
    </row>
    <row r="284" spans="1:16" x14ac:dyDescent="0.35">
      <c r="A284" s="1" t="s">
        <v>243</v>
      </c>
      <c r="B284" s="1" t="s">
        <v>35</v>
      </c>
      <c r="C284" s="1" t="s">
        <v>44</v>
      </c>
      <c r="D284" s="7">
        <v>21</v>
      </c>
      <c r="E284" s="7">
        <v>29.5</v>
      </c>
      <c r="F284" s="7">
        <v>8.1999999999999993</v>
      </c>
      <c r="G284" s="7">
        <v>0.50600000000000001</v>
      </c>
      <c r="H284" s="7">
        <v>1.7</v>
      </c>
      <c r="I284" s="7">
        <v>1.3</v>
      </c>
      <c r="J284" s="7">
        <v>0.77800000000000002</v>
      </c>
      <c r="K284" s="7">
        <v>3.4</v>
      </c>
      <c r="L284" s="7">
        <v>1.5</v>
      </c>
      <c r="M284" s="7">
        <v>0.8</v>
      </c>
      <c r="N284" s="7">
        <v>0.2</v>
      </c>
      <c r="O284" s="7">
        <v>0.9</v>
      </c>
      <c r="P284" s="7">
        <v>11</v>
      </c>
    </row>
    <row r="285" spans="1:16" x14ac:dyDescent="0.35">
      <c r="A285" s="1" t="s">
        <v>244</v>
      </c>
      <c r="B285" s="1" t="s">
        <v>18</v>
      </c>
      <c r="C285" s="1" t="s">
        <v>88</v>
      </c>
      <c r="D285" s="7">
        <v>60</v>
      </c>
      <c r="E285" s="7">
        <v>30.8</v>
      </c>
      <c r="F285" s="7">
        <v>10.9</v>
      </c>
      <c r="G285" s="7">
        <v>0.442</v>
      </c>
      <c r="H285" s="7">
        <v>1.5</v>
      </c>
      <c r="I285" s="7">
        <v>1.2</v>
      </c>
      <c r="J285" s="7">
        <v>0.753</v>
      </c>
      <c r="K285" s="7">
        <v>6.9</v>
      </c>
      <c r="L285" s="7">
        <v>4.0999999999999996</v>
      </c>
      <c r="M285" s="7">
        <v>0.9</v>
      </c>
      <c r="N285" s="7">
        <v>0.9</v>
      </c>
      <c r="O285" s="7">
        <v>1.1000000000000001</v>
      </c>
      <c r="P285" s="7">
        <v>12</v>
      </c>
    </row>
    <row r="286" spans="1:16" x14ac:dyDescent="0.35">
      <c r="A286" s="1" t="s">
        <v>245</v>
      </c>
      <c r="B286" s="1" t="s">
        <v>25</v>
      </c>
      <c r="C286" s="1" t="s">
        <v>41</v>
      </c>
      <c r="D286" s="7">
        <v>2</v>
      </c>
      <c r="E286" s="7">
        <v>2.5</v>
      </c>
      <c r="F286" s="7">
        <v>0.5</v>
      </c>
      <c r="G286" s="7">
        <v>0</v>
      </c>
      <c r="H286" s="7">
        <v>0</v>
      </c>
      <c r="I286" s="7">
        <v>0</v>
      </c>
      <c r="K286" s="7">
        <v>0</v>
      </c>
      <c r="L286" s="7">
        <v>1</v>
      </c>
      <c r="M286" s="7">
        <v>0.5</v>
      </c>
      <c r="N286" s="7">
        <v>0</v>
      </c>
      <c r="O286" s="7">
        <v>0</v>
      </c>
      <c r="P286" s="7">
        <v>0</v>
      </c>
    </row>
    <row r="287" spans="1:16" x14ac:dyDescent="0.35">
      <c r="A287" s="1" t="s">
        <v>246</v>
      </c>
      <c r="B287" s="1" t="s">
        <v>35</v>
      </c>
      <c r="C287" s="1" t="s">
        <v>37</v>
      </c>
      <c r="D287" s="7">
        <v>58</v>
      </c>
      <c r="E287" s="7">
        <v>30</v>
      </c>
      <c r="F287" s="7">
        <v>8.3000000000000007</v>
      </c>
      <c r="G287" s="7">
        <v>0.42699999999999999</v>
      </c>
      <c r="H287" s="7">
        <v>1.9</v>
      </c>
      <c r="I287" s="7">
        <v>1.5</v>
      </c>
      <c r="J287" s="7">
        <v>0.8</v>
      </c>
      <c r="K287" s="7">
        <v>4.2</v>
      </c>
      <c r="L287" s="7">
        <v>1.3</v>
      </c>
      <c r="M287" s="7">
        <v>1.1000000000000001</v>
      </c>
      <c r="N287" s="7">
        <v>0.6</v>
      </c>
      <c r="O287" s="7">
        <v>0.8</v>
      </c>
      <c r="P287" s="7">
        <v>10.199999999999999</v>
      </c>
    </row>
    <row r="288" spans="1:16" x14ac:dyDescent="0.35">
      <c r="A288" s="1" t="s">
        <v>247</v>
      </c>
      <c r="B288" s="1" t="s">
        <v>18</v>
      </c>
      <c r="C288" s="1" t="s">
        <v>41</v>
      </c>
      <c r="D288" s="7">
        <v>62</v>
      </c>
      <c r="E288" s="7">
        <v>19.2</v>
      </c>
      <c r="F288" s="7">
        <v>4.0999999999999996</v>
      </c>
      <c r="G288" s="7">
        <v>0.73199999999999998</v>
      </c>
      <c r="H288" s="7">
        <v>0</v>
      </c>
      <c r="I288" s="7">
        <v>2.9</v>
      </c>
      <c r="J288" s="7">
        <v>0.49399999999999999</v>
      </c>
      <c r="K288" s="7">
        <v>7.4</v>
      </c>
      <c r="L288" s="7">
        <v>0.7</v>
      </c>
      <c r="M288" s="7">
        <v>0.4</v>
      </c>
      <c r="N288" s="7">
        <v>1.2</v>
      </c>
      <c r="O288" s="7">
        <v>1.2</v>
      </c>
      <c r="P288" s="7">
        <v>7.5</v>
      </c>
    </row>
    <row r="289" spans="1:16" x14ac:dyDescent="0.35">
      <c r="A289" s="1" t="s">
        <v>474</v>
      </c>
      <c r="B289" s="1" t="s">
        <v>25</v>
      </c>
      <c r="C289" s="1" t="s">
        <v>37</v>
      </c>
      <c r="D289" s="7">
        <v>2</v>
      </c>
      <c r="E289" s="7">
        <v>6.5</v>
      </c>
      <c r="F289" s="7">
        <v>2</v>
      </c>
      <c r="G289" s="7">
        <v>0</v>
      </c>
      <c r="H289" s="7">
        <v>0</v>
      </c>
      <c r="I289" s="7">
        <v>0</v>
      </c>
      <c r="K289" s="7">
        <v>1</v>
      </c>
      <c r="L289" s="7">
        <v>0.5</v>
      </c>
      <c r="M289" s="7">
        <v>0</v>
      </c>
      <c r="N289" s="7">
        <v>0</v>
      </c>
      <c r="O289" s="7">
        <v>0.5</v>
      </c>
      <c r="P289" s="7">
        <v>0</v>
      </c>
    </row>
    <row r="290" spans="1:16" x14ac:dyDescent="0.35">
      <c r="A290" s="1" t="s">
        <v>248</v>
      </c>
      <c r="B290" s="1" t="s">
        <v>25</v>
      </c>
      <c r="C290" s="1" t="s">
        <v>77</v>
      </c>
      <c r="D290" s="7">
        <v>56</v>
      </c>
      <c r="E290" s="7">
        <v>31.4</v>
      </c>
      <c r="F290" s="7">
        <v>10.9</v>
      </c>
      <c r="G290" s="7">
        <v>0.41299999999999998</v>
      </c>
      <c r="H290" s="7">
        <v>2.2999999999999998</v>
      </c>
      <c r="I290" s="7">
        <v>1.1000000000000001</v>
      </c>
      <c r="J290" s="7">
        <v>0.82799999999999996</v>
      </c>
      <c r="K290" s="7">
        <v>4.0999999999999996</v>
      </c>
      <c r="L290" s="7">
        <v>3.8</v>
      </c>
      <c r="M290" s="7">
        <v>0.9</v>
      </c>
      <c r="N290" s="7">
        <v>0.5</v>
      </c>
      <c r="O290" s="7">
        <v>1.6</v>
      </c>
      <c r="P290" s="7">
        <v>12.2</v>
      </c>
    </row>
    <row r="291" spans="1:16" x14ac:dyDescent="0.35">
      <c r="A291" s="1" t="s">
        <v>249</v>
      </c>
      <c r="B291" s="1" t="s">
        <v>35</v>
      </c>
      <c r="C291" s="1" t="s">
        <v>77</v>
      </c>
      <c r="D291" s="7">
        <v>63</v>
      </c>
      <c r="E291" s="7">
        <v>32</v>
      </c>
      <c r="F291" s="7">
        <v>10.8</v>
      </c>
      <c r="G291" s="7">
        <v>0.41</v>
      </c>
      <c r="H291" s="7">
        <v>1.7</v>
      </c>
      <c r="I291" s="7">
        <v>2.2999999999999998</v>
      </c>
      <c r="J291" s="7">
        <v>0.76400000000000001</v>
      </c>
      <c r="K291" s="7">
        <v>4.5</v>
      </c>
      <c r="L291" s="7">
        <v>1.8</v>
      </c>
      <c r="M291" s="7">
        <v>0.7</v>
      </c>
      <c r="N291" s="7">
        <v>0.3</v>
      </c>
      <c r="O291" s="7">
        <v>1.6</v>
      </c>
      <c r="P291" s="7">
        <v>12.3</v>
      </c>
    </row>
    <row r="292" spans="1:16" x14ac:dyDescent="0.35">
      <c r="A292" s="1" t="s">
        <v>250</v>
      </c>
      <c r="B292" s="1" t="s">
        <v>35</v>
      </c>
      <c r="C292" s="1" t="s">
        <v>48</v>
      </c>
      <c r="D292" s="7">
        <v>28</v>
      </c>
      <c r="E292" s="7">
        <v>18.8</v>
      </c>
      <c r="F292" s="7">
        <v>6.3</v>
      </c>
      <c r="G292" s="7">
        <v>0.45700000000000002</v>
      </c>
      <c r="H292" s="7">
        <v>0.4</v>
      </c>
      <c r="I292" s="7">
        <v>2.8</v>
      </c>
      <c r="J292" s="7">
        <v>0.59</v>
      </c>
      <c r="K292" s="7">
        <v>3.9</v>
      </c>
      <c r="L292" s="7">
        <v>0.9</v>
      </c>
      <c r="M292" s="7">
        <v>1</v>
      </c>
      <c r="N292" s="7">
        <v>0.3</v>
      </c>
      <c r="O292" s="7">
        <v>1</v>
      </c>
      <c r="P292" s="7">
        <v>7.8</v>
      </c>
    </row>
    <row r="293" spans="1:16" x14ac:dyDescent="0.35">
      <c r="A293" s="1" t="s">
        <v>251</v>
      </c>
      <c r="B293" s="1" t="s">
        <v>18</v>
      </c>
      <c r="C293" s="1" t="s">
        <v>45</v>
      </c>
      <c r="D293" s="7">
        <v>50</v>
      </c>
      <c r="E293" s="7">
        <v>27.5</v>
      </c>
      <c r="F293" s="7">
        <v>12.5</v>
      </c>
      <c r="G293" s="7">
        <v>0.51800000000000002</v>
      </c>
      <c r="H293" s="7">
        <v>1.3</v>
      </c>
      <c r="I293" s="7">
        <v>2.4</v>
      </c>
      <c r="J293" s="7">
        <v>0.748</v>
      </c>
      <c r="K293" s="7">
        <v>8.3000000000000007</v>
      </c>
      <c r="L293" s="7">
        <v>1.5</v>
      </c>
      <c r="M293" s="7">
        <v>0.5</v>
      </c>
      <c r="N293" s="7">
        <v>0.8</v>
      </c>
      <c r="O293" s="7">
        <v>2</v>
      </c>
      <c r="P293" s="7">
        <v>16</v>
      </c>
    </row>
    <row r="294" spans="1:16" x14ac:dyDescent="0.35">
      <c r="A294" s="1" t="s">
        <v>475</v>
      </c>
      <c r="B294" s="1" t="s">
        <v>25</v>
      </c>
      <c r="C294" s="1" t="s">
        <v>21</v>
      </c>
      <c r="D294" s="7">
        <v>14</v>
      </c>
      <c r="E294" s="7">
        <v>18.5</v>
      </c>
      <c r="F294" s="7">
        <v>3.6</v>
      </c>
      <c r="G294" s="7">
        <v>0.49</v>
      </c>
      <c r="H294" s="7">
        <v>0.6</v>
      </c>
      <c r="I294" s="7">
        <v>0.6</v>
      </c>
      <c r="J294" s="7">
        <v>0.25</v>
      </c>
      <c r="K294" s="7">
        <v>3.8</v>
      </c>
      <c r="L294" s="7">
        <v>2</v>
      </c>
      <c r="M294" s="7">
        <v>0.6</v>
      </c>
      <c r="N294" s="7">
        <v>1.1000000000000001</v>
      </c>
      <c r="O294" s="7">
        <v>1.2</v>
      </c>
      <c r="P294" s="7">
        <v>4.4000000000000004</v>
      </c>
    </row>
    <row r="295" spans="1:16" x14ac:dyDescent="0.35">
      <c r="A295" s="1" t="s">
        <v>659</v>
      </c>
      <c r="B295" s="1" t="s">
        <v>15</v>
      </c>
      <c r="C295" s="1" t="s">
        <v>39</v>
      </c>
      <c r="D295" s="7">
        <v>56</v>
      </c>
      <c r="E295" s="7">
        <v>16</v>
      </c>
      <c r="F295" s="7">
        <v>5.2</v>
      </c>
      <c r="G295" s="7">
        <v>0.47199999999999998</v>
      </c>
      <c r="H295" s="7">
        <v>0.8</v>
      </c>
      <c r="I295" s="7">
        <v>1.3</v>
      </c>
      <c r="J295" s="7">
        <v>0.82699999999999996</v>
      </c>
      <c r="K295" s="7">
        <v>4.9000000000000004</v>
      </c>
      <c r="L295" s="7">
        <v>0.8</v>
      </c>
      <c r="M295" s="7">
        <v>0.4</v>
      </c>
      <c r="N295" s="7">
        <v>0.3</v>
      </c>
      <c r="O295" s="7">
        <v>0.6</v>
      </c>
      <c r="P295" s="7">
        <v>6.8</v>
      </c>
    </row>
    <row r="296" spans="1:16" x14ac:dyDescent="0.35">
      <c r="A296" s="1" t="s">
        <v>252</v>
      </c>
      <c r="B296" s="1" t="s">
        <v>35</v>
      </c>
      <c r="C296" s="1" t="s">
        <v>87</v>
      </c>
      <c r="D296" s="7">
        <v>64</v>
      </c>
      <c r="E296" s="7">
        <v>29.9</v>
      </c>
      <c r="F296" s="7">
        <v>7.7</v>
      </c>
      <c r="G296" s="7">
        <v>0.441</v>
      </c>
      <c r="H296" s="7">
        <v>1.9</v>
      </c>
      <c r="I296" s="7">
        <v>1.3</v>
      </c>
      <c r="J296" s="7">
        <v>0.77400000000000002</v>
      </c>
      <c r="K296" s="7">
        <v>4</v>
      </c>
      <c r="L296" s="7">
        <v>5.2</v>
      </c>
      <c r="M296" s="7">
        <v>0.9</v>
      </c>
      <c r="N296" s="7">
        <v>0.1</v>
      </c>
      <c r="O296" s="7">
        <v>1.9</v>
      </c>
      <c r="P296" s="7">
        <v>9.8000000000000007</v>
      </c>
    </row>
    <row r="297" spans="1:16" x14ac:dyDescent="0.35">
      <c r="A297" s="1" t="s">
        <v>253</v>
      </c>
      <c r="B297" s="1" t="s">
        <v>15</v>
      </c>
      <c r="C297" s="1" t="s">
        <v>26</v>
      </c>
      <c r="D297" s="7">
        <v>56</v>
      </c>
      <c r="E297" s="7">
        <v>34.299999999999997</v>
      </c>
      <c r="F297" s="7">
        <v>18</v>
      </c>
      <c r="G297" s="7">
        <v>0.46600000000000003</v>
      </c>
      <c r="H297" s="7">
        <v>2.4</v>
      </c>
      <c r="I297" s="7">
        <v>5.9</v>
      </c>
      <c r="J297" s="7">
        <v>0.85799999999999998</v>
      </c>
      <c r="K297" s="7">
        <v>6.3</v>
      </c>
      <c r="L297" s="7">
        <v>4.3</v>
      </c>
      <c r="M297" s="7">
        <v>1</v>
      </c>
      <c r="N297" s="7">
        <v>0.7</v>
      </c>
      <c r="O297" s="7">
        <v>3.1</v>
      </c>
      <c r="P297" s="7">
        <v>24.3</v>
      </c>
    </row>
    <row r="298" spans="1:16" x14ac:dyDescent="0.35">
      <c r="A298" s="1" t="s">
        <v>254</v>
      </c>
      <c r="B298" s="1" t="s">
        <v>47</v>
      </c>
      <c r="C298" s="1" t="s">
        <v>30</v>
      </c>
      <c r="D298" s="7">
        <v>20</v>
      </c>
      <c r="E298" s="7">
        <v>32.9</v>
      </c>
      <c r="F298" s="7">
        <v>20.8</v>
      </c>
      <c r="G298" s="7">
        <v>0.47799999999999998</v>
      </c>
      <c r="H298" s="7">
        <v>2.8</v>
      </c>
      <c r="I298" s="7">
        <v>5.0999999999999996</v>
      </c>
      <c r="J298" s="7">
        <v>0.92200000000000004</v>
      </c>
      <c r="K298" s="7">
        <v>5.2</v>
      </c>
      <c r="L298" s="7">
        <v>6.4</v>
      </c>
      <c r="M298" s="7">
        <v>1.4</v>
      </c>
      <c r="N298" s="7">
        <v>0.5</v>
      </c>
      <c r="O298" s="7">
        <v>2.6</v>
      </c>
      <c r="P298" s="7">
        <v>27.4</v>
      </c>
    </row>
    <row r="299" spans="1:16" x14ac:dyDescent="0.35">
      <c r="A299" s="1" t="s">
        <v>255</v>
      </c>
      <c r="B299" s="1" t="s">
        <v>35</v>
      </c>
      <c r="C299" s="1" t="s">
        <v>34</v>
      </c>
      <c r="D299" s="7">
        <v>32</v>
      </c>
      <c r="E299" s="7">
        <v>29.7</v>
      </c>
      <c r="F299" s="7">
        <v>10.1</v>
      </c>
      <c r="G299" s="7">
        <v>0.46300000000000002</v>
      </c>
      <c r="H299" s="7">
        <v>0.9</v>
      </c>
      <c r="I299" s="7">
        <v>2.2999999999999998</v>
      </c>
      <c r="J299" s="7">
        <v>0.76700000000000002</v>
      </c>
      <c r="K299" s="7">
        <v>6.9</v>
      </c>
      <c r="L299" s="7">
        <v>1.4</v>
      </c>
      <c r="M299" s="7">
        <v>1.6</v>
      </c>
      <c r="N299" s="7">
        <v>2.4</v>
      </c>
      <c r="O299" s="7">
        <v>1.5</v>
      </c>
      <c r="P299" s="7">
        <v>12</v>
      </c>
    </row>
    <row r="300" spans="1:16" x14ac:dyDescent="0.35">
      <c r="A300" s="1" t="s">
        <v>256</v>
      </c>
      <c r="B300" s="1" t="s">
        <v>35</v>
      </c>
      <c r="C300" s="1" t="s">
        <v>34</v>
      </c>
      <c r="D300" s="7">
        <v>45</v>
      </c>
      <c r="E300" s="7">
        <v>18</v>
      </c>
      <c r="F300" s="7">
        <v>4.3</v>
      </c>
      <c r="G300" s="7">
        <v>0.39700000000000002</v>
      </c>
      <c r="H300" s="7">
        <v>0.5</v>
      </c>
      <c r="I300" s="7">
        <v>1.7</v>
      </c>
      <c r="J300" s="7">
        <v>0.81599999999999995</v>
      </c>
      <c r="K300" s="7">
        <v>2.5</v>
      </c>
      <c r="L300" s="7">
        <v>1</v>
      </c>
      <c r="M300" s="7">
        <v>0.6</v>
      </c>
      <c r="N300" s="7">
        <v>0.2</v>
      </c>
      <c r="O300" s="7">
        <v>0.4</v>
      </c>
      <c r="P300" s="7">
        <v>5.3</v>
      </c>
    </row>
    <row r="301" spans="1:16" x14ac:dyDescent="0.35">
      <c r="A301" s="1" t="s">
        <v>257</v>
      </c>
      <c r="B301" s="1" t="s">
        <v>47</v>
      </c>
      <c r="C301" s="1" t="s">
        <v>26</v>
      </c>
      <c r="D301" s="7">
        <v>51</v>
      </c>
      <c r="E301" s="7">
        <v>12.9</v>
      </c>
      <c r="F301" s="7">
        <v>5</v>
      </c>
      <c r="G301" s="7">
        <v>0.38500000000000001</v>
      </c>
      <c r="H301" s="7">
        <v>0.8</v>
      </c>
      <c r="I301" s="7">
        <v>1.3</v>
      </c>
      <c r="J301" s="7">
        <v>0.75</v>
      </c>
      <c r="K301" s="7">
        <v>1.4</v>
      </c>
      <c r="L301" s="7">
        <v>0.8</v>
      </c>
      <c r="M301" s="7">
        <v>0.3</v>
      </c>
      <c r="N301" s="7">
        <v>0.1</v>
      </c>
      <c r="O301" s="7">
        <v>0.8</v>
      </c>
      <c r="P301" s="7">
        <v>5.6</v>
      </c>
    </row>
    <row r="302" spans="1:16" x14ac:dyDescent="0.35">
      <c r="A302" s="1" t="s">
        <v>694</v>
      </c>
      <c r="B302" s="1" t="s">
        <v>18</v>
      </c>
      <c r="C302" s="1" t="s">
        <v>28</v>
      </c>
      <c r="D302" s="7">
        <v>54</v>
      </c>
      <c r="E302" s="7">
        <v>28</v>
      </c>
      <c r="F302" s="7">
        <v>13</v>
      </c>
      <c r="G302" s="7">
        <v>0.46800000000000003</v>
      </c>
      <c r="H302" s="7">
        <v>2.5</v>
      </c>
      <c r="I302" s="7">
        <v>3.1</v>
      </c>
      <c r="J302" s="7">
        <v>0.74099999999999999</v>
      </c>
      <c r="K302" s="7">
        <v>4.7</v>
      </c>
      <c r="L302" s="7">
        <v>1.4</v>
      </c>
      <c r="M302" s="7">
        <v>0.7</v>
      </c>
      <c r="N302" s="7">
        <v>1.6</v>
      </c>
      <c r="O302" s="7">
        <v>1.7</v>
      </c>
      <c r="P302" s="7">
        <v>16.899999999999999</v>
      </c>
    </row>
    <row r="303" spans="1:16" x14ac:dyDescent="0.35">
      <c r="A303" s="1" t="s">
        <v>476</v>
      </c>
      <c r="B303" s="1" t="s">
        <v>25</v>
      </c>
      <c r="C303" s="1" t="s">
        <v>28</v>
      </c>
      <c r="D303" s="7">
        <v>18</v>
      </c>
      <c r="E303" s="7">
        <v>19.8</v>
      </c>
      <c r="F303" s="7">
        <v>8.6</v>
      </c>
      <c r="G303" s="7">
        <v>0.439</v>
      </c>
      <c r="H303" s="7">
        <v>1.3</v>
      </c>
      <c r="I303" s="7">
        <v>2.4</v>
      </c>
      <c r="J303" s="7">
        <v>0.65900000000000003</v>
      </c>
      <c r="K303" s="7">
        <v>3.2</v>
      </c>
      <c r="L303" s="7">
        <v>1.7</v>
      </c>
      <c r="M303" s="7">
        <v>1</v>
      </c>
      <c r="N303" s="7">
        <v>0.5</v>
      </c>
      <c r="O303" s="7">
        <v>1.4</v>
      </c>
      <c r="P303" s="7">
        <v>10.4</v>
      </c>
    </row>
    <row r="304" spans="1:16" x14ac:dyDescent="0.35">
      <c r="A304" s="1" t="s">
        <v>259</v>
      </c>
      <c r="B304" s="1" t="s">
        <v>15</v>
      </c>
      <c r="C304" s="1" t="s">
        <v>60</v>
      </c>
      <c r="D304" s="7">
        <v>58</v>
      </c>
      <c r="E304" s="7">
        <v>16</v>
      </c>
      <c r="F304" s="7">
        <v>5.4</v>
      </c>
      <c r="G304" s="7">
        <v>0.39900000000000002</v>
      </c>
      <c r="H304" s="7">
        <v>0.8</v>
      </c>
      <c r="I304" s="7">
        <v>0.8</v>
      </c>
      <c r="J304" s="7">
        <v>0.81799999999999995</v>
      </c>
      <c r="K304" s="7">
        <v>2.4</v>
      </c>
      <c r="L304" s="7">
        <v>0.8</v>
      </c>
      <c r="M304" s="7">
        <v>0.2</v>
      </c>
      <c r="N304" s="7">
        <v>0.2</v>
      </c>
      <c r="O304" s="7">
        <v>0.2</v>
      </c>
      <c r="P304" s="7">
        <v>5.7</v>
      </c>
    </row>
    <row r="305" spans="1:16" x14ac:dyDescent="0.35">
      <c r="A305" s="1" t="s">
        <v>260</v>
      </c>
      <c r="B305" s="1" t="s">
        <v>47</v>
      </c>
      <c r="C305" s="1" t="s">
        <v>50</v>
      </c>
      <c r="D305" s="7">
        <v>23</v>
      </c>
      <c r="E305" s="7">
        <v>24.2</v>
      </c>
      <c r="F305" s="7">
        <v>11.2</v>
      </c>
      <c r="G305" s="7">
        <v>0.41599999999999998</v>
      </c>
      <c r="H305" s="7">
        <v>2</v>
      </c>
      <c r="I305" s="7">
        <v>1.9</v>
      </c>
      <c r="J305" s="7">
        <v>0.81399999999999995</v>
      </c>
      <c r="K305" s="7">
        <v>2.9</v>
      </c>
      <c r="L305" s="7">
        <v>4.4000000000000004</v>
      </c>
      <c r="M305" s="7">
        <v>0.4</v>
      </c>
      <c r="N305" s="7">
        <v>0.2</v>
      </c>
      <c r="O305" s="7">
        <v>1.7</v>
      </c>
      <c r="P305" s="7">
        <v>12.8</v>
      </c>
    </row>
    <row r="306" spans="1:16" x14ac:dyDescent="0.35">
      <c r="A306" s="1" t="s">
        <v>260</v>
      </c>
      <c r="B306" s="1" t="s">
        <v>47</v>
      </c>
      <c r="C306" s="1" t="s">
        <v>90</v>
      </c>
      <c r="D306" s="7">
        <v>14</v>
      </c>
      <c r="E306" s="7">
        <v>27.2</v>
      </c>
      <c r="F306" s="7">
        <v>14.1</v>
      </c>
      <c r="G306" s="7">
        <v>0.38400000000000001</v>
      </c>
      <c r="H306" s="7">
        <v>2.2000000000000002</v>
      </c>
      <c r="I306" s="7">
        <v>2.4</v>
      </c>
      <c r="J306" s="7">
        <v>0.78800000000000003</v>
      </c>
      <c r="K306" s="7">
        <v>2.9</v>
      </c>
      <c r="L306" s="7">
        <v>5.0999999999999996</v>
      </c>
      <c r="M306" s="7">
        <v>0.6</v>
      </c>
      <c r="N306" s="7">
        <v>0.1</v>
      </c>
      <c r="O306" s="7">
        <v>1.6</v>
      </c>
      <c r="P306" s="7">
        <v>14.9</v>
      </c>
    </row>
    <row r="307" spans="1:16" x14ac:dyDescent="0.35">
      <c r="A307" s="1" t="s">
        <v>260</v>
      </c>
      <c r="B307" s="1" t="s">
        <v>47</v>
      </c>
      <c r="C307" s="1" t="s">
        <v>80</v>
      </c>
      <c r="D307" s="7">
        <v>9</v>
      </c>
      <c r="E307" s="7">
        <v>19.399999999999999</v>
      </c>
      <c r="F307" s="7">
        <v>6.6</v>
      </c>
      <c r="G307" s="7">
        <v>0.52500000000000002</v>
      </c>
      <c r="H307" s="7">
        <v>1.6</v>
      </c>
      <c r="I307" s="7">
        <v>1.1000000000000001</v>
      </c>
      <c r="J307" s="7">
        <v>0.9</v>
      </c>
      <c r="K307" s="7">
        <v>2.9</v>
      </c>
      <c r="L307" s="7">
        <v>3.2</v>
      </c>
      <c r="M307" s="7">
        <v>0.2</v>
      </c>
      <c r="N307" s="7">
        <v>0.4</v>
      </c>
      <c r="O307" s="7">
        <v>1.9</v>
      </c>
      <c r="P307" s="7">
        <v>9.4</v>
      </c>
    </row>
    <row r="308" spans="1:16" x14ac:dyDescent="0.35">
      <c r="A308" s="1" t="s">
        <v>261</v>
      </c>
      <c r="B308" s="1" t="s">
        <v>25</v>
      </c>
      <c r="C308" s="1" t="s">
        <v>51</v>
      </c>
      <c r="D308" s="7">
        <v>34</v>
      </c>
      <c r="E308" s="7">
        <v>6.4</v>
      </c>
      <c r="F308" s="7">
        <v>2.2999999999999998</v>
      </c>
      <c r="G308" s="7">
        <v>0.42299999999999999</v>
      </c>
      <c r="H308" s="7">
        <v>0.3</v>
      </c>
      <c r="I308" s="7">
        <v>0.6</v>
      </c>
      <c r="J308" s="7">
        <v>0.47599999999999998</v>
      </c>
      <c r="K308" s="7">
        <v>0.9</v>
      </c>
      <c r="L308" s="7">
        <v>0.5</v>
      </c>
      <c r="M308" s="7">
        <v>0.2</v>
      </c>
      <c r="N308" s="7">
        <v>0.3</v>
      </c>
      <c r="O308" s="7">
        <v>0.2</v>
      </c>
      <c r="P308" s="7">
        <v>2.5</v>
      </c>
    </row>
    <row r="309" spans="1:16" x14ac:dyDescent="0.35">
      <c r="A309" s="1" t="s">
        <v>262</v>
      </c>
      <c r="B309" s="1" t="s">
        <v>47</v>
      </c>
      <c r="C309" s="1" t="s">
        <v>41</v>
      </c>
      <c r="D309" s="7">
        <v>60</v>
      </c>
      <c r="E309" s="7">
        <v>34.9</v>
      </c>
      <c r="F309" s="7">
        <v>19.600000000000001</v>
      </c>
      <c r="G309" s="7">
        <v>0.498</v>
      </c>
      <c r="H309" s="7">
        <v>2.2000000000000002</v>
      </c>
      <c r="I309" s="7">
        <v>5.7</v>
      </c>
      <c r="J309" s="7">
        <v>0.69699999999999995</v>
      </c>
      <c r="K309" s="7">
        <v>7.9</v>
      </c>
      <c r="L309" s="7">
        <v>10.6</v>
      </c>
      <c r="M309" s="7">
        <v>1.2</v>
      </c>
      <c r="N309" s="7">
        <v>0.5</v>
      </c>
      <c r="O309" s="7">
        <v>4</v>
      </c>
      <c r="P309" s="7">
        <v>25.7</v>
      </c>
    </row>
    <row r="310" spans="1:16" x14ac:dyDescent="0.35">
      <c r="A310" s="1" t="s">
        <v>598</v>
      </c>
      <c r="B310" s="1" t="s">
        <v>15</v>
      </c>
      <c r="C310" s="1" t="s">
        <v>34</v>
      </c>
      <c r="D310" s="7">
        <v>18</v>
      </c>
      <c r="E310" s="7">
        <v>4.0999999999999996</v>
      </c>
      <c r="F310" s="7">
        <v>0.8</v>
      </c>
      <c r="G310" s="7">
        <v>0.35699999999999998</v>
      </c>
      <c r="H310" s="7">
        <v>0</v>
      </c>
      <c r="I310" s="7">
        <v>0.8</v>
      </c>
      <c r="J310" s="7">
        <v>0.35699999999999998</v>
      </c>
      <c r="K310" s="7">
        <v>1.3</v>
      </c>
      <c r="L310" s="7">
        <v>0.2</v>
      </c>
      <c r="M310" s="7">
        <v>0.1</v>
      </c>
      <c r="N310" s="7">
        <v>0.2</v>
      </c>
      <c r="O310" s="7">
        <v>0.2</v>
      </c>
      <c r="P310" s="7">
        <v>0.8</v>
      </c>
    </row>
    <row r="311" spans="1:16" x14ac:dyDescent="0.35">
      <c r="A311" s="1" t="s">
        <v>263</v>
      </c>
      <c r="B311" s="1" t="s">
        <v>25</v>
      </c>
      <c r="C311" s="1" t="s">
        <v>51</v>
      </c>
      <c r="D311" s="7">
        <v>6</v>
      </c>
      <c r="E311" s="7">
        <v>3.2</v>
      </c>
      <c r="F311" s="7">
        <v>1.2</v>
      </c>
      <c r="G311" s="7">
        <v>0.42899999999999999</v>
      </c>
      <c r="H311" s="7">
        <v>0.2</v>
      </c>
      <c r="I311" s="7">
        <v>0</v>
      </c>
      <c r="K311" s="7">
        <v>0.2</v>
      </c>
      <c r="L311" s="7">
        <v>0.2</v>
      </c>
      <c r="M311" s="7">
        <v>0.2</v>
      </c>
      <c r="N311" s="7">
        <v>0</v>
      </c>
      <c r="O311" s="7">
        <v>0</v>
      </c>
      <c r="P311" s="7">
        <v>1.2</v>
      </c>
    </row>
    <row r="312" spans="1:16" x14ac:dyDescent="0.35">
      <c r="A312" s="1" t="s">
        <v>264</v>
      </c>
      <c r="B312" s="1" t="s">
        <v>47</v>
      </c>
      <c r="C312" s="1" t="s">
        <v>54</v>
      </c>
      <c r="D312" s="7">
        <v>28</v>
      </c>
      <c r="E312" s="7">
        <v>11.3</v>
      </c>
      <c r="F312" s="7">
        <v>3.8</v>
      </c>
      <c r="G312" s="7">
        <v>0.34899999999999998</v>
      </c>
      <c r="H312" s="7">
        <v>0.5</v>
      </c>
      <c r="I312" s="7">
        <v>0.5</v>
      </c>
      <c r="J312" s="7">
        <v>0.78600000000000003</v>
      </c>
      <c r="K312" s="7">
        <v>1.5</v>
      </c>
      <c r="L312" s="7">
        <v>1.5</v>
      </c>
      <c r="M312" s="7">
        <v>0.5</v>
      </c>
      <c r="N312" s="7">
        <v>0.1</v>
      </c>
      <c r="O312" s="7">
        <v>0.6</v>
      </c>
      <c r="P312" s="7">
        <v>3.5</v>
      </c>
    </row>
    <row r="313" spans="1:16" x14ac:dyDescent="0.35">
      <c r="A313" s="1" t="s">
        <v>265</v>
      </c>
      <c r="B313" s="1" t="s">
        <v>35</v>
      </c>
      <c r="C313" s="1" t="s">
        <v>83</v>
      </c>
      <c r="D313" s="7">
        <v>13</v>
      </c>
      <c r="E313" s="7">
        <v>4.2</v>
      </c>
      <c r="F313" s="7">
        <v>1.2</v>
      </c>
      <c r="G313" s="7">
        <v>0.46700000000000003</v>
      </c>
      <c r="H313" s="7">
        <v>0</v>
      </c>
      <c r="I313" s="7">
        <v>0.5</v>
      </c>
      <c r="J313" s="7">
        <v>0.66700000000000004</v>
      </c>
      <c r="K313" s="7">
        <v>1.4</v>
      </c>
      <c r="L313" s="7">
        <v>0.2</v>
      </c>
      <c r="M313" s="7">
        <v>0</v>
      </c>
      <c r="N313" s="7">
        <v>0</v>
      </c>
      <c r="O313" s="7">
        <v>0.2</v>
      </c>
      <c r="P313" s="7">
        <v>1.4</v>
      </c>
    </row>
    <row r="314" spans="1:16" x14ac:dyDescent="0.35">
      <c r="A314" s="1" t="s">
        <v>266</v>
      </c>
      <c r="B314" s="1" t="s">
        <v>35</v>
      </c>
      <c r="C314" s="1" t="s">
        <v>34</v>
      </c>
      <c r="D314" s="7">
        <v>8</v>
      </c>
      <c r="E314" s="7">
        <v>5.8</v>
      </c>
      <c r="F314" s="7">
        <v>2.2999999999999998</v>
      </c>
      <c r="G314" s="7">
        <v>0.27800000000000002</v>
      </c>
      <c r="H314" s="7">
        <v>0.1</v>
      </c>
      <c r="I314" s="7">
        <v>0.3</v>
      </c>
      <c r="J314" s="7">
        <v>1</v>
      </c>
      <c r="K314" s="7">
        <v>0.8</v>
      </c>
      <c r="L314" s="7">
        <v>0.3</v>
      </c>
      <c r="M314" s="7">
        <v>0.3</v>
      </c>
      <c r="N314" s="7">
        <v>0</v>
      </c>
      <c r="O314" s="7">
        <v>0.4</v>
      </c>
      <c r="P314" s="7">
        <v>1.6</v>
      </c>
    </row>
    <row r="315" spans="1:16" x14ac:dyDescent="0.35">
      <c r="A315" s="1" t="s">
        <v>267</v>
      </c>
      <c r="B315" s="1" t="s">
        <v>15</v>
      </c>
      <c r="C315" s="1" t="s">
        <v>54</v>
      </c>
      <c r="D315" s="7">
        <v>49</v>
      </c>
      <c r="E315" s="7">
        <v>20.3</v>
      </c>
      <c r="F315" s="7">
        <v>6.6</v>
      </c>
      <c r="G315" s="7">
        <v>0.41799999999999998</v>
      </c>
      <c r="H315" s="7">
        <v>1.9</v>
      </c>
      <c r="I315" s="7">
        <v>0.9</v>
      </c>
      <c r="J315" s="7">
        <v>0.76100000000000001</v>
      </c>
      <c r="K315" s="7">
        <v>2.9</v>
      </c>
      <c r="L315" s="7">
        <v>1.1000000000000001</v>
      </c>
      <c r="M315" s="7">
        <v>0.6</v>
      </c>
      <c r="N315" s="7">
        <v>0.3</v>
      </c>
      <c r="O315" s="7">
        <v>0.6</v>
      </c>
      <c r="P315" s="7">
        <v>8.1</v>
      </c>
    </row>
    <row r="316" spans="1:16" x14ac:dyDescent="0.35">
      <c r="A316" s="1" t="s">
        <v>268</v>
      </c>
      <c r="B316" s="1" t="s">
        <v>15</v>
      </c>
      <c r="C316" s="1" t="s">
        <v>50</v>
      </c>
      <c r="D316" s="7">
        <v>32</v>
      </c>
      <c r="E316" s="7">
        <v>19.3</v>
      </c>
      <c r="F316" s="7">
        <v>6.7</v>
      </c>
      <c r="G316" s="7">
        <v>0.47899999999999998</v>
      </c>
      <c r="H316" s="7">
        <v>1</v>
      </c>
      <c r="I316" s="7">
        <v>1.5</v>
      </c>
      <c r="J316" s="7">
        <v>0.64600000000000002</v>
      </c>
      <c r="K316" s="7">
        <v>3.7</v>
      </c>
      <c r="L316" s="7">
        <v>2.2999999999999998</v>
      </c>
      <c r="M316" s="7">
        <v>0.8</v>
      </c>
      <c r="N316" s="7">
        <v>1</v>
      </c>
      <c r="O316" s="7">
        <v>1.5</v>
      </c>
      <c r="P316" s="7">
        <v>8.4</v>
      </c>
    </row>
    <row r="317" spans="1:16" x14ac:dyDescent="0.35">
      <c r="A317" s="1" t="s">
        <v>268</v>
      </c>
      <c r="B317" s="1" t="s">
        <v>15</v>
      </c>
      <c r="C317" s="1" t="s">
        <v>21</v>
      </c>
      <c r="D317" s="7">
        <v>18</v>
      </c>
      <c r="E317" s="7">
        <v>15.6</v>
      </c>
      <c r="F317" s="7">
        <v>4.8</v>
      </c>
      <c r="G317" s="7">
        <v>0.44800000000000001</v>
      </c>
      <c r="H317" s="7">
        <v>0.9</v>
      </c>
      <c r="I317" s="7">
        <v>0.8</v>
      </c>
      <c r="J317" s="7">
        <v>0.57099999999999995</v>
      </c>
      <c r="K317" s="7">
        <v>2.9</v>
      </c>
      <c r="L317" s="7">
        <v>1.2</v>
      </c>
      <c r="M317" s="7">
        <v>0.3</v>
      </c>
      <c r="N317" s="7">
        <v>0.7</v>
      </c>
      <c r="O317" s="7">
        <v>0.8</v>
      </c>
      <c r="P317" s="7">
        <v>5.7</v>
      </c>
    </row>
    <row r="318" spans="1:16" x14ac:dyDescent="0.35">
      <c r="A318" s="1" t="s">
        <v>268</v>
      </c>
      <c r="B318" s="1" t="s">
        <v>15</v>
      </c>
      <c r="C318" s="1" t="s">
        <v>65</v>
      </c>
      <c r="D318" s="7">
        <v>14</v>
      </c>
      <c r="E318" s="7">
        <v>24.1</v>
      </c>
      <c r="F318" s="7">
        <v>9.1</v>
      </c>
      <c r="G318" s="7">
        <v>0.5</v>
      </c>
      <c r="H318" s="7">
        <v>1.2</v>
      </c>
      <c r="I318" s="7">
        <v>2.4</v>
      </c>
      <c r="J318" s="7">
        <v>0.67600000000000005</v>
      </c>
      <c r="K318" s="7">
        <v>4.7</v>
      </c>
      <c r="L318" s="7">
        <v>3.8</v>
      </c>
      <c r="M318" s="7">
        <v>1.4</v>
      </c>
      <c r="N318" s="7">
        <v>1.4</v>
      </c>
      <c r="O318" s="7">
        <v>2.4</v>
      </c>
      <c r="P318" s="7">
        <v>12</v>
      </c>
    </row>
    <row r="319" spans="1:16" x14ac:dyDescent="0.35">
      <c r="A319" s="1" t="s">
        <v>269</v>
      </c>
      <c r="B319" s="1" t="s">
        <v>35</v>
      </c>
      <c r="C319" s="1" t="s">
        <v>23</v>
      </c>
      <c r="D319" s="7">
        <v>9</v>
      </c>
      <c r="E319" s="7">
        <v>10.199999999999999</v>
      </c>
      <c r="F319" s="7">
        <v>3.4</v>
      </c>
      <c r="G319" s="7">
        <v>0.51600000000000001</v>
      </c>
      <c r="H319" s="7">
        <v>0.2</v>
      </c>
      <c r="I319" s="7">
        <v>1.1000000000000001</v>
      </c>
      <c r="J319" s="7">
        <v>0.7</v>
      </c>
      <c r="K319" s="7">
        <v>1.9</v>
      </c>
      <c r="L319" s="7">
        <v>0.7</v>
      </c>
      <c r="M319" s="7">
        <v>0.6</v>
      </c>
      <c r="N319" s="7">
        <v>0.1</v>
      </c>
      <c r="O319" s="7">
        <v>0.3</v>
      </c>
      <c r="P319" s="7">
        <v>4.5999999999999996</v>
      </c>
    </row>
    <row r="320" spans="1:16" x14ac:dyDescent="0.35">
      <c r="A320" s="1" t="s">
        <v>270</v>
      </c>
      <c r="B320" s="1" t="s">
        <v>15</v>
      </c>
      <c r="C320" s="1" t="s">
        <v>45</v>
      </c>
      <c r="D320" s="7">
        <v>20</v>
      </c>
      <c r="E320" s="7">
        <v>4.8</v>
      </c>
      <c r="F320" s="7">
        <v>1.6</v>
      </c>
      <c r="G320" s="7">
        <v>0.25800000000000001</v>
      </c>
      <c r="H320" s="7">
        <v>0.1</v>
      </c>
      <c r="I320" s="7">
        <v>0.3</v>
      </c>
      <c r="J320" s="7">
        <v>0.83299999999999996</v>
      </c>
      <c r="K320" s="7">
        <v>1.1000000000000001</v>
      </c>
      <c r="L320" s="7">
        <v>0.4</v>
      </c>
      <c r="M320" s="7">
        <v>0.2</v>
      </c>
      <c r="N320" s="7">
        <v>0.1</v>
      </c>
      <c r="O320" s="7">
        <v>0.4</v>
      </c>
      <c r="P320" s="7">
        <v>1.2</v>
      </c>
    </row>
    <row r="321" spans="1:16" x14ac:dyDescent="0.35">
      <c r="A321" s="1" t="s">
        <v>599</v>
      </c>
      <c r="B321" s="1" t="s">
        <v>25</v>
      </c>
      <c r="C321" s="1" t="s">
        <v>54</v>
      </c>
      <c r="D321" s="7">
        <v>31</v>
      </c>
      <c r="E321" s="7">
        <v>16.600000000000001</v>
      </c>
      <c r="F321" s="7">
        <v>5.5</v>
      </c>
      <c r="G321" s="7">
        <v>0.38</v>
      </c>
      <c r="H321" s="7">
        <v>0.8</v>
      </c>
      <c r="I321" s="7">
        <v>1</v>
      </c>
      <c r="J321" s="7">
        <v>0.75</v>
      </c>
      <c r="K321" s="7">
        <v>1.7</v>
      </c>
      <c r="L321" s="7">
        <v>1.6</v>
      </c>
      <c r="M321" s="7">
        <v>0.4</v>
      </c>
      <c r="N321" s="7">
        <v>0.3</v>
      </c>
      <c r="O321" s="7">
        <v>0.8</v>
      </c>
      <c r="P321" s="7">
        <v>5.7</v>
      </c>
    </row>
    <row r="322" spans="1:16" x14ac:dyDescent="0.35">
      <c r="A322" s="1" t="s">
        <v>660</v>
      </c>
      <c r="B322" s="1" t="s">
        <v>18</v>
      </c>
      <c r="C322" s="1" t="s">
        <v>63</v>
      </c>
      <c r="D322" s="7">
        <v>65</v>
      </c>
      <c r="E322" s="7">
        <v>32.299999999999997</v>
      </c>
      <c r="F322" s="7">
        <v>14.9</v>
      </c>
      <c r="G322" s="7">
        <v>0.52800000000000002</v>
      </c>
      <c r="H322" s="7">
        <v>1.1000000000000001</v>
      </c>
      <c r="I322" s="7">
        <v>4.0999999999999996</v>
      </c>
      <c r="J322" s="7">
        <v>0.81299999999999994</v>
      </c>
      <c r="K322" s="7">
        <v>10.199999999999999</v>
      </c>
      <c r="L322" s="7">
        <v>6.9</v>
      </c>
      <c r="M322" s="7">
        <v>1.2</v>
      </c>
      <c r="N322" s="7">
        <v>0.7</v>
      </c>
      <c r="O322" s="7">
        <v>3.1</v>
      </c>
      <c r="P322" s="7">
        <v>20.2</v>
      </c>
    </row>
    <row r="323" spans="1:16" x14ac:dyDescent="0.35">
      <c r="A323" s="1" t="s">
        <v>271</v>
      </c>
      <c r="B323" s="1" t="s">
        <v>18</v>
      </c>
      <c r="C323" s="1" t="s">
        <v>77</v>
      </c>
      <c r="D323" s="7">
        <v>55</v>
      </c>
      <c r="E323" s="7">
        <v>16.100000000000001</v>
      </c>
      <c r="F323" s="7">
        <v>3.2</v>
      </c>
      <c r="G323" s="7">
        <v>0.68</v>
      </c>
      <c r="H323" s="7">
        <v>0</v>
      </c>
      <c r="I323" s="7">
        <v>1.5</v>
      </c>
      <c r="J323" s="7">
        <v>0.73799999999999999</v>
      </c>
      <c r="K323" s="7">
        <v>3.7</v>
      </c>
      <c r="L323" s="7">
        <v>0.6</v>
      </c>
      <c r="M323" s="7">
        <v>0.5</v>
      </c>
      <c r="N323" s="7">
        <v>0.7</v>
      </c>
      <c r="O323" s="7">
        <v>0.5</v>
      </c>
      <c r="P323" s="7">
        <v>5.6</v>
      </c>
    </row>
    <row r="324" spans="1:16" x14ac:dyDescent="0.35">
      <c r="A324" s="1" t="s">
        <v>695</v>
      </c>
      <c r="B324" s="1" t="s">
        <v>35</v>
      </c>
      <c r="C324" s="1" t="s">
        <v>21</v>
      </c>
      <c r="D324" s="7">
        <v>51</v>
      </c>
      <c r="E324" s="7">
        <v>24.5</v>
      </c>
      <c r="F324" s="7">
        <v>6.3</v>
      </c>
      <c r="G324" s="7">
        <v>0.51400000000000001</v>
      </c>
      <c r="H324" s="7">
        <v>0.7</v>
      </c>
      <c r="I324" s="7">
        <v>2.2000000000000002</v>
      </c>
      <c r="J324" s="7">
        <v>0.77900000000000003</v>
      </c>
      <c r="K324" s="7">
        <v>4.2</v>
      </c>
      <c r="L324" s="7">
        <v>1.1000000000000001</v>
      </c>
      <c r="M324" s="7">
        <v>1.1000000000000001</v>
      </c>
      <c r="N324" s="7">
        <v>0.7</v>
      </c>
      <c r="O324" s="7">
        <v>0.5</v>
      </c>
      <c r="P324" s="7">
        <v>8.9</v>
      </c>
    </row>
    <row r="325" spans="1:16" x14ac:dyDescent="0.35">
      <c r="A325" s="1" t="s">
        <v>273</v>
      </c>
      <c r="B325" s="1" t="s">
        <v>47</v>
      </c>
      <c r="C325" s="1" t="s">
        <v>28</v>
      </c>
      <c r="D325" s="7">
        <v>65</v>
      </c>
      <c r="E325" s="7">
        <v>19</v>
      </c>
      <c r="F325" s="7">
        <v>6.6</v>
      </c>
      <c r="G325" s="7">
        <v>0.45900000000000002</v>
      </c>
      <c r="H325" s="7">
        <v>0.7</v>
      </c>
      <c r="I325" s="7">
        <v>0.9</v>
      </c>
      <c r="J325" s="7">
        <v>0.74099999999999999</v>
      </c>
      <c r="K325" s="7">
        <v>1.6</v>
      </c>
      <c r="L325" s="7">
        <v>4.4000000000000004</v>
      </c>
      <c r="M325" s="7">
        <v>0.9</v>
      </c>
      <c r="N325" s="7">
        <v>0.1</v>
      </c>
      <c r="O325" s="7">
        <v>0.8</v>
      </c>
      <c r="P325" s="7">
        <v>7.4</v>
      </c>
    </row>
    <row r="326" spans="1:16" x14ac:dyDescent="0.35">
      <c r="A326" s="1" t="s">
        <v>274</v>
      </c>
      <c r="B326" s="1" t="s">
        <v>18</v>
      </c>
      <c r="C326" s="1" t="s">
        <v>30</v>
      </c>
      <c r="D326" s="7">
        <v>56</v>
      </c>
      <c r="E326" s="7">
        <v>22</v>
      </c>
      <c r="F326" s="7">
        <v>5.0999999999999996</v>
      </c>
      <c r="G326" s="7">
        <v>0.66600000000000004</v>
      </c>
      <c r="H326" s="7">
        <v>0</v>
      </c>
      <c r="I326" s="7">
        <v>2.2000000000000002</v>
      </c>
      <c r="J326" s="7">
        <v>0.68</v>
      </c>
      <c r="K326" s="7">
        <v>10</v>
      </c>
      <c r="L326" s="7">
        <v>1.9</v>
      </c>
      <c r="M326" s="7">
        <v>0.3</v>
      </c>
      <c r="N326" s="7">
        <v>0.9</v>
      </c>
      <c r="O326" s="7">
        <v>1.3</v>
      </c>
      <c r="P326" s="7">
        <v>8.3000000000000007</v>
      </c>
    </row>
    <row r="327" spans="1:16" x14ac:dyDescent="0.35">
      <c r="A327" s="1" t="s">
        <v>275</v>
      </c>
      <c r="B327" s="1" t="s">
        <v>47</v>
      </c>
      <c r="C327" s="1" t="s">
        <v>51</v>
      </c>
      <c r="D327" s="7">
        <v>64</v>
      </c>
      <c r="E327" s="7">
        <v>24</v>
      </c>
      <c r="F327" s="7">
        <v>5.8</v>
      </c>
      <c r="G327" s="7">
        <v>0.42</v>
      </c>
      <c r="H327" s="7">
        <v>0.7</v>
      </c>
      <c r="I327" s="7">
        <v>0.9</v>
      </c>
      <c r="J327" s="7">
        <v>0.82799999999999996</v>
      </c>
      <c r="K327" s="7">
        <v>2.5</v>
      </c>
      <c r="L327" s="7">
        <v>3.4</v>
      </c>
      <c r="M327" s="7">
        <v>0.7</v>
      </c>
      <c r="N327" s="7">
        <v>0.3</v>
      </c>
      <c r="O327" s="7">
        <v>1</v>
      </c>
      <c r="P327" s="7">
        <v>6.3</v>
      </c>
    </row>
    <row r="328" spans="1:16" x14ac:dyDescent="0.35">
      <c r="A328" s="1" t="s">
        <v>276</v>
      </c>
      <c r="B328" s="1" t="s">
        <v>18</v>
      </c>
      <c r="C328" s="1" t="s">
        <v>80</v>
      </c>
      <c r="D328" s="7">
        <v>12</v>
      </c>
      <c r="E328" s="7">
        <v>5.3</v>
      </c>
      <c r="F328" s="7">
        <v>2.7</v>
      </c>
      <c r="G328" s="7">
        <v>0.438</v>
      </c>
      <c r="H328" s="7">
        <v>0.8</v>
      </c>
      <c r="I328" s="7">
        <v>0.4</v>
      </c>
      <c r="J328" s="7">
        <v>1</v>
      </c>
      <c r="K328" s="7">
        <v>0.9</v>
      </c>
      <c r="L328" s="7">
        <v>0.2</v>
      </c>
      <c r="M328" s="7">
        <v>0.2</v>
      </c>
      <c r="N328" s="7">
        <v>0.2</v>
      </c>
      <c r="O328" s="7">
        <v>0.2</v>
      </c>
      <c r="P328" s="7">
        <v>3.5</v>
      </c>
    </row>
    <row r="329" spans="1:16" x14ac:dyDescent="0.35">
      <c r="A329" s="1" t="s">
        <v>277</v>
      </c>
      <c r="B329" s="1" t="s">
        <v>18</v>
      </c>
      <c r="C329" s="1" t="s">
        <v>54</v>
      </c>
      <c r="D329" s="7">
        <v>32</v>
      </c>
      <c r="E329" s="7">
        <v>22.4</v>
      </c>
      <c r="F329" s="7">
        <v>8.6999999999999993</v>
      </c>
      <c r="G329" s="7">
        <v>0.45500000000000002</v>
      </c>
      <c r="H329" s="7">
        <v>1.2</v>
      </c>
      <c r="I329" s="7">
        <v>2.8</v>
      </c>
      <c r="J329" s="7">
        <v>0.67</v>
      </c>
      <c r="K329" s="7">
        <v>4.9000000000000004</v>
      </c>
      <c r="L329" s="7">
        <v>2.2000000000000002</v>
      </c>
      <c r="M329" s="7">
        <v>0.4</v>
      </c>
      <c r="N329" s="7">
        <v>0.3</v>
      </c>
      <c r="O329" s="7">
        <v>1</v>
      </c>
      <c r="P329" s="7">
        <v>11</v>
      </c>
    </row>
    <row r="330" spans="1:16" x14ac:dyDescent="0.35">
      <c r="A330" s="1" t="s">
        <v>278</v>
      </c>
      <c r="B330" s="1" t="s">
        <v>18</v>
      </c>
      <c r="C330" s="1" t="s">
        <v>109</v>
      </c>
      <c r="D330" s="7">
        <v>51</v>
      </c>
      <c r="E330" s="7">
        <v>17.5</v>
      </c>
      <c r="F330" s="7">
        <v>6.1</v>
      </c>
      <c r="G330" s="7">
        <v>0.56599999999999995</v>
      </c>
      <c r="H330" s="7">
        <v>0</v>
      </c>
      <c r="I330" s="7">
        <v>1.7</v>
      </c>
      <c r="J330" s="7">
        <v>0.70799999999999996</v>
      </c>
      <c r="K330" s="7">
        <v>7.7</v>
      </c>
      <c r="L330" s="7">
        <v>1</v>
      </c>
      <c r="M330" s="7">
        <v>0.4</v>
      </c>
      <c r="N330" s="7">
        <v>0.7</v>
      </c>
      <c r="O330" s="7">
        <v>1</v>
      </c>
      <c r="P330" s="7">
        <v>8.1999999999999993</v>
      </c>
    </row>
    <row r="331" spans="1:16" x14ac:dyDescent="0.35">
      <c r="A331" s="1" t="s">
        <v>279</v>
      </c>
      <c r="B331" s="1" t="s">
        <v>25</v>
      </c>
      <c r="C331" s="1" t="s">
        <v>90</v>
      </c>
      <c r="D331" s="7">
        <v>28</v>
      </c>
      <c r="E331" s="7">
        <v>32.9</v>
      </c>
      <c r="F331" s="7">
        <v>12.2</v>
      </c>
      <c r="G331" s="7">
        <v>0.442</v>
      </c>
      <c r="H331" s="7">
        <v>2.6</v>
      </c>
      <c r="I331" s="7">
        <v>2.7</v>
      </c>
      <c r="J331" s="7">
        <v>0.89300000000000002</v>
      </c>
      <c r="K331" s="7">
        <v>3.5</v>
      </c>
      <c r="L331" s="7">
        <v>4.0999999999999996</v>
      </c>
      <c r="M331" s="7">
        <v>0.4</v>
      </c>
      <c r="N331" s="7">
        <v>0.2</v>
      </c>
      <c r="O331" s="7">
        <v>1.5</v>
      </c>
      <c r="P331" s="7">
        <v>15.8</v>
      </c>
    </row>
    <row r="332" spans="1:16" x14ac:dyDescent="0.35">
      <c r="A332" s="1" t="s">
        <v>600</v>
      </c>
      <c r="B332" s="1" t="s">
        <v>35</v>
      </c>
      <c r="C332" s="1" t="s">
        <v>87</v>
      </c>
      <c r="D332" s="7">
        <v>4</v>
      </c>
      <c r="E332" s="7">
        <v>3.8</v>
      </c>
      <c r="F332" s="7">
        <v>0.8</v>
      </c>
      <c r="G332" s="7">
        <v>0</v>
      </c>
      <c r="H332" s="7">
        <v>0</v>
      </c>
      <c r="I332" s="7">
        <v>0</v>
      </c>
      <c r="K332" s="7">
        <v>0.8</v>
      </c>
      <c r="L332" s="7">
        <v>0.3</v>
      </c>
      <c r="M332" s="7">
        <v>0</v>
      </c>
      <c r="N332" s="7">
        <v>0</v>
      </c>
      <c r="O332" s="7">
        <v>0.5</v>
      </c>
      <c r="P332" s="7">
        <v>0</v>
      </c>
    </row>
    <row r="333" spans="1:16" x14ac:dyDescent="0.35">
      <c r="A333" s="1" t="s">
        <v>280</v>
      </c>
      <c r="B333" s="1" t="s">
        <v>477</v>
      </c>
      <c r="C333" s="1" t="s">
        <v>50</v>
      </c>
      <c r="D333" s="7">
        <v>21</v>
      </c>
      <c r="E333" s="7">
        <v>11</v>
      </c>
      <c r="F333" s="7">
        <v>2.9</v>
      </c>
      <c r="G333" s="7">
        <v>0.317</v>
      </c>
      <c r="H333" s="7">
        <v>0.2</v>
      </c>
      <c r="I333" s="7">
        <v>0.5</v>
      </c>
      <c r="J333" s="7">
        <v>0.81799999999999995</v>
      </c>
      <c r="K333" s="7">
        <v>2.6</v>
      </c>
      <c r="L333" s="7">
        <v>0.6</v>
      </c>
      <c r="M333" s="7">
        <v>0.1</v>
      </c>
      <c r="N333" s="7">
        <v>0.2</v>
      </c>
      <c r="O333" s="7">
        <v>0.6</v>
      </c>
      <c r="P333" s="7">
        <v>2.5</v>
      </c>
    </row>
    <row r="334" spans="1:16" x14ac:dyDescent="0.35">
      <c r="A334" s="1" t="s">
        <v>280</v>
      </c>
      <c r="B334" s="1" t="s">
        <v>15</v>
      </c>
      <c r="C334" s="1" t="s">
        <v>56</v>
      </c>
      <c r="D334" s="7">
        <v>12</v>
      </c>
      <c r="E334" s="7">
        <v>13.3</v>
      </c>
      <c r="F334" s="7">
        <v>4.4000000000000004</v>
      </c>
      <c r="G334" s="7">
        <v>0.34</v>
      </c>
      <c r="H334" s="7">
        <v>0.4</v>
      </c>
      <c r="I334" s="7">
        <v>0.8</v>
      </c>
      <c r="J334" s="7">
        <v>0.77800000000000002</v>
      </c>
      <c r="K334" s="7">
        <v>2.9</v>
      </c>
      <c r="L334" s="7">
        <v>0.8</v>
      </c>
      <c r="M334" s="7">
        <v>0</v>
      </c>
      <c r="N334" s="7">
        <v>0.3</v>
      </c>
      <c r="O334" s="7">
        <v>0.6</v>
      </c>
      <c r="P334" s="7">
        <v>4</v>
      </c>
    </row>
    <row r="335" spans="1:16" x14ac:dyDescent="0.35">
      <c r="A335" s="1" t="s">
        <v>280</v>
      </c>
      <c r="B335" s="1" t="s">
        <v>35</v>
      </c>
      <c r="C335" s="1" t="s">
        <v>60</v>
      </c>
      <c r="D335" s="7">
        <v>9</v>
      </c>
      <c r="E335" s="7">
        <v>7.9</v>
      </c>
      <c r="F335" s="7">
        <v>0.8</v>
      </c>
      <c r="G335" s="7">
        <v>0.14299999999999999</v>
      </c>
      <c r="H335" s="7">
        <v>0</v>
      </c>
      <c r="I335" s="7">
        <v>0.2</v>
      </c>
      <c r="J335" s="7">
        <v>1</v>
      </c>
      <c r="K335" s="7">
        <v>2.2000000000000002</v>
      </c>
      <c r="L335" s="7">
        <v>0.3</v>
      </c>
      <c r="M335" s="7">
        <v>0.2</v>
      </c>
      <c r="N335" s="7">
        <v>0.2</v>
      </c>
      <c r="O335" s="7">
        <v>0.7</v>
      </c>
      <c r="P335" s="7">
        <v>0.4</v>
      </c>
    </row>
    <row r="336" spans="1:16" x14ac:dyDescent="0.35">
      <c r="A336" s="1" t="s">
        <v>281</v>
      </c>
      <c r="B336" s="1" t="s">
        <v>35</v>
      </c>
      <c r="C336" s="1" t="s">
        <v>90</v>
      </c>
      <c r="D336" s="7">
        <v>10</v>
      </c>
      <c r="E336" s="7">
        <v>6.2</v>
      </c>
      <c r="F336" s="7">
        <v>2.1</v>
      </c>
      <c r="G336" s="7">
        <v>0.38100000000000001</v>
      </c>
      <c r="H336" s="7">
        <v>0.4</v>
      </c>
      <c r="I336" s="7">
        <v>0.3</v>
      </c>
      <c r="J336" s="7">
        <v>0</v>
      </c>
      <c r="K336" s="7">
        <v>1</v>
      </c>
      <c r="L336" s="7">
        <v>0.5</v>
      </c>
      <c r="M336" s="7">
        <v>0.2</v>
      </c>
      <c r="N336" s="7">
        <v>0</v>
      </c>
      <c r="O336" s="7">
        <v>0.2</v>
      </c>
      <c r="P336" s="7">
        <v>2</v>
      </c>
    </row>
    <row r="337" spans="1:16" x14ac:dyDescent="0.35">
      <c r="A337" s="1" t="s">
        <v>282</v>
      </c>
      <c r="B337" s="1" t="s">
        <v>18</v>
      </c>
      <c r="C337" s="1" t="s">
        <v>60</v>
      </c>
      <c r="D337" s="7">
        <v>66</v>
      </c>
      <c r="E337" s="7">
        <v>25.7</v>
      </c>
      <c r="F337" s="7">
        <v>7.1</v>
      </c>
      <c r="G337" s="7">
        <v>0.45900000000000002</v>
      </c>
      <c r="H337" s="7">
        <v>1.6</v>
      </c>
      <c r="I337" s="7">
        <v>1.2</v>
      </c>
      <c r="J337" s="7">
        <v>0.86299999999999999</v>
      </c>
      <c r="K337" s="7">
        <v>5.4</v>
      </c>
      <c r="L337" s="7">
        <v>1.2</v>
      </c>
      <c r="M337" s="7">
        <v>0.3</v>
      </c>
      <c r="N337" s="7">
        <v>1.2</v>
      </c>
      <c r="O337" s="7">
        <v>0.7</v>
      </c>
      <c r="P337" s="7">
        <v>9.1999999999999993</v>
      </c>
    </row>
    <row r="338" spans="1:16" x14ac:dyDescent="0.35">
      <c r="A338" s="1" t="s">
        <v>283</v>
      </c>
      <c r="B338" s="1" t="s">
        <v>47</v>
      </c>
      <c r="C338" s="1" t="s">
        <v>50</v>
      </c>
      <c r="D338" s="7">
        <v>25</v>
      </c>
      <c r="E338" s="7">
        <v>18.5</v>
      </c>
      <c r="F338" s="7">
        <v>6.7</v>
      </c>
      <c r="G338" s="7">
        <v>0.35299999999999998</v>
      </c>
      <c r="H338" s="7">
        <v>1.8</v>
      </c>
      <c r="I338" s="7">
        <v>1.4</v>
      </c>
      <c r="J338" s="7">
        <v>0.58799999999999997</v>
      </c>
      <c r="K338" s="7">
        <v>1.6</v>
      </c>
      <c r="L338" s="7">
        <v>2.8</v>
      </c>
      <c r="M338" s="7">
        <v>0.4</v>
      </c>
      <c r="N338" s="7">
        <v>0.1</v>
      </c>
      <c r="O338" s="7">
        <v>1.5</v>
      </c>
      <c r="P338" s="7">
        <v>7.3</v>
      </c>
    </row>
    <row r="339" spans="1:16" x14ac:dyDescent="0.35">
      <c r="A339" s="1" t="s">
        <v>283</v>
      </c>
      <c r="B339" s="1" t="s">
        <v>47</v>
      </c>
      <c r="C339" s="1" t="s">
        <v>137</v>
      </c>
      <c r="D339" s="7">
        <v>16</v>
      </c>
      <c r="E339" s="7">
        <v>15.1</v>
      </c>
      <c r="F339" s="7">
        <v>5.4</v>
      </c>
      <c r="G339" s="7">
        <v>0.32600000000000001</v>
      </c>
      <c r="H339" s="7">
        <v>1.2</v>
      </c>
      <c r="I339" s="7">
        <v>0.8</v>
      </c>
      <c r="J339" s="7">
        <v>0.308</v>
      </c>
      <c r="K339" s="7">
        <v>1.3</v>
      </c>
      <c r="L339" s="7">
        <v>1.9</v>
      </c>
      <c r="M339" s="7">
        <v>0.3</v>
      </c>
      <c r="N339" s="7">
        <v>0.1</v>
      </c>
      <c r="O339" s="7">
        <v>1</v>
      </c>
      <c r="P339" s="7">
        <v>4.9000000000000004</v>
      </c>
    </row>
    <row r="340" spans="1:16" x14ac:dyDescent="0.35">
      <c r="A340" s="1" t="s">
        <v>283</v>
      </c>
      <c r="B340" s="1" t="s">
        <v>47</v>
      </c>
      <c r="C340" s="1" t="s">
        <v>90</v>
      </c>
      <c r="D340" s="7">
        <v>9</v>
      </c>
      <c r="E340" s="7">
        <v>24.6</v>
      </c>
      <c r="F340" s="7">
        <v>9</v>
      </c>
      <c r="G340" s="7">
        <v>0.38300000000000001</v>
      </c>
      <c r="H340" s="7">
        <v>2.9</v>
      </c>
      <c r="I340" s="7">
        <v>2.2999999999999998</v>
      </c>
      <c r="J340" s="7">
        <v>0.76200000000000001</v>
      </c>
      <c r="K340" s="7">
        <v>2.2999999999999998</v>
      </c>
      <c r="L340" s="7">
        <v>4.2</v>
      </c>
      <c r="M340" s="7">
        <v>0.6</v>
      </c>
      <c r="N340" s="7">
        <v>0.1</v>
      </c>
      <c r="O340" s="7">
        <v>2.4</v>
      </c>
      <c r="P340" s="7">
        <v>11.6</v>
      </c>
    </row>
    <row r="341" spans="1:16" x14ac:dyDescent="0.35">
      <c r="A341" s="1" t="s">
        <v>284</v>
      </c>
      <c r="B341" s="1" t="s">
        <v>35</v>
      </c>
      <c r="C341" s="1" t="s">
        <v>32</v>
      </c>
      <c r="D341" s="7">
        <v>65</v>
      </c>
      <c r="E341" s="7">
        <v>17.899999999999999</v>
      </c>
      <c r="F341" s="7">
        <v>6.2</v>
      </c>
      <c r="G341" s="7">
        <v>0.35899999999999999</v>
      </c>
      <c r="H341" s="7">
        <v>1</v>
      </c>
      <c r="I341" s="7">
        <v>1.6</v>
      </c>
      <c r="J341" s="7">
        <v>0.65300000000000002</v>
      </c>
      <c r="K341" s="7">
        <v>2.8</v>
      </c>
      <c r="L341" s="7">
        <v>0.9</v>
      </c>
      <c r="M341" s="7">
        <v>0.4</v>
      </c>
      <c r="N341" s="7">
        <v>0.4</v>
      </c>
      <c r="O341" s="7">
        <v>0.7</v>
      </c>
      <c r="P341" s="7">
        <v>6.4</v>
      </c>
    </row>
    <row r="342" spans="1:16" x14ac:dyDescent="0.35">
      <c r="A342" s="1" t="s">
        <v>285</v>
      </c>
      <c r="B342" s="1" t="s">
        <v>25</v>
      </c>
      <c r="C342" s="1" t="s">
        <v>28</v>
      </c>
      <c r="D342" s="7">
        <v>15</v>
      </c>
      <c r="E342" s="7">
        <v>11.1</v>
      </c>
      <c r="F342" s="7">
        <v>2.2999999999999998</v>
      </c>
      <c r="G342" s="7">
        <v>0.65700000000000003</v>
      </c>
      <c r="H342" s="7">
        <v>0.3</v>
      </c>
      <c r="I342" s="7">
        <v>0.1</v>
      </c>
      <c r="J342" s="7">
        <v>0.5</v>
      </c>
      <c r="K342" s="7">
        <v>3.1</v>
      </c>
      <c r="L342" s="7">
        <v>1.4</v>
      </c>
      <c r="M342" s="7">
        <v>0.5</v>
      </c>
      <c r="N342" s="7">
        <v>0.2</v>
      </c>
      <c r="O342" s="7">
        <v>0.4</v>
      </c>
      <c r="P342" s="7">
        <v>3.4</v>
      </c>
    </row>
    <row r="343" spans="1:16" x14ac:dyDescent="0.35">
      <c r="A343" s="1" t="s">
        <v>286</v>
      </c>
      <c r="B343" s="1" t="s">
        <v>25</v>
      </c>
      <c r="C343" s="1" t="s">
        <v>88</v>
      </c>
      <c r="D343" s="7">
        <v>64</v>
      </c>
      <c r="E343" s="7">
        <v>21.8</v>
      </c>
      <c r="F343" s="7">
        <v>8</v>
      </c>
      <c r="G343" s="7">
        <v>0.432</v>
      </c>
      <c r="H343" s="7">
        <v>2</v>
      </c>
      <c r="I343" s="7">
        <v>1.1000000000000001</v>
      </c>
      <c r="J343" s="7">
        <v>0.73599999999999999</v>
      </c>
      <c r="K343" s="7">
        <v>2.2999999999999998</v>
      </c>
      <c r="L343" s="7">
        <v>1.1000000000000001</v>
      </c>
      <c r="M343" s="7">
        <v>0.6</v>
      </c>
      <c r="N343" s="7">
        <v>0.2</v>
      </c>
      <c r="O343" s="7">
        <v>0.8</v>
      </c>
      <c r="P343" s="7">
        <v>9.6999999999999993</v>
      </c>
    </row>
    <row r="344" spans="1:16" x14ac:dyDescent="0.35">
      <c r="A344" s="1" t="s">
        <v>287</v>
      </c>
      <c r="B344" s="1" t="s">
        <v>18</v>
      </c>
      <c r="C344" s="1" t="s">
        <v>48</v>
      </c>
      <c r="D344" s="7">
        <v>36</v>
      </c>
      <c r="E344" s="7">
        <v>15.5</v>
      </c>
      <c r="F344" s="7">
        <v>5.2</v>
      </c>
      <c r="G344" s="7">
        <v>0.439</v>
      </c>
      <c r="H344" s="7">
        <v>0.9</v>
      </c>
      <c r="I344" s="7">
        <v>0.8</v>
      </c>
      <c r="J344" s="7">
        <v>0.71399999999999997</v>
      </c>
      <c r="K344" s="7">
        <v>2.2999999999999998</v>
      </c>
      <c r="L344" s="7">
        <v>0.9</v>
      </c>
      <c r="M344" s="7">
        <v>0.3</v>
      </c>
      <c r="N344" s="7">
        <v>0.7</v>
      </c>
      <c r="O344" s="7">
        <v>0.4</v>
      </c>
      <c r="P344" s="7">
        <v>6</v>
      </c>
    </row>
    <row r="345" spans="1:16" x14ac:dyDescent="0.35">
      <c r="A345" s="1" t="s">
        <v>288</v>
      </c>
      <c r="B345" s="1" t="s">
        <v>35</v>
      </c>
      <c r="C345" s="1" t="s">
        <v>39</v>
      </c>
      <c r="D345" s="7">
        <v>50</v>
      </c>
      <c r="E345" s="7">
        <v>16.7</v>
      </c>
      <c r="F345" s="7">
        <v>5.2</v>
      </c>
      <c r="G345" s="7">
        <v>0.42899999999999999</v>
      </c>
      <c r="H345" s="7">
        <v>1.7</v>
      </c>
      <c r="I345" s="7">
        <v>0.7</v>
      </c>
      <c r="J345" s="7">
        <v>0.82399999999999995</v>
      </c>
      <c r="K345" s="7">
        <v>2.1</v>
      </c>
      <c r="L345" s="7">
        <v>1.2</v>
      </c>
      <c r="M345" s="7">
        <v>0.4</v>
      </c>
      <c r="N345" s="7">
        <v>0.2</v>
      </c>
      <c r="O345" s="7">
        <v>0.8</v>
      </c>
      <c r="P345" s="7">
        <v>6.7</v>
      </c>
    </row>
    <row r="346" spans="1:16" x14ac:dyDescent="0.35">
      <c r="A346" s="1" t="s">
        <v>289</v>
      </c>
      <c r="B346" s="1" t="s">
        <v>15</v>
      </c>
      <c r="C346" s="1" t="s">
        <v>30</v>
      </c>
      <c r="D346" s="7">
        <v>39</v>
      </c>
      <c r="E346" s="7">
        <v>12.8</v>
      </c>
      <c r="F346" s="7">
        <v>3.4</v>
      </c>
      <c r="G346" s="7">
        <v>0.44800000000000001</v>
      </c>
      <c r="H346" s="7">
        <v>0.6</v>
      </c>
      <c r="I346" s="7">
        <v>0.7</v>
      </c>
      <c r="J346" s="7">
        <v>0.60699999999999998</v>
      </c>
      <c r="K346" s="7">
        <v>2.5</v>
      </c>
      <c r="L346" s="7">
        <v>0.8</v>
      </c>
      <c r="M346" s="7">
        <v>0.4</v>
      </c>
      <c r="N346" s="7">
        <v>0.1</v>
      </c>
      <c r="O346" s="7">
        <v>0.9</v>
      </c>
      <c r="P346" s="7">
        <v>4.2</v>
      </c>
    </row>
    <row r="347" spans="1:16" x14ac:dyDescent="0.35">
      <c r="A347" s="1" t="s">
        <v>290</v>
      </c>
      <c r="B347" s="1" t="s">
        <v>15</v>
      </c>
      <c r="C347" s="1" t="s">
        <v>41</v>
      </c>
      <c r="D347" s="7">
        <v>54</v>
      </c>
      <c r="E347" s="7">
        <v>24.6</v>
      </c>
      <c r="F347" s="7">
        <v>10.9</v>
      </c>
      <c r="G347" s="7">
        <v>0.432</v>
      </c>
      <c r="H347" s="7">
        <v>1.3</v>
      </c>
      <c r="I347" s="7">
        <v>2.4</v>
      </c>
      <c r="J347" s="7">
        <v>0.73799999999999999</v>
      </c>
      <c r="K347" s="7">
        <v>4.5</v>
      </c>
      <c r="L347" s="7">
        <v>1.3</v>
      </c>
      <c r="M347" s="7">
        <v>0.4</v>
      </c>
      <c r="N347" s="7">
        <v>0.4</v>
      </c>
      <c r="O347" s="7">
        <v>1.6</v>
      </c>
      <c r="P347" s="7">
        <v>12.5</v>
      </c>
    </row>
    <row r="348" spans="1:16" x14ac:dyDescent="0.35">
      <c r="A348" s="1" t="s">
        <v>661</v>
      </c>
      <c r="B348" s="1" t="s">
        <v>18</v>
      </c>
      <c r="C348" s="1" t="s">
        <v>44</v>
      </c>
      <c r="D348" s="7">
        <v>33</v>
      </c>
      <c r="E348" s="7">
        <v>17.2</v>
      </c>
      <c r="F348" s="7">
        <v>4.5</v>
      </c>
      <c r="G348" s="7">
        <v>0.55100000000000005</v>
      </c>
      <c r="H348" s="7">
        <v>0.1</v>
      </c>
      <c r="I348" s="7">
        <v>1</v>
      </c>
      <c r="J348" s="7">
        <v>0.75800000000000001</v>
      </c>
      <c r="K348" s="7">
        <v>5.0999999999999996</v>
      </c>
      <c r="L348" s="7">
        <v>1.3</v>
      </c>
      <c r="M348" s="7">
        <v>0.2</v>
      </c>
      <c r="N348" s="7">
        <v>0.9</v>
      </c>
      <c r="O348" s="7">
        <v>0.9</v>
      </c>
      <c r="P348" s="7">
        <v>5.8</v>
      </c>
    </row>
    <row r="349" spans="1:16" x14ac:dyDescent="0.35">
      <c r="A349" s="1" t="s">
        <v>291</v>
      </c>
      <c r="B349" s="1" t="s">
        <v>25</v>
      </c>
      <c r="C349" s="1" t="s">
        <v>83</v>
      </c>
      <c r="D349" s="7">
        <v>46</v>
      </c>
      <c r="E349" s="7">
        <v>28.1</v>
      </c>
      <c r="F349" s="7">
        <v>10.4</v>
      </c>
      <c r="G349" s="7">
        <v>0.45100000000000001</v>
      </c>
      <c r="H349" s="7">
        <v>1.2</v>
      </c>
      <c r="I349" s="7">
        <v>2.4</v>
      </c>
      <c r="J349" s="7">
        <v>0.83599999999999997</v>
      </c>
      <c r="K349" s="7">
        <v>4.3</v>
      </c>
      <c r="L349" s="7">
        <v>2.1</v>
      </c>
      <c r="M349" s="7">
        <v>1.2</v>
      </c>
      <c r="N349" s="7">
        <v>0.5</v>
      </c>
      <c r="O349" s="7">
        <v>1.1000000000000001</v>
      </c>
      <c r="P349" s="7">
        <v>12.5</v>
      </c>
    </row>
    <row r="350" spans="1:16" x14ac:dyDescent="0.35">
      <c r="A350" s="1" t="s">
        <v>292</v>
      </c>
      <c r="B350" s="1" t="s">
        <v>25</v>
      </c>
      <c r="C350" s="1" t="s">
        <v>109</v>
      </c>
      <c r="D350" s="7">
        <v>27</v>
      </c>
      <c r="E350" s="7">
        <v>11</v>
      </c>
      <c r="F350" s="7">
        <v>2.4</v>
      </c>
      <c r="G350" s="7">
        <v>0.375</v>
      </c>
      <c r="H350" s="7">
        <v>0.2</v>
      </c>
      <c r="I350" s="7">
        <v>0.9</v>
      </c>
      <c r="J350" s="7">
        <v>0.69599999999999995</v>
      </c>
      <c r="K350" s="7">
        <v>1.2</v>
      </c>
      <c r="L350" s="7">
        <v>0.2</v>
      </c>
      <c r="M350" s="7">
        <v>0.3</v>
      </c>
      <c r="N350" s="7">
        <v>0.2</v>
      </c>
      <c r="O350" s="7">
        <v>0.3</v>
      </c>
      <c r="P350" s="7">
        <v>2.6</v>
      </c>
    </row>
    <row r="351" spans="1:16" x14ac:dyDescent="0.35">
      <c r="A351" s="1" t="s">
        <v>293</v>
      </c>
      <c r="B351" s="1" t="s">
        <v>25</v>
      </c>
      <c r="C351" s="1" t="s">
        <v>48</v>
      </c>
      <c r="D351" s="7">
        <v>60</v>
      </c>
      <c r="E351" s="7">
        <v>34.799999999999997</v>
      </c>
      <c r="F351" s="7">
        <v>20</v>
      </c>
      <c r="G351" s="7">
        <v>0.45</v>
      </c>
      <c r="H351" s="7">
        <v>3.1</v>
      </c>
      <c r="I351" s="7">
        <v>5.6</v>
      </c>
      <c r="J351" s="7">
        <v>0.80200000000000005</v>
      </c>
      <c r="K351" s="7">
        <v>4.8</v>
      </c>
      <c r="L351" s="7">
        <v>4.2</v>
      </c>
      <c r="M351" s="7">
        <v>1.5</v>
      </c>
      <c r="N351" s="7">
        <v>0.5</v>
      </c>
      <c r="O351" s="7">
        <v>3.4</v>
      </c>
      <c r="P351" s="7">
        <v>25.5</v>
      </c>
    </row>
    <row r="352" spans="1:16" x14ac:dyDescent="0.35">
      <c r="A352" s="1" t="s">
        <v>473</v>
      </c>
      <c r="B352" s="1" t="s">
        <v>35</v>
      </c>
      <c r="C352" s="1" t="s">
        <v>34</v>
      </c>
      <c r="D352" s="7">
        <v>5</v>
      </c>
      <c r="E352" s="7">
        <v>1.8</v>
      </c>
      <c r="F352" s="7">
        <v>0.6</v>
      </c>
      <c r="G352" s="7">
        <v>0</v>
      </c>
      <c r="H352" s="7">
        <v>0</v>
      </c>
      <c r="I352" s="7">
        <v>0.4</v>
      </c>
      <c r="J352" s="7">
        <v>0</v>
      </c>
      <c r="K352" s="7">
        <v>0.2</v>
      </c>
      <c r="L352" s="7">
        <v>0</v>
      </c>
      <c r="M352" s="7">
        <v>0</v>
      </c>
      <c r="N352" s="7">
        <v>0</v>
      </c>
      <c r="O352" s="7">
        <v>0</v>
      </c>
      <c r="P352" s="7">
        <v>0</v>
      </c>
    </row>
    <row r="353" spans="1:16" x14ac:dyDescent="0.35">
      <c r="A353" s="1" t="s">
        <v>294</v>
      </c>
      <c r="B353" s="1" t="s">
        <v>15</v>
      </c>
      <c r="C353" s="1" t="s">
        <v>65</v>
      </c>
      <c r="D353" s="7">
        <v>23</v>
      </c>
      <c r="E353" s="7">
        <v>22</v>
      </c>
      <c r="F353" s="7">
        <v>7.8</v>
      </c>
      <c r="G353" s="7">
        <v>0.45300000000000001</v>
      </c>
      <c r="H353" s="7">
        <v>1</v>
      </c>
      <c r="I353" s="7">
        <v>1.4</v>
      </c>
      <c r="J353" s="7">
        <v>0.75</v>
      </c>
      <c r="K353" s="7">
        <v>2.5</v>
      </c>
      <c r="L353" s="7">
        <v>0.7</v>
      </c>
      <c r="M353" s="7">
        <v>0.7</v>
      </c>
      <c r="N353" s="7">
        <v>0.4</v>
      </c>
      <c r="O353" s="7">
        <v>1</v>
      </c>
      <c r="P353" s="7">
        <v>9.1</v>
      </c>
    </row>
    <row r="354" spans="1:16" x14ac:dyDescent="0.35">
      <c r="A354" s="1" t="s">
        <v>295</v>
      </c>
      <c r="B354" s="1" t="s">
        <v>15</v>
      </c>
      <c r="C354" s="1" t="s">
        <v>83</v>
      </c>
      <c r="D354" s="7">
        <v>25</v>
      </c>
      <c r="E354" s="7">
        <v>7.7</v>
      </c>
      <c r="F354" s="7">
        <v>2.8</v>
      </c>
      <c r="G354" s="7">
        <v>0.435</v>
      </c>
      <c r="H354" s="7">
        <v>0.2</v>
      </c>
      <c r="I354" s="7">
        <v>0.5</v>
      </c>
      <c r="J354" s="7">
        <v>0.58299999999999996</v>
      </c>
      <c r="K354" s="7">
        <v>2.6</v>
      </c>
      <c r="L354" s="7">
        <v>0.2</v>
      </c>
      <c r="M354" s="7">
        <v>0.3</v>
      </c>
      <c r="N354" s="7">
        <v>0.1</v>
      </c>
      <c r="O354" s="7">
        <v>0.3</v>
      </c>
      <c r="P354" s="7">
        <v>2.9</v>
      </c>
    </row>
    <row r="355" spans="1:16" x14ac:dyDescent="0.35">
      <c r="A355" s="1" t="s">
        <v>296</v>
      </c>
      <c r="B355" s="1" t="s">
        <v>47</v>
      </c>
      <c r="C355" s="1" t="s">
        <v>54</v>
      </c>
      <c r="D355" s="7">
        <v>4</v>
      </c>
      <c r="E355" s="7">
        <v>6.5</v>
      </c>
      <c r="F355" s="7">
        <v>2.5</v>
      </c>
      <c r="G355" s="7">
        <v>0.4</v>
      </c>
      <c r="H355" s="7">
        <v>0</v>
      </c>
      <c r="I355" s="7">
        <v>0.5</v>
      </c>
      <c r="J355" s="7">
        <v>1</v>
      </c>
      <c r="K355" s="7">
        <v>0</v>
      </c>
      <c r="L355" s="7">
        <v>0.5</v>
      </c>
      <c r="M355" s="7">
        <v>0</v>
      </c>
      <c r="N355" s="7">
        <v>0</v>
      </c>
      <c r="O355" s="7">
        <v>0.3</v>
      </c>
      <c r="P355" s="7">
        <v>2.5</v>
      </c>
    </row>
    <row r="356" spans="1:16" x14ac:dyDescent="0.35">
      <c r="A356" s="1" t="s">
        <v>297</v>
      </c>
      <c r="B356" s="1" t="s">
        <v>25</v>
      </c>
      <c r="C356" s="1" t="s">
        <v>60</v>
      </c>
      <c r="D356" s="7">
        <v>24</v>
      </c>
      <c r="E356" s="7">
        <v>14.4</v>
      </c>
      <c r="F356" s="7">
        <v>3.4</v>
      </c>
      <c r="G356" s="7">
        <v>0.48799999999999999</v>
      </c>
      <c r="H356" s="7">
        <v>0.9</v>
      </c>
      <c r="I356" s="7">
        <v>0.3</v>
      </c>
      <c r="J356" s="7">
        <v>0.85699999999999998</v>
      </c>
      <c r="K356" s="7">
        <v>1.3</v>
      </c>
      <c r="L356" s="7">
        <v>0.5</v>
      </c>
      <c r="M356" s="7">
        <v>0.8</v>
      </c>
      <c r="N356" s="7">
        <v>0.3</v>
      </c>
      <c r="O356" s="7">
        <v>0.5</v>
      </c>
      <c r="P356" s="7">
        <v>4.5</v>
      </c>
    </row>
    <row r="357" spans="1:16" x14ac:dyDescent="0.35">
      <c r="A357" s="1" t="s">
        <v>298</v>
      </c>
      <c r="B357" s="1" t="s">
        <v>25</v>
      </c>
      <c r="C357" s="1" t="s">
        <v>96</v>
      </c>
      <c r="D357" s="7">
        <v>49</v>
      </c>
      <c r="E357" s="7">
        <v>29</v>
      </c>
      <c r="F357" s="7">
        <v>10.4</v>
      </c>
      <c r="G357" s="7">
        <v>0.41699999999999998</v>
      </c>
      <c r="H357" s="7">
        <v>1.7</v>
      </c>
      <c r="I357" s="7">
        <v>2.6</v>
      </c>
      <c r="J357" s="7">
        <v>0.873</v>
      </c>
      <c r="K357" s="7">
        <v>4.9000000000000004</v>
      </c>
      <c r="L357" s="7">
        <v>2.7</v>
      </c>
      <c r="M357" s="7">
        <v>1</v>
      </c>
      <c r="N357" s="7">
        <v>0.1</v>
      </c>
      <c r="O357" s="7">
        <v>1.4</v>
      </c>
      <c r="P357" s="7">
        <v>12.7</v>
      </c>
    </row>
    <row r="358" spans="1:16" x14ac:dyDescent="0.35">
      <c r="A358" s="1" t="s">
        <v>299</v>
      </c>
      <c r="B358" s="1" t="s">
        <v>18</v>
      </c>
      <c r="C358" s="1" t="s">
        <v>50</v>
      </c>
      <c r="D358" s="7">
        <v>49</v>
      </c>
      <c r="E358" s="7">
        <v>18.3</v>
      </c>
      <c r="F358" s="7">
        <v>6.2</v>
      </c>
      <c r="G358" s="7">
        <v>0.55600000000000005</v>
      </c>
      <c r="H358" s="7">
        <v>0.3</v>
      </c>
      <c r="I358" s="7">
        <v>1.9</v>
      </c>
      <c r="J358" s="7">
        <v>0.63700000000000001</v>
      </c>
      <c r="K358" s="7">
        <v>6</v>
      </c>
      <c r="L358" s="7">
        <v>1</v>
      </c>
      <c r="M358" s="7">
        <v>0.4</v>
      </c>
      <c r="N358" s="7">
        <v>0.9</v>
      </c>
      <c r="O358" s="7">
        <v>1</v>
      </c>
      <c r="P358" s="7">
        <v>8.3000000000000007</v>
      </c>
    </row>
    <row r="359" spans="1:16" x14ac:dyDescent="0.35">
      <c r="A359" s="1" t="s">
        <v>299</v>
      </c>
      <c r="B359" s="1" t="s">
        <v>18</v>
      </c>
      <c r="C359" s="1" t="s">
        <v>77</v>
      </c>
      <c r="D359" s="7">
        <v>40</v>
      </c>
      <c r="E359" s="7">
        <v>18.600000000000001</v>
      </c>
      <c r="F359" s="7">
        <v>6.5</v>
      </c>
      <c r="G359" s="7">
        <v>0.54600000000000004</v>
      </c>
      <c r="H359" s="7">
        <v>0.4</v>
      </c>
      <c r="I359" s="7">
        <v>2</v>
      </c>
      <c r="J359" s="7">
        <v>0.63</v>
      </c>
      <c r="K359" s="7">
        <v>5.8</v>
      </c>
      <c r="L359" s="7">
        <v>1.1000000000000001</v>
      </c>
      <c r="M359" s="7">
        <v>0.5</v>
      </c>
      <c r="N359" s="7">
        <v>0.8</v>
      </c>
      <c r="O359" s="7">
        <v>1</v>
      </c>
      <c r="P359" s="7">
        <v>8.6999999999999993</v>
      </c>
    </row>
    <row r="360" spans="1:16" x14ac:dyDescent="0.35">
      <c r="A360" s="1" t="s">
        <v>299</v>
      </c>
      <c r="B360" s="1" t="s">
        <v>18</v>
      </c>
      <c r="C360" s="1" t="s">
        <v>51</v>
      </c>
      <c r="D360" s="7">
        <v>9</v>
      </c>
      <c r="E360" s="7">
        <v>16.7</v>
      </c>
      <c r="F360" s="7">
        <v>4.7</v>
      </c>
      <c r="G360" s="7">
        <v>0.61899999999999999</v>
      </c>
      <c r="H360" s="7">
        <v>0</v>
      </c>
      <c r="I360" s="7">
        <v>1.1000000000000001</v>
      </c>
      <c r="J360" s="7">
        <v>0.7</v>
      </c>
      <c r="K360" s="7">
        <v>7.1</v>
      </c>
      <c r="L360" s="7">
        <v>0.6</v>
      </c>
      <c r="M360" s="7">
        <v>0.2</v>
      </c>
      <c r="N360" s="7">
        <v>1.4</v>
      </c>
      <c r="O360" s="7">
        <v>1.2</v>
      </c>
      <c r="P360" s="7">
        <v>6.6</v>
      </c>
    </row>
    <row r="361" spans="1:16" x14ac:dyDescent="0.35">
      <c r="A361" s="1" t="s">
        <v>300</v>
      </c>
      <c r="B361" s="1" t="s">
        <v>35</v>
      </c>
      <c r="C361" s="1" t="s">
        <v>80</v>
      </c>
      <c r="D361" s="7">
        <v>51</v>
      </c>
      <c r="E361" s="7">
        <v>32.200000000000003</v>
      </c>
      <c r="F361" s="7">
        <v>19.899999999999999</v>
      </c>
      <c r="G361" s="7">
        <v>0.46899999999999997</v>
      </c>
      <c r="H361" s="7">
        <v>2.1</v>
      </c>
      <c r="I361" s="7">
        <v>6.9</v>
      </c>
      <c r="J361" s="7">
        <v>0.88900000000000001</v>
      </c>
      <c r="K361" s="7">
        <v>7.3</v>
      </c>
      <c r="L361" s="7">
        <v>5</v>
      </c>
      <c r="M361" s="7">
        <v>1.8</v>
      </c>
      <c r="N361" s="7">
        <v>0.6</v>
      </c>
      <c r="O361" s="7">
        <v>2.7</v>
      </c>
      <c r="P361" s="7">
        <v>26.9</v>
      </c>
    </row>
    <row r="362" spans="1:16" x14ac:dyDescent="0.35">
      <c r="A362" s="1" t="s">
        <v>301</v>
      </c>
      <c r="B362" s="1" t="s">
        <v>18</v>
      </c>
      <c r="C362" s="1" t="s">
        <v>21</v>
      </c>
      <c r="D362" s="7">
        <v>49</v>
      </c>
      <c r="E362" s="7">
        <v>20.100000000000001</v>
      </c>
      <c r="F362" s="7">
        <v>4.5999999999999996</v>
      </c>
      <c r="G362" s="7">
        <v>0.52</v>
      </c>
      <c r="H362" s="7">
        <v>1</v>
      </c>
      <c r="I362" s="7">
        <v>0.5</v>
      </c>
      <c r="J362" s="7">
        <v>0.65400000000000003</v>
      </c>
      <c r="K362" s="7">
        <v>5.0999999999999996</v>
      </c>
      <c r="L362" s="7">
        <v>1.1000000000000001</v>
      </c>
      <c r="M362" s="7">
        <v>0.3</v>
      </c>
      <c r="N362" s="7">
        <v>0.3</v>
      </c>
      <c r="O362" s="7">
        <v>0.7</v>
      </c>
      <c r="P362" s="7">
        <v>6.1</v>
      </c>
    </row>
    <row r="363" spans="1:16" x14ac:dyDescent="0.35">
      <c r="A363" s="1" t="s">
        <v>302</v>
      </c>
      <c r="B363" s="1" t="s">
        <v>25</v>
      </c>
      <c r="C363" s="1" t="s">
        <v>30</v>
      </c>
      <c r="D363" s="7">
        <v>39</v>
      </c>
      <c r="E363" s="7">
        <v>29</v>
      </c>
      <c r="F363" s="7">
        <v>15.6</v>
      </c>
      <c r="G363" s="7">
        <v>0.41399999999999998</v>
      </c>
      <c r="H363" s="7">
        <v>1.8</v>
      </c>
      <c r="I363" s="7">
        <v>4.0999999999999996</v>
      </c>
      <c r="J363" s="7">
        <v>0.72</v>
      </c>
      <c r="K363" s="7">
        <v>4.0999999999999996</v>
      </c>
      <c r="L363" s="7">
        <v>4.0999999999999996</v>
      </c>
      <c r="M363" s="7">
        <v>1.1000000000000001</v>
      </c>
      <c r="N363" s="7">
        <v>0.2</v>
      </c>
      <c r="O363" s="7">
        <v>2.5</v>
      </c>
      <c r="P363" s="7">
        <v>17.7</v>
      </c>
    </row>
    <row r="364" spans="1:16" x14ac:dyDescent="0.35">
      <c r="A364" s="1" t="s">
        <v>303</v>
      </c>
      <c r="B364" s="1" t="s">
        <v>47</v>
      </c>
      <c r="C364" s="1" t="s">
        <v>44</v>
      </c>
      <c r="D364" s="7">
        <v>58</v>
      </c>
      <c r="E364" s="7">
        <v>36.9</v>
      </c>
      <c r="F364" s="7">
        <v>20</v>
      </c>
      <c r="G364" s="7">
        <v>0.45700000000000002</v>
      </c>
      <c r="H364" s="7">
        <v>3.9</v>
      </c>
      <c r="I364" s="7">
        <v>7.6</v>
      </c>
      <c r="J364" s="7">
        <v>0.88800000000000001</v>
      </c>
      <c r="K364" s="7">
        <v>4.3</v>
      </c>
      <c r="L364" s="7">
        <v>7.8</v>
      </c>
      <c r="M364" s="7">
        <v>1</v>
      </c>
      <c r="N364" s="7">
        <v>0.4</v>
      </c>
      <c r="O364" s="7">
        <v>2.9</v>
      </c>
      <c r="P364" s="7">
        <v>28.9</v>
      </c>
    </row>
    <row r="365" spans="1:16" x14ac:dyDescent="0.35">
      <c r="A365" s="1" t="s">
        <v>304</v>
      </c>
      <c r="B365" s="1" t="s">
        <v>15</v>
      </c>
      <c r="C365" s="1" t="s">
        <v>44</v>
      </c>
      <c r="D365" s="7">
        <v>48</v>
      </c>
      <c r="E365" s="7">
        <v>11.9</v>
      </c>
      <c r="F365" s="7">
        <v>3.1</v>
      </c>
      <c r="G365" s="7">
        <v>0.43</v>
      </c>
      <c r="H365" s="7">
        <v>0.3</v>
      </c>
      <c r="I365" s="7">
        <v>0.9</v>
      </c>
      <c r="J365" s="7">
        <v>0.63600000000000001</v>
      </c>
      <c r="K365" s="7">
        <v>2.2999999999999998</v>
      </c>
      <c r="L365" s="7">
        <v>0.5</v>
      </c>
      <c r="M365" s="7">
        <v>0.3</v>
      </c>
      <c r="N365" s="7">
        <v>0.3</v>
      </c>
      <c r="O365" s="7">
        <v>0.3</v>
      </c>
      <c r="P365" s="7">
        <v>3.6</v>
      </c>
    </row>
    <row r="366" spans="1:16" x14ac:dyDescent="0.35">
      <c r="A366" s="1" t="s">
        <v>305</v>
      </c>
      <c r="B366" s="1" t="s">
        <v>18</v>
      </c>
      <c r="C366" s="1" t="s">
        <v>96</v>
      </c>
      <c r="D366" s="7">
        <v>20</v>
      </c>
      <c r="E366" s="7">
        <v>13.1</v>
      </c>
      <c r="F366" s="7">
        <v>4</v>
      </c>
      <c r="G366" s="7">
        <v>0.36699999999999999</v>
      </c>
      <c r="H366" s="7">
        <v>0.1</v>
      </c>
      <c r="I366" s="7">
        <v>0.6</v>
      </c>
      <c r="J366" s="7">
        <v>0.75</v>
      </c>
      <c r="K366" s="7">
        <v>3.3</v>
      </c>
      <c r="L366" s="7">
        <v>1</v>
      </c>
      <c r="M366" s="7">
        <v>0.6</v>
      </c>
      <c r="N366" s="7">
        <v>0.3</v>
      </c>
      <c r="O366" s="7">
        <v>0.6</v>
      </c>
      <c r="P366" s="7">
        <v>3.4</v>
      </c>
    </row>
    <row r="367" spans="1:16" x14ac:dyDescent="0.35">
      <c r="A367" s="1" t="s">
        <v>306</v>
      </c>
      <c r="B367" s="1" t="s">
        <v>18</v>
      </c>
      <c r="C367" s="1" t="s">
        <v>39</v>
      </c>
      <c r="D367" s="7">
        <v>61</v>
      </c>
      <c r="E367" s="7">
        <v>26.6</v>
      </c>
      <c r="F367" s="7">
        <v>9.4</v>
      </c>
      <c r="G367" s="7">
        <v>0.42699999999999999</v>
      </c>
      <c r="H367" s="7">
        <v>1.4</v>
      </c>
      <c r="I367" s="7">
        <v>2</v>
      </c>
      <c r="J367" s="7">
        <v>0.81</v>
      </c>
      <c r="K367" s="7">
        <v>4.5</v>
      </c>
      <c r="L367" s="7">
        <v>1.6</v>
      </c>
      <c r="M367" s="7">
        <v>0.7</v>
      </c>
      <c r="N367" s="7">
        <v>2.4</v>
      </c>
      <c r="O367" s="7">
        <v>1</v>
      </c>
      <c r="P367" s="7">
        <v>11</v>
      </c>
    </row>
    <row r="368" spans="1:16" x14ac:dyDescent="0.35">
      <c r="A368" s="1" t="s">
        <v>307</v>
      </c>
      <c r="B368" s="1" t="s">
        <v>18</v>
      </c>
      <c r="C368" s="1" t="s">
        <v>39</v>
      </c>
      <c r="D368" s="7">
        <v>60</v>
      </c>
      <c r="E368" s="7">
        <v>14.4</v>
      </c>
      <c r="F368" s="7">
        <v>4.5999999999999996</v>
      </c>
      <c r="G368" s="7">
        <v>0.502</v>
      </c>
      <c r="H368" s="7">
        <v>0.6</v>
      </c>
      <c r="I368" s="7">
        <v>0.7</v>
      </c>
      <c r="J368" s="7">
        <v>0.53500000000000003</v>
      </c>
      <c r="K368" s="7">
        <v>2.4</v>
      </c>
      <c r="L368" s="7">
        <v>0.7</v>
      </c>
      <c r="M368" s="7">
        <v>0.2</v>
      </c>
      <c r="N368" s="7">
        <v>0.7</v>
      </c>
      <c r="O368" s="7">
        <v>0.9</v>
      </c>
      <c r="P368" s="7">
        <v>5.5</v>
      </c>
    </row>
    <row r="369" spans="1:16" x14ac:dyDescent="0.35">
      <c r="A369" s="1" t="s">
        <v>308</v>
      </c>
      <c r="B369" s="1" t="s">
        <v>15</v>
      </c>
      <c r="C369" s="1" t="s">
        <v>137</v>
      </c>
      <c r="D369" s="7">
        <v>56</v>
      </c>
      <c r="E369" s="7">
        <v>31.8</v>
      </c>
      <c r="F369" s="7">
        <v>13</v>
      </c>
      <c r="G369" s="7">
        <v>0.45</v>
      </c>
      <c r="H369" s="7">
        <v>2.6</v>
      </c>
      <c r="I369" s="7">
        <v>3.9</v>
      </c>
      <c r="J369" s="7">
        <v>0.85399999999999998</v>
      </c>
      <c r="K369" s="7">
        <v>9.8000000000000007</v>
      </c>
      <c r="L369" s="7">
        <v>3.2</v>
      </c>
      <c r="M369" s="7">
        <v>0.6</v>
      </c>
      <c r="N369" s="7">
        <v>0.3</v>
      </c>
      <c r="O369" s="7">
        <v>2.5</v>
      </c>
      <c r="P369" s="7">
        <v>17.600000000000001</v>
      </c>
    </row>
    <row r="370" spans="1:16" x14ac:dyDescent="0.35">
      <c r="A370" s="1" t="s">
        <v>309</v>
      </c>
      <c r="B370" s="1" t="s">
        <v>47</v>
      </c>
      <c r="C370" s="1" t="s">
        <v>45</v>
      </c>
      <c r="D370" s="7">
        <v>52</v>
      </c>
      <c r="E370" s="7">
        <v>36.6</v>
      </c>
      <c r="F370" s="7">
        <v>14.3</v>
      </c>
      <c r="G370" s="7">
        <v>0.41699999999999998</v>
      </c>
      <c r="H370" s="7">
        <v>2.9</v>
      </c>
      <c r="I370" s="7">
        <v>5.7</v>
      </c>
      <c r="J370" s="7">
        <v>0.86099999999999999</v>
      </c>
      <c r="K370" s="7">
        <v>4.8</v>
      </c>
      <c r="L370" s="7">
        <v>7.7</v>
      </c>
      <c r="M370" s="7">
        <v>1.3</v>
      </c>
      <c r="N370" s="7">
        <v>0.4</v>
      </c>
      <c r="O370" s="7">
        <v>3</v>
      </c>
      <c r="P370" s="7">
        <v>19.7</v>
      </c>
    </row>
    <row r="371" spans="1:16" x14ac:dyDescent="0.35">
      <c r="A371" s="1" t="s">
        <v>662</v>
      </c>
      <c r="B371" s="1" t="s">
        <v>25</v>
      </c>
      <c r="C371" s="1" t="s">
        <v>30</v>
      </c>
      <c r="D371" s="7">
        <v>39</v>
      </c>
      <c r="E371" s="7">
        <v>17.2</v>
      </c>
      <c r="F371" s="7">
        <v>4.9000000000000004</v>
      </c>
      <c r="G371" s="7">
        <v>0.40600000000000003</v>
      </c>
      <c r="H371" s="7">
        <v>1</v>
      </c>
      <c r="I371" s="7">
        <v>1.6</v>
      </c>
      <c r="J371" s="7">
        <v>0.83899999999999997</v>
      </c>
      <c r="K371" s="7">
        <v>2.2999999999999998</v>
      </c>
      <c r="L371" s="7">
        <v>0.6</v>
      </c>
      <c r="M371" s="7">
        <v>0.4</v>
      </c>
      <c r="N371" s="7">
        <v>0.2</v>
      </c>
      <c r="O371" s="7">
        <v>0.8</v>
      </c>
      <c r="P371" s="7">
        <v>6.3</v>
      </c>
    </row>
    <row r="372" spans="1:16" x14ac:dyDescent="0.35">
      <c r="A372" s="1" t="s">
        <v>310</v>
      </c>
      <c r="B372" s="1" t="s">
        <v>15</v>
      </c>
      <c r="C372" s="1" t="s">
        <v>23</v>
      </c>
      <c r="D372" s="7">
        <v>63</v>
      </c>
      <c r="E372" s="7">
        <v>20.2</v>
      </c>
      <c r="F372" s="7">
        <v>5.4</v>
      </c>
      <c r="G372" s="7">
        <v>0.44600000000000001</v>
      </c>
      <c r="H372" s="7">
        <v>1</v>
      </c>
      <c r="I372" s="7">
        <v>0.7</v>
      </c>
      <c r="J372" s="7">
        <v>0.73299999999999998</v>
      </c>
      <c r="K372" s="7">
        <v>5.7</v>
      </c>
      <c r="L372" s="7">
        <v>1.1000000000000001</v>
      </c>
      <c r="M372" s="7">
        <v>0.4</v>
      </c>
      <c r="N372" s="7">
        <v>0.4</v>
      </c>
      <c r="O372" s="7">
        <v>0.6</v>
      </c>
      <c r="P372" s="7">
        <v>6.4</v>
      </c>
    </row>
    <row r="373" spans="1:16" x14ac:dyDescent="0.35">
      <c r="A373" s="1" t="s">
        <v>601</v>
      </c>
      <c r="B373" s="1" t="s">
        <v>25</v>
      </c>
      <c r="C373" s="1" t="s">
        <v>21</v>
      </c>
      <c r="D373" s="7">
        <v>4</v>
      </c>
      <c r="E373" s="7">
        <v>3.5</v>
      </c>
      <c r="F373" s="7">
        <v>0.8</v>
      </c>
      <c r="G373" s="7">
        <v>0.33300000000000002</v>
      </c>
      <c r="H373" s="7">
        <v>0.3</v>
      </c>
      <c r="I373" s="7">
        <v>0</v>
      </c>
      <c r="K373" s="7">
        <v>0</v>
      </c>
      <c r="L373" s="7">
        <v>0.3</v>
      </c>
      <c r="M373" s="7">
        <v>0</v>
      </c>
      <c r="N373" s="7">
        <v>0</v>
      </c>
      <c r="O373" s="7">
        <v>0.5</v>
      </c>
      <c r="P373" s="7">
        <v>0.8</v>
      </c>
    </row>
    <row r="374" spans="1:16" x14ac:dyDescent="0.35">
      <c r="A374" s="1" t="s">
        <v>602</v>
      </c>
      <c r="B374" s="1" t="s">
        <v>25</v>
      </c>
      <c r="C374" s="1" t="s">
        <v>137</v>
      </c>
      <c r="D374" s="7">
        <v>1</v>
      </c>
      <c r="E374" s="7">
        <v>1</v>
      </c>
      <c r="F374" s="7">
        <v>0</v>
      </c>
      <c r="H374" s="7">
        <v>0</v>
      </c>
      <c r="I374" s="7">
        <v>0</v>
      </c>
      <c r="K374" s="7">
        <v>0</v>
      </c>
      <c r="L374" s="7">
        <v>0</v>
      </c>
      <c r="M374" s="7">
        <v>0</v>
      </c>
      <c r="N374" s="7">
        <v>0</v>
      </c>
      <c r="O374" s="7">
        <v>0</v>
      </c>
      <c r="P374" s="7">
        <v>0</v>
      </c>
    </row>
    <row r="375" spans="1:16" x14ac:dyDescent="0.35">
      <c r="A375" s="1" t="s">
        <v>603</v>
      </c>
      <c r="B375" s="1" t="s">
        <v>47</v>
      </c>
      <c r="C375" s="1" t="s">
        <v>34</v>
      </c>
      <c r="D375" s="7">
        <v>8</v>
      </c>
      <c r="E375" s="7">
        <v>4.8</v>
      </c>
      <c r="F375" s="7">
        <v>1.9</v>
      </c>
      <c r="G375" s="7">
        <v>0.33300000000000002</v>
      </c>
      <c r="H375" s="7">
        <v>0.1</v>
      </c>
      <c r="I375" s="7">
        <v>0.3</v>
      </c>
      <c r="J375" s="7">
        <v>0.5</v>
      </c>
      <c r="K375" s="7">
        <v>0.8</v>
      </c>
      <c r="L375" s="7">
        <v>0.6</v>
      </c>
      <c r="M375" s="7">
        <v>0.4</v>
      </c>
      <c r="N375" s="7">
        <v>0.1</v>
      </c>
      <c r="O375" s="7">
        <v>0.6</v>
      </c>
      <c r="P375" s="7">
        <v>1.5</v>
      </c>
    </row>
    <row r="376" spans="1:16" x14ac:dyDescent="0.35">
      <c r="A376" s="1" t="s">
        <v>311</v>
      </c>
      <c r="B376" s="1" t="s">
        <v>18</v>
      </c>
      <c r="C376" s="1" t="s">
        <v>72</v>
      </c>
      <c r="D376" s="7">
        <v>38</v>
      </c>
      <c r="E376" s="7">
        <v>21.3</v>
      </c>
      <c r="F376" s="7">
        <v>5.5</v>
      </c>
      <c r="G376" s="7">
        <v>0.495</v>
      </c>
      <c r="H376" s="7">
        <v>0.1</v>
      </c>
      <c r="I376" s="7">
        <v>3</v>
      </c>
      <c r="J376" s="7">
        <v>0.61899999999999999</v>
      </c>
      <c r="K376" s="7">
        <v>5.7</v>
      </c>
      <c r="L376" s="7">
        <v>1.3</v>
      </c>
      <c r="M376" s="7">
        <v>0.8</v>
      </c>
      <c r="N376" s="7">
        <v>1.2</v>
      </c>
      <c r="O376" s="7">
        <v>1.2</v>
      </c>
      <c r="P376" s="7">
        <v>7.4</v>
      </c>
    </row>
    <row r="377" spans="1:16" x14ac:dyDescent="0.35">
      <c r="A377" s="1" t="s">
        <v>312</v>
      </c>
      <c r="B377" s="1" t="s">
        <v>18</v>
      </c>
      <c r="C377" s="1" t="s">
        <v>90</v>
      </c>
      <c r="D377" s="7">
        <v>60</v>
      </c>
      <c r="E377" s="7">
        <v>12.9</v>
      </c>
      <c r="F377" s="7">
        <v>3.2</v>
      </c>
      <c r="G377" s="7">
        <v>0.48199999999999998</v>
      </c>
      <c r="H377" s="7">
        <v>0.4</v>
      </c>
      <c r="I377" s="7">
        <v>1.8</v>
      </c>
      <c r="J377" s="7">
        <v>0.66400000000000003</v>
      </c>
      <c r="K377" s="7">
        <v>2.8</v>
      </c>
      <c r="L377" s="7">
        <v>0.7</v>
      </c>
      <c r="M377" s="7">
        <v>0.4</v>
      </c>
      <c r="N377" s="7">
        <v>0.7</v>
      </c>
      <c r="O377" s="7">
        <v>0.8</v>
      </c>
      <c r="P377" s="7">
        <v>4.7</v>
      </c>
    </row>
    <row r="378" spans="1:16" x14ac:dyDescent="0.35">
      <c r="A378" s="1" t="s">
        <v>313</v>
      </c>
      <c r="B378" s="1" t="s">
        <v>25</v>
      </c>
      <c r="C378" s="1" t="s">
        <v>80</v>
      </c>
      <c r="D378" s="7">
        <v>35</v>
      </c>
      <c r="E378" s="7">
        <v>7.7</v>
      </c>
      <c r="F378" s="7">
        <v>1.5</v>
      </c>
      <c r="G378" s="7">
        <v>0.40699999999999997</v>
      </c>
      <c r="H378" s="7">
        <v>0.1</v>
      </c>
      <c r="I378" s="7">
        <v>0.3</v>
      </c>
      <c r="J378" s="7">
        <v>0.75</v>
      </c>
      <c r="K378" s="7">
        <v>0.9</v>
      </c>
      <c r="L378" s="7">
        <v>1.1000000000000001</v>
      </c>
      <c r="M378" s="7">
        <v>0.2</v>
      </c>
      <c r="N378" s="7">
        <v>0.1</v>
      </c>
      <c r="O378" s="7">
        <v>0.4</v>
      </c>
      <c r="P378" s="7">
        <v>1.6</v>
      </c>
    </row>
    <row r="379" spans="1:16" x14ac:dyDescent="0.35">
      <c r="A379" s="1" t="s">
        <v>663</v>
      </c>
      <c r="B379" s="1" t="s">
        <v>18</v>
      </c>
      <c r="C379" s="1" t="s">
        <v>60</v>
      </c>
      <c r="D379" s="7">
        <v>37</v>
      </c>
      <c r="E379" s="7">
        <v>9.1</v>
      </c>
      <c r="F379" s="7">
        <v>4.7</v>
      </c>
      <c r="G379" s="7">
        <v>0.55500000000000005</v>
      </c>
      <c r="H379" s="7">
        <v>0.1</v>
      </c>
      <c r="I379" s="7">
        <v>1.3</v>
      </c>
      <c r="J379" s="7">
        <v>0.76600000000000001</v>
      </c>
      <c r="K379" s="7">
        <v>4.0999999999999996</v>
      </c>
      <c r="L379" s="7">
        <v>0.4</v>
      </c>
      <c r="M379" s="7">
        <v>0.2</v>
      </c>
      <c r="N379" s="7">
        <v>0.2</v>
      </c>
      <c r="O379" s="7">
        <v>0.7</v>
      </c>
      <c r="P379" s="7">
        <v>6.3</v>
      </c>
    </row>
    <row r="380" spans="1:16" x14ac:dyDescent="0.35">
      <c r="A380" s="1" t="s">
        <v>314</v>
      </c>
      <c r="B380" s="1" t="s">
        <v>15</v>
      </c>
      <c r="C380" s="1" t="s">
        <v>48</v>
      </c>
      <c r="D380" s="7">
        <v>50</v>
      </c>
      <c r="E380" s="7">
        <v>29.8</v>
      </c>
      <c r="F380" s="7">
        <v>11.8</v>
      </c>
      <c r="G380" s="7">
        <v>0.42499999999999999</v>
      </c>
      <c r="H380" s="7">
        <v>2.2000000000000002</v>
      </c>
      <c r="I380" s="7">
        <v>3.1</v>
      </c>
      <c r="J380" s="7">
        <v>0.82399999999999995</v>
      </c>
      <c r="K380" s="7">
        <v>6.3</v>
      </c>
      <c r="L380" s="7">
        <v>1.5</v>
      </c>
      <c r="M380" s="7">
        <v>0.8</v>
      </c>
      <c r="N380" s="7">
        <v>0.5</v>
      </c>
      <c r="O380" s="7">
        <v>1.6</v>
      </c>
      <c r="P380" s="7">
        <v>14.7</v>
      </c>
    </row>
    <row r="381" spans="1:16" x14ac:dyDescent="0.35">
      <c r="A381" s="1" t="s">
        <v>315</v>
      </c>
      <c r="B381" s="1" t="s">
        <v>35</v>
      </c>
      <c r="C381" s="1" t="s">
        <v>56</v>
      </c>
      <c r="D381" s="7">
        <v>18</v>
      </c>
      <c r="E381" s="7">
        <v>17.600000000000001</v>
      </c>
      <c r="F381" s="7">
        <v>4.7</v>
      </c>
      <c r="G381" s="7">
        <v>0.44</v>
      </c>
      <c r="H381" s="7">
        <v>1.1000000000000001</v>
      </c>
      <c r="I381" s="7">
        <v>1.2</v>
      </c>
      <c r="J381" s="7">
        <v>0.81</v>
      </c>
      <c r="K381" s="7">
        <v>2.1</v>
      </c>
      <c r="L381" s="7">
        <v>1.3</v>
      </c>
      <c r="M381" s="7">
        <v>0.7</v>
      </c>
      <c r="N381" s="7">
        <v>0.4</v>
      </c>
      <c r="O381" s="7">
        <v>0.8</v>
      </c>
      <c r="P381" s="7">
        <v>6.2</v>
      </c>
    </row>
    <row r="382" spans="1:16" x14ac:dyDescent="0.35">
      <c r="A382" s="1" t="s">
        <v>316</v>
      </c>
      <c r="B382" s="1" t="s">
        <v>35</v>
      </c>
      <c r="C382" s="1" t="s">
        <v>56</v>
      </c>
      <c r="D382" s="7">
        <v>48</v>
      </c>
      <c r="E382" s="7">
        <v>18.8</v>
      </c>
      <c r="F382" s="7">
        <v>4.3</v>
      </c>
      <c r="G382" s="7">
        <v>0.43</v>
      </c>
      <c r="H382" s="7">
        <v>0.4</v>
      </c>
      <c r="I382" s="7">
        <v>1.4</v>
      </c>
      <c r="J382" s="7">
        <v>0.64600000000000002</v>
      </c>
      <c r="K382" s="7">
        <v>3.3</v>
      </c>
      <c r="L382" s="7">
        <v>2</v>
      </c>
      <c r="M382" s="7">
        <v>0.8</v>
      </c>
      <c r="N382" s="7">
        <v>0.2</v>
      </c>
      <c r="O382" s="7">
        <v>0.9</v>
      </c>
      <c r="P382" s="7">
        <v>5</v>
      </c>
    </row>
    <row r="383" spans="1:16" x14ac:dyDescent="0.35">
      <c r="A383" s="1" t="s">
        <v>478</v>
      </c>
      <c r="B383" s="1" t="s">
        <v>47</v>
      </c>
      <c r="C383" s="1" t="s">
        <v>30</v>
      </c>
      <c r="D383" s="7">
        <v>3</v>
      </c>
      <c r="E383" s="7">
        <v>5.3</v>
      </c>
      <c r="F383" s="7">
        <v>1.7</v>
      </c>
      <c r="G383" s="7">
        <v>0.2</v>
      </c>
      <c r="H383" s="7">
        <v>0</v>
      </c>
      <c r="I383" s="7">
        <v>0</v>
      </c>
      <c r="K383" s="7">
        <v>0.7</v>
      </c>
      <c r="L383" s="7">
        <v>0.7</v>
      </c>
      <c r="M383" s="7">
        <v>0.3</v>
      </c>
      <c r="N383" s="7">
        <v>0.3</v>
      </c>
      <c r="O383" s="7">
        <v>0</v>
      </c>
      <c r="P383" s="7">
        <v>0.7</v>
      </c>
    </row>
    <row r="384" spans="1:16" x14ac:dyDescent="0.35">
      <c r="A384" s="1" t="s">
        <v>317</v>
      </c>
      <c r="B384" s="1" t="s">
        <v>35</v>
      </c>
      <c r="C384" s="1" t="s">
        <v>65</v>
      </c>
      <c r="D384" s="7">
        <v>31</v>
      </c>
      <c r="E384" s="7">
        <v>16</v>
      </c>
      <c r="F384" s="7">
        <v>5.8</v>
      </c>
      <c r="G384" s="7">
        <v>0.39200000000000002</v>
      </c>
      <c r="H384" s="7">
        <v>0.8</v>
      </c>
      <c r="I384" s="7">
        <v>1</v>
      </c>
      <c r="J384" s="7">
        <v>0.96799999999999997</v>
      </c>
      <c r="K384" s="7">
        <v>3.1</v>
      </c>
      <c r="L384" s="7">
        <v>0.7</v>
      </c>
      <c r="M384" s="7">
        <v>0.2</v>
      </c>
      <c r="N384" s="7">
        <v>0.3</v>
      </c>
      <c r="O384" s="7">
        <v>0.6</v>
      </c>
      <c r="P384" s="7">
        <v>6.4</v>
      </c>
    </row>
    <row r="385" spans="1:16" x14ac:dyDescent="0.35">
      <c r="A385" s="1" t="s">
        <v>696</v>
      </c>
      <c r="B385" s="1" t="s">
        <v>47</v>
      </c>
      <c r="C385" s="1" t="s">
        <v>39</v>
      </c>
      <c r="D385" s="7">
        <v>6</v>
      </c>
      <c r="E385" s="7">
        <v>8.8000000000000007</v>
      </c>
      <c r="F385" s="7">
        <v>3.2</v>
      </c>
      <c r="G385" s="7">
        <v>0.26300000000000001</v>
      </c>
      <c r="H385" s="7">
        <v>0.3</v>
      </c>
      <c r="I385" s="7">
        <v>0.7</v>
      </c>
      <c r="J385" s="7">
        <v>0.5</v>
      </c>
      <c r="K385" s="7">
        <v>1.3</v>
      </c>
      <c r="L385" s="7">
        <v>1.8</v>
      </c>
      <c r="M385" s="7">
        <v>0.3</v>
      </c>
      <c r="N385" s="7">
        <v>0</v>
      </c>
      <c r="O385" s="7">
        <v>1</v>
      </c>
      <c r="P385" s="7">
        <v>2.2999999999999998</v>
      </c>
    </row>
    <row r="386" spans="1:16" x14ac:dyDescent="0.35">
      <c r="A386" s="1" t="s">
        <v>319</v>
      </c>
      <c r="B386" s="1" t="s">
        <v>25</v>
      </c>
      <c r="C386" s="1" t="s">
        <v>72</v>
      </c>
      <c r="D386" s="7">
        <v>18</v>
      </c>
      <c r="E386" s="7">
        <v>12.6</v>
      </c>
      <c r="F386" s="7">
        <v>3.1</v>
      </c>
      <c r="G386" s="7">
        <v>0.42899999999999999</v>
      </c>
      <c r="H386" s="7">
        <v>1.1000000000000001</v>
      </c>
      <c r="I386" s="7">
        <v>1.9</v>
      </c>
      <c r="J386" s="7">
        <v>0.91200000000000003</v>
      </c>
      <c r="K386" s="7">
        <v>1.3</v>
      </c>
      <c r="L386" s="7">
        <v>0.6</v>
      </c>
      <c r="M386" s="7">
        <v>0.4</v>
      </c>
      <c r="N386" s="7">
        <v>0.1</v>
      </c>
      <c r="O386" s="7">
        <v>0.4</v>
      </c>
      <c r="P386" s="7">
        <v>5.4</v>
      </c>
    </row>
    <row r="387" spans="1:16" x14ac:dyDescent="0.35">
      <c r="A387" s="1" t="s">
        <v>320</v>
      </c>
      <c r="B387" s="1" t="s">
        <v>25</v>
      </c>
      <c r="C387" s="1" t="s">
        <v>39</v>
      </c>
      <c r="D387" s="7">
        <v>62</v>
      </c>
      <c r="E387" s="7">
        <v>24.7</v>
      </c>
      <c r="F387" s="7">
        <v>6.5</v>
      </c>
      <c r="G387" s="7">
        <v>0.39700000000000002</v>
      </c>
      <c r="H387" s="7">
        <v>1.6</v>
      </c>
      <c r="I387" s="7">
        <v>1</v>
      </c>
      <c r="J387" s="7">
        <v>0.76200000000000001</v>
      </c>
      <c r="K387" s="7">
        <v>2.6</v>
      </c>
      <c r="L387" s="7">
        <v>1.5</v>
      </c>
      <c r="M387" s="7">
        <v>0.6</v>
      </c>
      <c r="N387" s="7">
        <v>0.1</v>
      </c>
      <c r="O387" s="7">
        <v>0.7</v>
      </c>
      <c r="P387" s="7">
        <v>7.5</v>
      </c>
    </row>
    <row r="388" spans="1:16" x14ac:dyDescent="0.35">
      <c r="A388" s="1" t="s">
        <v>321</v>
      </c>
      <c r="B388" s="1" t="s">
        <v>35</v>
      </c>
      <c r="C388" s="1" t="s">
        <v>45</v>
      </c>
      <c r="D388" s="7">
        <v>37</v>
      </c>
      <c r="E388" s="7">
        <v>24.5</v>
      </c>
      <c r="F388" s="7">
        <v>4.4000000000000004</v>
      </c>
      <c r="G388" s="7">
        <v>0.41399999999999998</v>
      </c>
      <c r="H388" s="7">
        <v>0.6</v>
      </c>
      <c r="I388" s="7">
        <v>0.5</v>
      </c>
      <c r="J388" s="7">
        <v>0.72199999999999998</v>
      </c>
      <c r="K388" s="7">
        <v>2.2999999999999998</v>
      </c>
      <c r="L388" s="7">
        <v>2.1</v>
      </c>
      <c r="M388" s="7">
        <v>1.1000000000000001</v>
      </c>
      <c r="N388" s="7">
        <v>0.1</v>
      </c>
      <c r="O388" s="7">
        <v>0.8</v>
      </c>
      <c r="P388" s="7">
        <v>4.5999999999999996</v>
      </c>
    </row>
    <row r="389" spans="1:16" x14ac:dyDescent="0.35">
      <c r="A389" s="1" t="s">
        <v>664</v>
      </c>
      <c r="B389" s="1" t="s">
        <v>25</v>
      </c>
      <c r="C389" s="1" t="s">
        <v>44</v>
      </c>
      <c r="D389" s="7">
        <v>62</v>
      </c>
      <c r="E389" s="7">
        <v>36</v>
      </c>
      <c r="F389" s="7">
        <v>19.5</v>
      </c>
      <c r="G389" s="7">
        <v>0.45300000000000001</v>
      </c>
      <c r="H389" s="7">
        <v>2.8</v>
      </c>
      <c r="I389" s="7">
        <v>2.6</v>
      </c>
      <c r="J389" s="7">
        <v>0.75</v>
      </c>
      <c r="K389" s="7">
        <v>4.0999999999999996</v>
      </c>
      <c r="L389" s="7">
        <v>4.3</v>
      </c>
      <c r="M389" s="7">
        <v>0.7</v>
      </c>
      <c r="N389" s="7">
        <v>0.6</v>
      </c>
      <c r="O389" s="7">
        <v>1.9</v>
      </c>
      <c r="P389" s="7">
        <v>22.5</v>
      </c>
    </row>
    <row r="390" spans="1:16" x14ac:dyDescent="0.35">
      <c r="A390" s="1" t="s">
        <v>322</v>
      </c>
      <c r="B390" s="1" t="s">
        <v>47</v>
      </c>
      <c r="C390" s="1" t="s">
        <v>83</v>
      </c>
      <c r="D390" s="7">
        <v>63</v>
      </c>
      <c r="E390" s="7">
        <v>18.899999999999999</v>
      </c>
      <c r="F390" s="7">
        <v>5.7</v>
      </c>
      <c r="G390" s="7">
        <v>0.51700000000000002</v>
      </c>
      <c r="H390" s="7">
        <v>0.1</v>
      </c>
      <c r="I390" s="7">
        <v>0.6</v>
      </c>
      <c r="J390" s="7">
        <v>0.83299999999999996</v>
      </c>
      <c r="K390" s="7">
        <v>2.6</v>
      </c>
      <c r="L390" s="7">
        <v>5</v>
      </c>
      <c r="M390" s="7">
        <v>0.7</v>
      </c>
      <c r="N390" s="7">
        <v>0.2</v>
      </c>
      <c r="O390" s="7">
        <v>1.4</v>
      </c>
      <c r="P390" s="7">
        <v>6.5</v>
      </c>
    </row>
    <row r="391" spans="1:16" x14ac:dyDescent="0.35">
      <c r="A391" s="1" t="s">
        <v>323</v>
      </c>
      <c r="B391" s="1" t="s">
        <v>15</v>
      </c>
      <c r="C391" s="1" t="s">
        <v>56</v>
      </c>
      <c r="D391" s="7">
        <v>16</v>
      </c>
      <c r="E391" s="7">
        <v>18.3</v>
      </c>
      <c r="F391" s="7">
        <v>4.4000000000000004</v>
      </c>
      <c r="G391" s="7">
        <v>0.47099999999999997</v>
      </c>
      <c r="H391" s="7">
        <v>0.6</v>
      </c>
      <c r="I391" s="7">
        <v>1.1000000000000001</v>
      </c>
      <c r="J391" s="7">
        <v>0.82399999999999995</v>
      </c>
      <c r="K391" s="7">
        <v>4.0999999999999996</v>
      </c>
      <c r="L391" s="7">
        <v>0.8</v>
      </c>
      <c r="M391" s="7">
        <v>0.5</v>
      </c>
      <c r="N391" s="7">
        <v>0.2</v>
      </c>
      <c r="O391" s="7">
        <v>0.7</v>
      </c>
      <c r="P391" s="7">
        <v>5.6</v>
      </c>
    </row>
    <row r="392" spans="1:16" x14ac:dyDescent="0.35">
      <c r="A392" s="1" t="s">
        <v>324</v>
      </c>
      <c r="B392" s="1" t="s">
        <v>15</v>
      </c>
      <c r="C392" s="1" t="s">
        <v>83</v>
      </c>
      <c r="D392" s="7">
        <v>62</v>
      </c>
      <c r="E392" s="7">
        <v>20</v>
      </c>
      <c r="F392" s="7">
        <v>7.9</v>
      </c>
      <c r="G392" s="7">
        <v>0.49099999999999999</v>
      </c>
      <c r="H392" s="7">
        <v>1.9</v>
      </c>
      <c r="I392" s="7">
        <v>0.8</v>
      </c>
      <c r="J392" s="7">
        <v>0.82699999999999996</v>
      </c>
      <c r="K392" s="7">
        <v>2.5</v>
      </c>
      <c r="L392" s="7">
        <v>1.1000000000000001</v>
      </c>
      <c r="M392" s="7">
        <v>0.1</v>
      </c>
      <c r="N392" s="7">
        <v>0.1</v>
      </c>
      <c r="O392" s="7">
        <v>0.6</v>
      </c>
      <c r="P392" s="7">
        <v>10.4</v>
      </c>
    </row>
    <row r="393" spans="1:16" x14ac:dyDescent="0.35">
      <c r="A393" s="1" t="s">
        <v>325</v>
      </c>
      <c r="B393" s="1" t="s">
        <v>18</v>
      </c>
      <c r="C393" s="1" t="s">
        <v>41</v>
      </c>
      <c r="D393" s="7">
        <v>61</v>
      </c>
      <c r="E393" s="7">
        <v>16.8</v>
      </c>
      <c r="F393" s="7">
        <v>4.5999999999999996</v>
      </c>
      <c r="G393" s="7">
        <v>0.64</v>
      </c>
      <c r="H393" s="7">
        <v>0</v>
      </c>
      <c r="I393" s="7">
        <v>1.2</v>
      </c>
      <c r="J393" s="7">
        <v>0.65300000000000002</v>
      </c>
      <c r="K393" s="7">
        <v>5.8</v>
      </c>
      <c r="L393" s="7">
        <v>0.6</v>
      </c>
      <c r="M393" s="7">
        <v>0.5</v>
      </c>
      <c r="N393" s="7">
        <v>1.5</v>
      </c>
      <c r="O393" s="7">
        <v>0.8</v>
      </c>
      <c r="P393" s="7">
        <v>6.8</v>
      </c>
    </row>
    <row r="394" spans="1:16" x14ac:dyDescent="0.35">
      <c r="A394" s="1" t="s">
        <v>326</v>
      </c>
      <c r="B394" s="1" t="s">
        <v>25</v>
      </c>
      <c r="C394" s="1" t="s">
        <v>80</v>
      </c>
      <c r="D394" s="7">
        <v>50</v>
      </c>
      <c r="E394" s="7">
        <v>15</v>
      </c>
      <c r="F394" s="7">
        <v>3.1</v>
      </c>
      <c r="G394" s="7">
        <v>0.39100000000000001</v>
      </c>
      <c r="H394" s="7">
        <v>0.4</v>
      </c>
      <c r="I394" s="7">
        <v>0.6</v>
      </c>
      <c r="J394" s="7">
        <v>0.53600000000000003</v>
      </c>
      <c r="K394" s="7">
        <v>2.6</v>
      </c>
      <c r="L394" s="7">
        <v>0.6</v>
      </c>
      <c r="M394" s="7">
        <v>0.5</v>
      </c>
      <c r="N394" s="7">
        <v>0.2</v>
      </c>
      <c r="O394" s="7">
        <v>0.4</v>
      </c>
      <c r="P394" s="7">
        <v>3.2</v>
      </c>
    </row>
    <row r="395" spans="1:16" x14ac:dyDescent="0.35">
      <c r="A395" s="1" t="s">
        <v>327</v>
      </c>
      <c r="B395" s="1" t="s">
        <v>35</v>
      </c>
      <c r="C395" s="1" t="s">
        <v>137</v>
      </c>
      <c r="D395" s="7">
        <v>40</v>
      </c>
      <c r="E395" s="7">
        <v>14.8</v>
      </c>
      <c r="F395" s="7">
        <v>4.3</v>
      </c>
      <c r="G395" s="7">
        <v>0.42699999999999999</v>
      </c>
      <c r="H395" s="7">
        <v>0.4</v>
      </c>
      <c r="I395" s="7">
        <v>0.8</v>
      </c>
      <c r="J395" s="7">
        <v>0.71</v>
      </c>
      <c r="K395" s="7">
        <v>2.8</v>
      </c>
      <c r="L395" s="7">
        <v>0.4</v>
      </c>
      <c r="M395" s="7">
        <v>0.6</v>
      </c>
      <c r="N395" s="7">
        <v>0.2</v>
      </c>
      <c r="O395" s="7">
        <v>0.7</v>
      </c>
      <c r="P395" s="7">
        <v>4.5999999999999996</v>
      </c>
    </row>
    <row r="396" spans="1:16" x14ac:dyDescent="0.35">
      <c r="A396" s="1" t="s">
        <v>328</v>
      </c>
      <c r="B396" s="1" t="s">
        <v>47</v>
      </c>
      <c r="C396" s="1" t="s">
        <v>65</v>
      </c>
      <c r="D396" s="7">
        <v>30</v>
      </c>
      <c r="E396" s="7">
        <v>19.7</v>
      </c>
      <c r="F396" s="7">
        <v>5.9</v>
      </c>
      <c r="G396" s="7">
        <v>0.48899999999999999</v>
      </c>
      <c r="H396" s="7">
        <v>1</v>
      </c>
      <c r="I396" s="7">
        <v>1.3</v>
      </c>
      <c r="J396" s="7">
        <v>0.66700000000000004</v>
      </c>
      <c r="K396" s="7">
        <v>1.6</v>
      </c>
      <c r="L396" s="7">
        <v>4.2</v>
      </c>
      <c r="M396" s="7">
        <v>1.1000000000000001</v>
      </c>
      <c r="N396" s="7">
        <v>0.1</v>
      </c>
      <c r="O396" s="7">
        <v>1</v>
      </c>
      <c r="P396" s="7">
        <v>7.6</v>
      </c>
    </row>
    <row r="397" spans="1:16" x14ac:dyDescent="0.35">
      <c r="A397" s="1" t="s">
        <v>329</v>
      </c>
      <c r="B397" s="1" t="s">
        <v>25</v>
      </c>
      <c r="C397" s="1" t="s">
        <v>37</v>
      </c>
      <c r="D397" s="7">
        <v>63</v>
      </c>
      <c r="E397" s="7">
        <v>22.8</v>
      </c>
      <c r="F397" s="7">
        <v>7.5</v>
      </c>
      <c r="G397" s="7">
        <v>0.44500000000000001</v>
      </c>
      <c r="H397" s="7">
        <v>2.4</v>
      </c>
      <c r="I397" s="7">
        <v>1</v>
      </c>
      <c r="J397" s="7">
        <v>0.75800000000000001</v>
      </c>
      <c r="K397" s="7">
        <v>2.2000000000000002</v>
      </c>
      <c r="L397" s="7">
        <v>0.9</v>
      </c>
      <c r="M397" s="7">
        <v>0.6</v>
      </c>
      <c r="N397" s="7">
        <v>0.2</v>
      </c>
      <c r="O397" s="7">
        <v>0.7</v>
      </c>
      <c r="P397" s="7">
        <v>9.8000000000000007</v>
      </c>
    </row>
    <row r="398" spans="1:16" x14ac:dyDescent="0.35">
      <c r="A398" s="1" t="s">
        <v>604</v>
      </c>
      <c r="B398" s="1" t="s">
        <v>25</v>
      </c>
      <c r="C398" s="1" t="s">
        <v>50</v>
      </c>
      <c r="D398" s="7">
        <v>37</v>
      </c>
      <c r="E398" s="7">
        <v>21.2</v>
      </c>
      <c r="F398" s="7">
        <v>9.9</v>
      </c>
      <c r="G398" s="7">
        <v>0.40699999999999997</v>
      </c>
      <c r="H398" s="7">
        <v>1.2</v>
      </c>
      <c r="I398" s="7">
        <v>2.9</v>
      </c>
      <c r="J398" s="7">
        <v>0.76100000000000001</v>
      </c>
      <c r="K398" s="7">
        <v>3.4</v>
      </c>
      <c r="L398" s="7">
        <v>2.5</v>
      </c>
      <c r="M398" s="7">
        <v>0.6</v>
      </c>
      <c r="N398" s="7">
        <v>0.4</v>
      </c>
      <c r="O398" s="7">
        <v>1.2</v>
      </c>
      <c r="P398" s="7">
        <v>11.5</v>
      </c>
    </row>
    <row r="399" spans="1:16" x14ac:dyDescent="0.35">
      <c r="A399" s="1" t="s">
        <v>604</v>
      </c>
      <c r="B399" s="1" t="s">
        <v>25</v>
      </c>
      <c r="C399" s="1" t="s">
        <v>72</v>
      </c>
      <c r="D399" s="7">
        <v>29</v>
      </c>
      <c r="E399" s="7">
        <v>22.6</v>
      </c>
      <c r="F399" s="7">
        <v>10.9</v>
      </c>
      <c r="G399" s="7">
        <v>0.42</v>
      </c>
      <c r="H399" s="7">
        <v>1.4</v>
      </c>
      <c r="I399" s="7">
        <v>2.9</v>
      </c>
      <c r="J399" s="7">
        <v>0.77100000000000002</v>
      </c>
      <c r="K399" s="7">
        <v>3.6</v>
      </c>
      <c r="L399" s="7">
        <v>2.8</v>
      </c>
      <c r="M399" s="7">
        <v>0.7</v>
      </c>
      <c r="N399" s="7">
        <v>0.5</v>
      </c>
      <c r="O399" s="7">
        <v>1.3</v>
      </c>
      <c r="P399" s="7">
        <v>12.8</v>
      </c>
    </row>
    <row r="400" spans="1:16" x14ac:dyDescent="0.35">
      <c r="A400" s="1" t="s">
        <v>604</v>
      </c>
      <c r="B400" s="1" t="s">
        <v>25</v>
      </c>
      <c r="C400" s="1" t="s">
        <v>63</v>
      </c>
      <c r="D400" s="7">
        <v>4</v>
      </c>
      <c r="E400" s="7">
        <v>8</v>
      </c>
      <c r="F400" s="7">
        <v>1.5</v>
      </c>
      <c r="G400" s="7">
        <v>0.33300000000000002</v>
      </c>
      <c r="H400" s="7">
        <v>0.5</v>
      </c>
      <c r="I400" s="7">
        <v>1</v>
      </c>
      <c r="J400" s="7">
        <v>0.75</v>
      </c>
      <c r="K400" s="7">
        <v>1.3</v>
      </c>
      <c r="L400" s="7">
        <v>1</v>
      </c>
      <c r="M400" s="7">
        <v>0.5</v>
      </c>
      <c r="N400" s="7">
        <v>0.3</v>
      </c>
      <c r="O400" s="7">
        <v>0</v>
      </c>
      <c r="P400" s="7">
        <v>2.2999999999999998</v>
      </c>
    </row>
    <row r="401" spans="1:16" x14ac:dyDescent="0.35">
      <c r="A401" s="1" t="s">
        <v>604</v>
      </c>
      <c r="B401" s="1" t="s">
        <v>25</v>
      </c>
      <c r="C401" s="1" t="s">
        <v>90</v>
      </c>
      <c r="D401" s="7">
        <v>4</v>
      </c>
      <c r="E401" s="7">
        <v>24.5</v>
      </c>
      <c r="F401" s="7">
        <v>10.8</v>
      </c>
      <c r="G401" s="7">
        <v>0.32600000000000001</v>
      </c>
      <c r="H401" s="7">
        <v>0.8</v>
      </c>
      <c r="I401" s="7">
        <v>5.5</v>
      </c>
      <c r="J401" s="7">
        <v>0.72699999999999998</v>
      </c>
      <c r="K401" s="7">
        <v>3.8</v>
      </c>
      <c r="L401" s="7">
        <v>1.8</v>
      </c>
      <c r="M401" s="7">
        <v>0</v>
      </c>
      <c r="N401" s="7">
        <v>0</v>
      </c>
      <c r="O401" s="7">
        <v>1.3</v>
      </c>
      <c r="P401" s="7">
        <v>11.8</v>
      </c>
    </row>
    <row r="402" spans="1:16" x14ac:dyDescent="0.35">
      <c r="A402" s="1" t="s">
        <v>665</v>
      </c>
      <c r="B402" s="1" t="s">
        <v>18</v>
      </c>
      <c r="C402" s="1" t="s">
        <v>26</v>
      </c>
      <c r="D402" s="7">
        <v>52</v>
      </c>
      <c r="E402" s="7">
        <v>17.100000000000001</v>
      </c>
      <c r="F402" s="7">
        <v>5.3</v>
      </c>
      <c r="G402" s="7">
        <v>0.442</v>
      </c>
      <c r="H402" s="7">
        <v>1.3</v>
      </c>
      <c r="I402" s="7">
        <v>1.2</v>
      </c>
      <c r="J402" s="7">
        <v>0.73299999999999998</v>
      </c>
      <c r="K402" s="7">
        <v>3</v>
      </c>
      <c r="L402" s="7">
        <v>1.3</v>
      </c>
      <c r="M402" s="7">
        <v>0.6</v>
      </c>
      <c r="N402" s="7">
        <v>0.4</v>
      </c>
      <c r="O402" s="7">
        <v>0.8</v>
      </c>
      <c r="P402" s="7">
        <v>6.8</v>
      </c>
    </row>
    <row r="403" spans="1:16" x14ac:dyDescent="0.35">
      <c r="A403" s="1" t="s">
        <v>330</v>
      </c>
      <c r="B403" s="1" t="s">
        <v>47</v>
      </c>
      <c r="C403" s="1" t="s">
        <v>28</v>
      </c>
      <c r="D403" s="7">
        <v>52</v>
      </c>
      <c r="E403" s="7">
        <v>19.399999999999999</v>
      </c>
      <c r="F403" s="7">
        <v>6.8</v>
      </c>
      <c r="G403" s="7">
        <v>0.41899999999999998</v>
      </c>
      <c r="H403" s="7">
        <v>0.7</v>
      </c>
      <c r="I403" s="7">
        <v>2</v>
      </c>
      <c r="J403" s="7">
        <v>0.82099999999999995</v>
      </c>
      <c r="K403" s="7">
        <v>3.7</v>
      </c>
      <c r="L403" s="7">
        <v>3</v>
      </c>
      <c r="M403" s="7">
        <v>1.3</v>
      </c>
      <c r="N403" s="7">
        <v>0.3</v>
      </c>
      <c r="O403" s="7">
        <v>1.5</v>
      </c>
      <c r="P403" s="7">
        <v>8.1</v>
      </c>
    </row>
    <row r="404" spans="1:16" x14ac:dyDescent="0.35">
      <c r="A404" s="1" t="s">
        <v>331</v>
      </c>
      <c r="B404" s="1" t="s">
        <v>15</v>
      </c>
      <c r="C404" s="1" t="s">
        <v>23</v>
      </c>
      <c r="D404" s="7">
        <v>16</v>
      </c>
      <c r="E404" s="7">
        <v>4.5999999999999996</v>
      </c>
      <c r="F404" s="7">
        <v>2.2000000000000002</v>
      </c>
      <c r="G404" s="7">
        <v>0.57099999999999995</v>
      </c>
      <c r="H404" s="7">
        <v>0</v>
      </c>
      <c r="I404" s="7">
        <v>0.5</v>
      </c>
      <c r="J404" s="7">
        <v>0.75</v>
      </c>
      <c r="K404" s="7">
        <v>1.6</v>
      </c>
      <c r="L404" s="7">
        <v>0.4</v>
      </c>
      <c r="M404" s="7">
        <v>0.1</v>
      </c>
      <c r="N404" s="7">
        <v>0.3</v>
      </c>
      <c r="O404" s="7">
        <v>0.3</v>
      </c>
      <c r="P404" s="7">
        <v>2.9</v>
      </c>
    </row>
    <row r="405" spans="1:16" x14ac:dyDescent="0.35">
      <c r="A405" s="1" t="s">
        <v>332</v>
      </c>
      <c r="B405" s="1" t="s">
        <v>35</v>
      </c>
      <c r="C405" s="1" t="s">
        <v>39</v>
      </c>
      <c r="D405" s="7">
        <v>55</v>
      </c>
      <c r="E405" s="7">
        <v>30.1</v>
      </c>
      <c r="F405" s="7">
        <v>15.5</v>
      </c>
      <c r="G405" s="7">
        <v>0.499</v>
      </c>
      <c r="H405" s="7">
        <v>2.4</v>
      </c>
      <c r="I405" s="7">
        <v>3.6</v>
      </c>
      <c r="J405" s="7">
        <v>0.90800000000000003</v>
      </c>
      <c r="K405" s="7">
        <v>6.2</v>
      </c>
      <c r="L405" s="7">
        <v>4.0999999999999996</v>
      </c>
      <c r="M405" s="7">
        <v>0.9</v>
      </c>
      <c r="N405" s="7">
        <v>0.1</v>
      </c>
      <c r="O405" s="7">
        <v>2.1</v>
      </c>
      <c r="P405" s="7">
        <v>21.1</v>
      </c>
    </row>
    <row r="406" spans="1:16" x14ac:dyDescent="0.35">
      <c r="A406" s="1" t="s">
        <v>605</v>
      </c>
      <c r="B406" s="1" t="s">
        <v>15</v>
      </c>
      <c r="C406" s="1" t="s">
        <v>51</v>
      </c>
      <c r="D406" s="7">
        <v>1</v>
      </c>
      <c r="E406" s="7">
        <v>19</v>
      </c>
      <c r="F406" s="7">
        <v>3</v>
      </c>
      <c r="G406" s="7">
        <v>0.66700000000000004</v>
      </c>
      <c r="H406" s="7">
        <v>0</v>
      </c>
      <c r="I406" s="7">
        <v>2</v>
      </c>
      <c r="J406" s="7">
        <v>1</v>
      </c>
      <c r="K406" s="7">
        <v>7</v>
      </c>
      <c r="L406" s="7">
        <v>0</v>
      </c>
      <c r="M406" s="7">
        <v>0</v>
      </c>
      <c r="N406" s="7">
        <v>0</v>
      </c>
      <c r="O406" s="7">
        <v>0</v>
      </c>
      <c r="P406" s="7">
        <v>6</v>
      </c>
    </row>
    <row r="407" spans="1:16" x14ac:dyDescent="0.35">
      <c r="A407" s="1" t="s">
        <v>606</v>
      </c>
      <c r="B407" s="1" t="s">
        <v>25</v>
      </c>
      <c r="C407" s="1" t="s">
        <v>72</v>
      </c>
      <c r="D407" s="7">
        <v>10</v>
      </c>
      <c r="E407" s="7">
        <v>16.100000000000001</v>
      </c>
      <c r="F407" s="7">
        <v>5.9</v>
      </c>
      <c r="G407" s="7">
        <v>0.32200000000000001</v>
      </c>
      <c r="H407" s="7">
        <v>1.1000000000000001</v>
      </c>
      <c r="I407" s="7">
        <v>2</v>
      </c>
      <c r="J407" s="7">
        <v>0.75</v>
      </c>
      <c r="K407" s="7">
        <v>1.2</v>
      </c>
      <c r="L407" s="7">
        <v>1.2</v>
      </c>
      <c r="M407" s="7">
        <v>1</v>
      </c>
      <c r="N407" s="7">
        <v>0.4</v>
      </c>
      <c r="O407" s="7">
        <v>0.4</v>
      </c>
      <c r="P407" s="7">
        <v>6.4</v>
      </c>
    </row>
    <row r="408" spans="1:16" x14ac:dyDescent="0.35">
      <c r="A408" s="1" t="s">
        <v>333</v>
      </c>
      <c r="B408" s="1" t="s">
        <v>35</v>
      </c>
      <c r="C408" s="1" t="s">
        <v>45</v>
      </c>
      <c r="D408" s="7">
        <v>25</v>
      </c>
      <c r="E408" s="7">
        <v>5</v>
      </c>
      <c r="F408" s="7">
        <v>1</v>
      </c>
      <c r="G408" s="7">
        <v>0.33300000000000002</v>
      </c>
      <c r="H408" s="7">
        <v>0.2</v>
      </c>
      <c r="I408" s="7">
        <v>0.2</v>
      </c>
      <c r="J408" s="7">
        <v>0.16700000000000001</v>
      </c>
      <c r="K408" s="7">
        <v>0.6</v>
      </c>
      <c r="L408" s="7">
        <v>0.3</v>
      </c>
      <c r="M408" s="7">
        <v>0.2</v>
      </c>
      <c r="N408" s="7">
        <v>0.1</v>
      </c>
      <c r="O408" s="7">
        <v>0.1</v>
      </c>
      <c r="P408" s="7">
        <v>0.9</v>
      </c>
    </row>
    <row r="409" spans="1:16" x14ac:dyDescent="0.35">
      <c r="A409" s="1" t="s">
        <v>334</v>
      </c>
      <c r="B409" s="1" t="s">
        <v>47</v>
      </c>
      <c r="C409" s="1" t="s">
        <v>23</v>
      </c>
      <c r="D409" s="7">
        <v>63</v>
      </c>
      <c r="E409" s="7">
        <v>22.7</v>
      </c>
      <c r="F409" s="7">
        <v>9.1</v>
      </c>
      <c r="G409" s="7">
        <v>0.42899999999999999</v>
      </c>
      <c r="H409" s="7">
        <v>2.2999999999999998</v>
      </c>
      <c r="I409" s="7">
        <v>1.7</v>
      </c>
      <c r="J409" s="7">
        <v>0.86099999999999999</v>
      </c>
      <c r="K409" s="7">
        <v>1.6</v>
      </c>
      <c r="L409" s="7">
        <v>1.8</v>
      </c>
      <c r="M409" s="7">
        <v>0.8</v>
      </c>
      <c r="N409" s="7">
        <v>0.1</v>
      </c>
      <c r="O409" s="7">
        <v>0.8</v>
      </c>
      <c r="P409" s="7">
        <v>11.7</v>
      </c>
    </row>
    <row r="410" spans="1:16" x14ac:dyDescent="0.35">
      <c r="A410" s="1" t="s">
        <v>335</v>
      </c>
      <c r="B410" s="1" t="s">
        <v>15</v>
      </c>
      <c r="C410" s="1" t="s">
        <v>63</v>
      </c>
      <c r="D410" s="7">
        <v>44</v>
      </c>
      <c r="E410" s="7">
        <v>24.4</v>
      </c>
      <c r="F410" s="7">
        <v>8.8000000000000007</v>
      </c>
      <c r="G410" s="7">
        <v>0.48599999999999999</v>
      </c>
      <c r="H410" s="7">
        <v>1.1000000000000001</v>
      </c>
      <c r="I410" s="7">
        <v>2.9</v>
      </c>
      <c r="J410" s="7">
        <v>0.83299999999999996</v>
      </c>
      <c r="K410" s="7">
        <v>5.9</v>
      </c>
      <c r="L410" s="7">
        <v>1.6</v>
      </c>
      <c r="M410" s="7">
        <v>0.9</v>
      </c>
      <c r="N410" s="7">
        <v>0.6</v>
      </c>
      <c r="O410" s="7">
        <v>1.4</v>
      </c>
      <c r="P410" s="7">
        <v>12</v>
      </c>
    </row>
    <row r="411" spans="1:16" x14ac:dyDescent="0.35">
      <c r="A411" s="1" t="s">
        <v>336</v>
      </c>
      <c r="B411" s="1" t="s">
        <v>25</v>
      </c>
      <c r="C411" s="1" t="s">
        <v>88</v>
      </c>
      <c r="D411" s="7">
        <v>32</v>
      </c>
      <c r="E411" s="7">
        <v>19.100000000000001</v>
      </c>
      <c r="F411" s="7">
        <v>6.8</v>
      </c>
      <c r="G411" s="7">
        <v>0.498</v>
      </c>
      <c r="H411" s="7">
        <v>1.5</v>
      </c>
      <c r="I411" s="7">
        <v>1.6</v>
      </c>
      <c r="J411" s="7">
        <v>0.76500000000000001</v>
      </c>
      <c r="K411" s="7">
        <v>2.1</v>
      </c>
      <c r="L411" s="7">
        <v>2.2000000000000002</v>
      </c>
      <c r="M411" s="7">
        <v>0.6</v>
      </c>
      <c r="N411" s="7">
        <v>0.2</v>
      </c>
      <c r="O411" s="7">
        <v>1.2</v>
      </c>
      <c r="P411" s="7">
        <v>9.5</v>
      </c>
    </row>
    <row r="412" spans="1:16" x14ac:dyDescent="0.35">
      <c r="A412" s="1" t="s">
        <v>337</v>
      </c>
      <c r="B412" s="1" t="s">
        <v>25</v>
      </c>
      <c r="C412" s="1" t="s">
        <v>87</v>
      </c>
      <c r="D412" s="7">
        <v>63</v>
      </c>
      <c r="E412" s="7">
        <v>34.4</v>
      </c>
      <c r="F412" s="7">
        <v>19.600000000000001</v>
      </c>
      <c r="G412" s="7">
        <v>0.45300000000000001</v>
      </c>
      <c r="H412" s="7">
        <v>2.5</v>
      </c>
      <c r="I412" s="7">
        <v>4.5999999999999996</v>
      </c>
      <c r="J412" s="7">
        <v>0.85899999999999999</v>
      </c>
      <c r="K412" s="7">
        <v>4.4000000000000004</v>
      </c>
      <c r="L412" s="7">
        <v>4.2</v>
      </c>
      <c r="M412" s="7">
        <v>1</v>
      </c>
      <c r="N412" s="7">
        <v>0.2</v>
      </c>
      <c r="O412" s="7">
        <v>2.7</v>
      </c>
      <c r="P412" s="7">
        <v>24.2</v>
      </c>
    </row>
    <row r="413" spans="1:16" x14ac:dyDescent="0.35">
      <c r="A413" s="1" t="s">
        <v>607</v>
      </c>
      <c r="B413" s="1" t="s">
        <v>25</v>
      </c>
      <c r="C413" s="1" t="s">
        <v>83</v>
      </c>
      <c r="D413" s="7">
        <v>3</v>
      </c>
      <c r="E413" s="7">
        <v>14.3</v>
      </c>
      <c r="F413" s="7">
        <v>5.3</v>
      </c>
      <c r="G413" s="7">
        <v>0.375</v>
      </c>
      <c r="H413" s="7">
        <v>0.7</v>
      </c>
      <c r="I413" s="7">
        <v>0</v>
      </c>
      <c r="K413" s="7">
        <v>2</v>
      </c>
      <c r="L413" s="7">
        <v>2.2999999999999998</v>
      </c>
      <c r="M413" s="7">
        <v>0.3</v>
      </c>
      <c r="N413" s="7">
        <v>0.3</v>
      </c>
      <c r="O413" s="7">
        <v>0.7</v>
      </c>
      <c r="P413" s="7">
        <v>4.7</v>
      </c>
    </row>
    <row r="414" spans="1:16" x14ac:dyDescent="0.35">
      <c r="A414" s="1" t="s">
        <v>338</v>
      </c>
      <c r="B414" s="1" t="s">
        <v>25</v>
      </c>
      <c r="C414" s="1" t="s">
        <v>48</v>
      </c>
      <c r="D414" s="7">
        <v>11</v>
      </c>
      <c r="E414" s="7">
        <v>10.199999999999999</v>
      </c>
      <c r="F414" s="7">
        <v>2.5</v>
      </c>
      <c r="G414" s="7">
        <v>0.42899999999999999</v>
      </c>
      <c r="H414" s="7">
        <v>0.5</v>
      </c>
      <c r="I414" s="7">
        <v>0.4</v>
      </c>
      <c r="J414" s="7">
        <v>0.5</v>
      </c>
      <c r="K414" s="7">
        <v>0.9</v>
      </c>
      <c r="L414" s="7">
        <v>0.4</v>
      </c>
      <c r="M414" s="7">
        <v>0.4</v>
      </c>
      <c r="N414" s="7">
        <v>0</v>
      </c>
      <c r="O414" s="7">
        <v>0.2</v>
      </c>
      <c r="P414" s="7">
        <v>2.9</v>
      </c>
    </row>
    <row r="415" spans="1:16" x14ac:dyDescent="0.35">
      <c r="A415" s="1" t="s">
        <v>339</v>
      </c>
      <c r="B415" s="1" t="s">
        <v>25</v>
      </c>
      <c r="C415" s="1" t="s">
        <v>56</v>
      </c>
      <c r="D415" s="7">
        <v>55</v>
      </c>
      <c r="E415" s="7">
        <v>21.3</v>
      </c>
      <c r="F415" s="7">
        <v>8.9</v>
      </c>
      <c r="G415" s="7">
        <v>0.434</v>
      </c>
      <c r="H415" s="7">
        <v>1.1000000000000001</v>
      </c>
      <c r="I415" s="7">
        <v>1.8</v>
      </c>
      <c r="J415" s="7">
        <v>0.82</v>
      </c>
      <c r="K415" s="7">
        <v>2.9</v>
      </c>
      <c r="L415" s="7">
        <v>2.1</v>
      </c>
      <c r="M415" s="7">
        <v>0.5</v>
      </c>
      <c r="N415" s="7">
        <v>0.3</v>
      </c>
      <c r="O415" s="7">
        <v>1.4</v>
      </c>
      <c r="P415" s="7">
        <v>10.3</v>
      </c>
    </row>
    <row r="416" spans="1:16" x14ac:dyDescent="0.35">
      <c r="A416" s="1" t="s">
        <v>340</v>
      </c>
      <c r="B416" s="1" t="s">
        <v>25</v>
      </c>
      <c r="C416" s="1" t="s">
        <v>137</v>
      </c>
      <c r="D416" s="7">
        <v>4</v>
      </c>
      <c r="E416" s="7">
        <v>4.8</v>
      </c>
      <c r="F416" s="7">
        <v>1</v>
      </c>
      <c r="G416" s="7">
        <v>0.25</v>
      </c>
      <c r="H416" s="7">
        <v>0</v>
      </c>
      <c r="I416" s="7">
        <v>0</v>
      </c>
      <c r="K416" s="7">
        <v>0.8</v>
      </c>
      <c r="L416" s="7">
        <v>0.3</v>
      </c>
      <c r="M416" s="7">
        <v>0.5</v>
      </c>
      <c r="N416" s="7">
        <v>0.3</v>
      </c>
      <c r="O416" s="7">
        <v>0</v>
      </c>
      <c r="P416" s="7">
        <v>0.5</v>
      </c>
    </row>
    <row r="417" spans="1:16" x14ac:dyDescent="0.35">
      <c r="A417" s="1" t="s">
        <v>341</v>
      </c>
      <c r="B417" s="1" t="s">
        <v>25</v>
      </c>
      <c r="C417" s="1" t="s">
        <v>26</v>
      </c>
      <c r="D417" s="7">
        <v>51</v>
      </c>
      <c r="E417" s="7">
        <v>18.8</v>
      </c>
      <c r="F417" s="7">
        <v>8</v>
      </c>
      <c r="G417" s="7">
        <v>0.42399999999999999</v>
      </c>
      <c r="H417" s="7">
        <v>1.2</v>
      </c>
      <c r="I417" s="7">
        <v>0.8</v>
      </c>
      <c r="J417" s="7">
        <v>0.67400000000000004</v>
      </c>
      <c r="K417" s="7">
        <v>2.4</v>
      </c>
      <c r="L417" s="7">
        <v>1.4</v>
      </c>
      <c r="M417" s="7">
        <v>0.5</v>
      </c>
      <c r="N417" s="7">
        <v>0.2</v>
      </c>
      <c r="O417" s="7">
        <v>0.7</v>
      </c>
      <c r="P417" s="7">
        <v>8.6</v>
      </c>
    </row>
    <row r="418" spans="1:16" x14ac:dyDescent="0.35">
      <c r="A418" s="1" t="s">
        <v>342</v>
      </c>
      <c r="B418" s="1" t="s">
        <v>47</v>
      </c>
      <c r="C418" s="1" t="s">
        <v>28</v>
      </c>
      <c r="D418" s="7">
        <v>59</v>
      </c>
      <c r="E418" s="7">
        <v>30</v>
      </c>
      <c r="F418" s="7">
        <v>13.6</v>
      </c>
      <c r="G418" s="7">
        <v>0.49099999999999999</v>
      </c>
      <c r="H418" s="7">
        <v>0.9</v>
      </c>
      <c r="I418" s="7">
        <v>4.5</v>
      </c>
      <c r="J418" s="7">
        <v>0.77</v>
      </c>
      <c r="K418" s="7">
        <v>3.5</v>
      </c>
      <c r="L418" s="7">
        <v>6.9</v>
      </c>
      <c r="M418" s="7">
        <v>0.9</v>
      </c>
      <c r="N418" s="7">
        <v>0.3</v>
      </c>
      <c r="O418" s="7">
        <v>3.2</v>
      </c>
      <c r="P418" s="7">
        <v>17.600000000000001</v>
      </c>
    </row>
    <row r="419" spans="1:16" x14ac:dyDescent="0.35">
      <c r="A419" s="1" t="s">
        <v>343</v>
      </c>
      <c r="B419" s="1" t="s">
        <v>15</v>
      </c>
      <c r="C419" s="1" t="s">
        <v>87</v>
      </c>
      <c r="D419" s="7">
        <v>16</v>
      </c>
      <c r="E419" s="7">
        <v>4.5999999999999996</v>
      </c>
      <c r="F419" s="7">
        <v>1.1000000000000001</v>
      </c>
      <c r="G419" s="7">
        <v>0.52900000000000003</v>
      </c>
      <c r="H419" s="7">
        <v>0.1</v>
      </c>
      <c r="I419" s="7">
        <v>0</v>
      </c>
      <c r="K419" s="7">
        <v>1.2</v>
      </c>
      <c r="L419" s="7">
        <v>0.1</v>
      </c>
      <c r="M419" s="7">
        <v>0</v>
      </c>
      <c r="N419" s="7">
        <v>0.1</v>
      </c>
      <c r="O419" s="7">
        <v>0.2</v>
      </c>
      <c r="P419" s="7">
        <v>1.2</v>
      </c>
    </row>
    <row r="420" spans="1:16" x14ac:dyDescent="0.35">
      <c r="A420" s="1" t="s">
        <v>344</v>
      </c>
      <c r="B420" s="1" t="s">
        <v>479</v>
      </c>
      <c r="C420" s="1" t="s">
        <v>50</v>
      </c>
      <c r="D420" s="7">
        <v>55</v>
      </c>
      <c r="E420" s="7">
        <v>31.4</v>
      </c>
      <c r="F420" s="7">
        <v>13.6</v>
      </c>
      <c r="G420" s="7">
        <v>0.433</v>
      </c>
      <c r="H420" s="7">
        <v>2.4</v>
      </c>
      <c r="I420" s="7">
        <v>3.8</v>
      </c>
      <c r="J420" s="7">
        <v>0.82299999999999995</v>
      </c>
      <c r="K420" s="7">
        <v>5.0999999999999996</v>
      </c>
      <c r="L420" s="7">
        <v>1.4</v>
      </c>
      <c r="M420" s="7">
        <v>0.8</v>
      </c>
      <c r="N420" s="7">
        <v>0.5</v>
      </c>
      <c r="O420" s="7">
        <v>1.6</v>
      </c>
      <c r="P420" s="7">
        <v>17.399999999999999</v>
      </c>
    </row>
    <row r="421" spans="1:16" x14ac:dyDescent="0.35">
      <c r="A421" s="1" t="s">
        <v>344</v>
      </c>
      <c r="B421" s="1" t="s">
        <v>35</v>
      </c>
      <c r="C421" s="1" t="s">
        <v>32</v>
      </c>
      <c r="D421" s="7">
        <v>43</v>
      </c>
      <c r="E421" s="7">
        <v>32.299999999999997</v>
      </c>
      <c r="F421" s="7">
        <v>14.8</v>
      </c>
      <c r="G421" s="7">
        <v>0.442</v>
      </c>
      <c r="H421" s="7">
        <v>2.7</v>
      </c>
      <c r="I421" s="7">
        <v>4.5999999999999996</v>
      </c>
      <c r="J421" s="7">
        <v>0.82299999999999995</v>
      </c>
      <c r="K421" s="7">
        <v>5.4</v>
      </c>
      <c r="L421" s="7">
        <v>1.4</v>
      </c>
      <c r="M421" s="7">
        <v>0.8</v>
      </c>
      <c r="N421" s="7">
        <v>0.4</v>
      </c>
      <c r="O421" s="7">
        <v>1.7</v>
      </c>
      <c r="P421" s="7">
        <v>19.600000000000001</v>
      </c>
    </row>
    <row r="422" spans="1:16" x14ac:dyDescent="0.35">
      <c r="A422" s="1" t="s">
        <v>344</v>
      </c>
      <c r="B422" s="1" t="s">
        <v>15</v>
      </c>
      <c r="C422" s="1" t="s">
        <v>80</v>
      </c>
      <c r="D422" s="7">
        <v>12</v>
      </c>
      <c r="E422" s="7">
        <v>28.3</v>
      </c>
      <c r="F422" s="7">
        <v>9.5</v>
      </c>
      <c r="G422" s="7">
        <v>0.38600000000000001</v>
      </c>
      <c r="H422" s="7">
        <v>1.4</v>
      </c>
      <c r="I422" s="7">
        <v>0.9</v>
      </c>
      <c r="J422" s="7">
        <v>0.81799999999999995</v>
      </c>
      <c r="K422" s="7">
        <v>4</v>
      </c>
      <c r="L422" s="7">
        <v>1.5</v>
      </c>
      <c r="M422" s="7">
        <v>0.7</v>
      </c>
      <c r="N422" s="7">
        <v>0.8</v>
      </c>
      <c r="O422" s="7">
        <v>1.3</v>
      </c>
      <c r="P422" s="7">
        <v>9.5</v>
      </c>
    </row>
    <row r="423" spans="1:16" x14ac:dyDescent="0.35">
      <c r="A423" s="1" t="s">
        <v>345</v>
      </c>
      <c r="B423" s="1" t="s">
        <v>15</v>
      </c>
      <c r="C423" s="1" t="s">
        <v>50</v>
      </c>
      <c r="D423" s="7">
        <v>52</v>
      </c>
      <c r="E423" s="7">
        <v>21.3</v>
      </c>
      <c r="F423" s="7">
        <v>8.1999999999999993</v>
      </c>
      <c r="G423" s="7">
        <v>0.44500000000000001</v>
      </c>
      <c r="H423" s="7">
        <v>1.6</v>
      </c>
      <c r="I423" s="7">
        <v>1.6</v>
      </c>
      <c r="J423" s="7">
        <v>0.78300000000000003</v>
      </c>
      <c r="K423" s="7">
        <v>3.8</v>
      </c>
      <c r="L423" s="7">
        <v>1.4</v>
      </c>
      <c r="M423" s="7">
        <v>0.5</v>
      </c>
      <c r="N423" s="7">
        <v>0.3</v>
      </c>
      <c r="O423" s="7">
        <v>1.4</v>
      </c>
      <c r="P423" s="7">
        <v>10.1</v>
      </c>
    </row>
    <row r="424" spans="1:16" x14ac:dyDescent="0.35">
      <c r="A424" s="1" t="s">
        <v>345</v>
      </c>
      <c r="B424" s="1" t="s">
        <v>15</v>
      </c>
      <c r="C424" s="1" t="s">
        <v>90</v>
      </c>
      <c r="D424" s="7">
        <v>44</v>
      </c>
      <c r="E424" s="7">
        <v>22.5</v>
      </c>
      <c r="F424" s="7">
        <v>8.8000000000000007</v>
      </c>
      <c r="G424" s="7">
        <v>0.45</v>
      </c>
      <c r="H424" s="7">
        <v>1.7</v>
      </c>
      <c r="I424" s="7">
        <v>1.8</v>
      </c>
      <c r="J424" s="7">
        <v>0.77200000000000002</v>
      </c>
      <c r="K424" s="7">
        <v>3.9</v>
      </c>
      <c r="L424" s="7">
        <v>1.6</v>
      </c>
      <c r="M424" s="7">
        <v>0.6</v>
      </c>
      <c r="N424" s="7">
        <v>0.3</v>
      </c>
      <c r="O424" s="7">
        <v>1.6</v>
      </c>
      <c r="P424" s="7">
        <v>11</v>
      </c>
    </row>
    <row r="425" spans="1:16" x14ac:dyDescent="0.35">
      <c r="A425" s="1" t="s">
        <v>345</v>
      </c>
      <c r="B425" s="1" t="s">
        <v>15</v>
      </c>
      <c r="C425" s="1" t="s">
        <v>41</v>
      </c>
      <c r="D425" s="7">
        <v>8</v>
      </c>
      <c r="E425" s="7">
        <v>14.8</v>
      </c>
      <c r="F425" s="7">
        <v>4.5</v>
      </c>
      <c r="G425" s="7">
        <v>0.38900000000000001</v>
      </c>
      <c r="H425" s="7">
        <v>0.8</v>
      </c>
      <c r="I425" s="7">
        <v>0.5</v>
      </c>
      <c r="J425" s="7">
        <v>1</v>
      </c>
      <c r="K425" s="7">
        <v>3.3</v>
      </c>
      <c r="L425" s="7">
        <v>0.6</v>
      </c>
      <c r="M425" s="7">
        <v>0.3</v>
      </c>
      <c r="N425" s="7">
        <v>0.5</v>
      </c>
      <c r="O425" s="7">
        <v>0.6</v>
      </c>
      <c r="P425" s="7">
        <v>4.8</v>
      </c>
    </row>
    <row r="426" spans="1:16" x14ac:dyDescent="0.35">
      <c r="A426" s="1" t="s">
        <v>346</v>
      </c>
      <c r="B426" s="1" t="s">
        <v>47</v>
      </c>
      <c r="C426" s="1" t="s">
        <v>63</v>
      </c>
      <c r="D426" s="7">
        <v>65</v>
      </c>
      <c r="E426" s="7">
        <v>21.6</v>
      </c>
      <c r="F426" s="7">
        <v>7.4</v>
      </c>
      <c r="G426" s="7">
        <v>0.45900000000000002</v>
      </c>
      <c r="H426" s="7">
        <v>0.8</v>
      </c>
      <c r="I426" s="7">
        <v>1</v>
      </c>
      <c r="J426" s="7">
        <v>0.82299999999999995</v>
      </c>
      <c r="K426" s="7">
        <v>1.7</v>
      </c>
      <c r="L426" s="7">
        <v>3.5</v>
      </c>
      <c r="M426" s="7">
        <v>0.8</v>
      </c>
      <c r="N426" s="7">
        <v>0.2</v>
      </c>
      <c r="O426" s="7">
        <v>0.7</v>
      </c>
      <c r="P426" s="7">
        <v>8.4</v>
      </c>
    </row>
    <row r="427" spans="1:16" x14ac:dyDescent="0.35">
      <c r="A427" s="1" t="s">
        <v>347</v>
      </c>
      <c r="B427" s="1" t="s">
        <v>15</v>
      </c>
      <c r="C427" s="1" t="s">
        <v>80</v>
      </c>
      <c r="D427" s="7">
        <v>13</v>
      </c>
      <c r="E427" s="7">
        <v>3.2</v>
      </c>
      <c r="F427" s="7">
        <v>1.2</v>
      </c>
      <c r="G427" s="7">
        <v>0.73299999999999998</v>
      </c>
      <c r="H427" s="7">
        <v>0.1</v>
      </c>
      <c r="I427" s="7">
        <v>0.5</v>
      </c>
      <c r="J427" s="7">
        <v>0.71399999999999997</v>
      </c>
      <c r="K427" s="7">
        <v>0.8</v>
      </c>
      <c r="L427" s="7">
        <v>0.6</v>
      </c>
      <c r="M427" s="7">
        <v>0.2</v>
      </c>
      <c r="N427" s="7">
        <v>0</v>
      </c>
      <c r="O427" s="7">
        <v>0.4</v>
      </c>
      <c r="P427" s="7">
        <v>2.2000000000000002</v>
      </c>
    </row>
    <row r="428" spans="1:16" x14ac:dyDescent="0.35">
      <c r="A428" s="1" t="s">
        <v>348</v>
      </c>
      <c r="B428" s="1" t="s">
        <v>47</v>
      </c>
      <c r="C428" s="1" t="s">
        <v>87</v>
      </c>
      <c r="D428" s="7">
        <v>48</v>
      </c>
      <c r="E428" s="7">
        <v>15.7</v>
      </c>
      <c r="F428" s="7">
        <v>6</v>
      </c>
      <c r="G428" s="7">
        <v>0.47099999999999997</v>
      </c>
      <c r="H428" s="7">
        <v>0.6</v>
      </c>
      <c r="I428" s="7">
        <v>1.4</v>
      </c>
      <c r="J428" s="7">
        <v>0.754</v>
      </c>
      <c r="K428" s="7">
        <v>2.4</v>
      </c>
      <c r="L428" s="7">
        <v>2.2000000000000002</v>
      </c>
      <c r="M428" s="7">
        <v>0.4</v>
      </c>
      <c r="N428" s="7">
        <v>0.2</v>
      </c>
      <c r="O428" s="7">
        <v>1.4</v>
      </c>
      <c r="P428" s="7">
        <v>7.3</v>
      </c>
    </row>
    <row r="429" spans="1:16" x14ac:dyDescent="0.35">
      <c r="A429" s="1" t="s">
        <v>491</v>
      </c>
      <c r="B429" s="1" t="s">
        <v>25</v>
      </c>
      <c r="C429" s="1" t="s">
        <v>96</v>
      </c>
      <c r="D429" s="7">
        <v>7</v>
      </c>
      <c r="E429" s="7">
        <v>29.1</v>
      </c>
      <c r="F429" s="7">
        <v>9.6</v>
      </c>
      <c r="G429" s="7">
        <v>0.38800000000000001</v>
      </c>
      <c r="H429" s="7">
        <v>2.2999999999999998</v>
      </c>
      <c r="I429" s="7">
        <v>1.7</v>
      </c>
      <c r="J429" s="7">
        <v>0.75</v>
      </c>
      <c r="K429" s="7">
        <v>3.3</v>
      </c>
      <c r="L429" s="7">
        <v>1.1000000000000001</v>
      </c>
      <c r="M429" s="7">
        <v>0.3</v>
      </c>
      <c r="N429" s="7">
        <v>0.1</v>
      </c>
      <c r="O429" s="7">
        <v>0.7</v>
      </c>
      <c r="P429" s="7">
        <v>11</v>
      </c>
    </row>
    <row r="430" spans="1:16" x14ac:dyDescent="0.35">
      <c r="A430" s="1" t="s">
        <v>349</v>
      </c>
      <c r="B430" s="1" t="s">
        <v>47</v>
      </c>
      <c r="C430" s="1" t="s">
        <v>23</v>
      </c>
      <c r="D430" s="7">
        <v>58</v>
      </c>
      <c r="E430" s="7">
        <v>24.9</v>
      </c>
      <c r="F430" s="7">
        <v>9.3000000000000007</v>
      </c>
      <c r="G430" s="7">
        <v>0.47499999999999998</v>
      </c>
      <c r="H430" s="7">
        <v>0.6</v>
      </c>
      <c r="I430" s="7">
        <v>1.6</v>
      </c>
      <c r="J430" s="7">
        <v>0.79800000000000004</v>
      </c>
      <c r="K430" s="7">
        <v>5.8</v>
      </c>
      <c r="L430" s="7">
        <v>4.0999999999999996</v>
      </c>
      <c r="M430" s="7">
        <v>1.7</v>
      </c>
      <c r="N430" s="7">
        <v>0.3</v>
      </c>
      <c r="O430" s="7">
        <v>1.9</v>
      </c>
      <c r="P430" s="7">
        <v>10.7</v>
      </c>
    </row>
    <row r="431" spans="1:16" x14ac:dyDescent="0.35">
      <c r="A431" s="1" t="s">
        <v>350</v>
      </c>
      <c r="B431" s="1" t="s">
        <v>47</v>
      </c>
      <c r="C431" s="1" t="s">
        <v>63</v>
      </c>
      <c r="D431" s="7">
        <v>55</v>
      </c>
      <c r="E431" s="7">
        <v>32.799999999999997</v>
      </c>
      <c r="F431" s="7">
        <v>15.4</v>
      </c>
      <c r="G431" s="7">
        <v>0.45500000000000002</v>
      </c>
      <c r="H431" s="7">
        <v>1.9</v>
      </c>
      <c r="I431" s="7">
        <v>3.2</v>
      </c>
      <c r="J431" s="7">
        <v>0.89300000000000002</v>
      </c>
      <c r="K431" s="7">
        <v>3.9</v>
      </c>
      <c r="L431" s="7">
        <v>4.8</v>
      </c>
      <c r="M431" s="7">
        <v>1.2</v>
      </c>
      <c r="N431" s="7">
        <v>0.3</v>
      </c>
      <c r="O431" s="7">
        <v>2.2999999999999998</v>
      </c>
      <c r="P431" s="7">
        <v>18.8</v>
      </c>
    </row>
    <row r="432" spans="1:16" x14ac:dyDescent="0.35">
      <c r="A432" s="1" t="s">
        <v>666</v>
      </c>
      <c r="B432" s="1" t="s">
        <v>35</v>
      </c>
      <c r="C432" s="1" t="s">
        <v>30</v>
      </c>
      <c r="D432" s="7">
        <v>35</v>
      </c>
      <c r="E432" s="7">
        <v>11.5</v>
      </c>
      <c r="F432" s="7">
        <v>4</v>
      </c>
      <c r="G432" s="7">
        <v>0.36</v>
      </c>
      <c r="H432" s="7">
        <v>0.4</v>
      </c>
      <c r="I432" s="7">
        <v>1.3</v>
      </c>
      <c r="J432" s="7">
        <v>0.75</v>
      </c>
      <c r="K432" s="7">
        <v>2</v>
      </c>
      <c r="L432" s="7">
        <v>0.9</v>
      </c>
      <c r="M432" s="7">
        <v>0.4</v>
      </c>
      <c r="N432" s="7">
        <v>0</v>
      </c>
      <c r="O432" s="7">
        <v>0.8</v>
      </c>
      <c r="P432" s="7">
        <v>4.2</v>
      </c>
    </row>
    <row r="433" spans="1:16" x14ac:dyDescent="0.35">
      <c r="A433" s="1" t="s">
        <v>351</v>
      </c>
      <c r="B433" s="1" t="s">
        <v>18</v>
      </c>
      <c r="C433" s="1" t="s">
        <v>19</v>
      </c>
      <c r="D433" s="7">
        <v>41</v>
      </c>
      <c r="E433" s="7">
        <v>12</v>
      </c>
      <c r="F433" s="7">
        <v>3.9</v>
      </c>
      <c r="G433" s="7">
        <v>0.40300000000000002</v>
      </c>
      <c r="H433" s="7">
        <v>1</v>
      </c>
      <c r="I433" s="7">
        <v>0.5</v>
      </c>
      <c r="J433" s="7">
        <v>0.81799999999999995</v>
      </c>
      <c r="K433" s="7">
        <v>2.2999999999999998</v>
      </c>
      <c r="L433" s="7">
        <v>0.8</v>
      </c>
      <c r="M433" s="7">
        <v>0.2</v>
      </c>
      <c r="N433" s="7">
        <v>0.3</v>
      </c>
      <c r="O433" s="7">
        <v>0.3</v>
      </c>
      <c r="P433" s="7">
        <v>4.5999999999999996</v>
      </c>
    </row>
    <row r="434" spans="1:16" x14ac:dyDescent="0.35">
      <c r="A434" s="1" t="s">
        <v>608</v>
      </c>
      <c r="B434" s="1" t="s">
        <v>35</v>
      </c>
      <c r="C434" s="1" t="s">
        <v>90</v>
      </c>
      <c r="D434" s="7">
        <v>56</v>
      </c>
      <c r="E434" s="7">
        <v>22.6</v>
      </c>
      <c r="F434" s="7">
        <v>7.2</v>
      </c>
      <c r="G434" s="7">
        <v>0.41</v>
      </c>
      <c r="H434" s="7">
        <v>2.1</v>
      </c>
      <c r="I434" s="7">
        <v>1.3</v>
      </c>
      <c r="J434" s="7">
        <v>0.81399999999999995</v>
      </c>
      <c r="K434" s="7">
        <v>1.9</v>
      </c>
      <c r="L434" s="7">
        <v>1.9</v>
      </c>
      <c r="M434" s="7">
        <v>0.7</v>
      </c>
      <c r="N434" s="7">
        <v>0.1</v>
      </c>
      <c r="O434" s="7">
        <v>1.1000000000000001</v>
      </c>
      <c r="P434" s="7">
        <v>9</v>
      </c>
    </row>
    <row r="435" spans="1:16" x14ac:dyDescent="0.35">
      <c r="A435" s="1" t="s">
        <v>352</v>
      </c>
      <c r="B435" s="1" t="s">
        <v>35</v>
      </c>
      <c r="C435" s="1" t="s">
        <v>19</v>
      </c>
      <c r="D435" s="7">
        <v>48</v>
      </c>
      <c r="E435" s="7">
        <v>15.8</v>
      </c>
      <c r="F435" s="7">
        <v>4.5999999999999996</v>
      </c>
      <c r="G435" s="7">
        <v>0.45500000000000002</v>
      </c>
      <c r="H435" s="7">
        <v>0.8</v>
      </c>
      <c r="I435" s="7">
        <v>1.3</v>
      </c>
      <c r="J435" s="7">
        <v>0.77400000000000002</v>
      </c>
      <c r="K435" s="7">
        <v>1.9</v>
      </c>
      <c r="L435" s="7">
        <v>0.7</v>
      </c>
      <c r="M435" s="7">
        <v>0.4</v>
      </c>
      <c r="N435" s="7">
        <v>0.4</v>
      </c>
      <c r="O435" s="7">
        <v>0.8</v>
      </c>
      <c r="P435" s="7">
        <v>6</v>
      </c>
    </row>
    <row r="436" spans="1:16" x14ac:dyDescent="0.35">
      <c r="A436" s="1" t="s">
        <v>697</v>
      </c>
      <c r="B436" s="1" t="s">
        <v>18</v>
      </c>
      <c r="C436" s="1" t="s">
        <v>137</v>
      </c>
      <c r="D436" s="7">
        <v>56</v>
      </c>
      <c r="E436" s="7">
        <v>26.3</v>
      </c>
      <c r="F436" s="7">
        <v>7.7</v>
      </c>
      <c r="G436" s="7">
        <v>0.53100000000000003</v>
      </c>
      <c r="H436" s="7">
        <v>1</v>
      </c>
      <c r="I436" s="7">
        <v>1.3</v>
      </c>
      <c r="J436" s="7">
        <v>0.67600000000000005</v>
      </c>
      <c r="K436" s="7">
        <v>7.3</v>
      </c>
      <c r="L436" s="7">
        <v>2.2000000000000002</v>
      </c>
      <c r="M436" s="7">
        <v>1</v>
      </c>
      <c r="N436" s="7">
        <v>0.4</v>
      </c>
      <c r="O436" s="7">
        <v>1.1000000000000001</v>
      </c>
      <c r="P436" s="7">
        <v>10.1</v>
      </c>
    </row>
    <row r="437" spans="1:16" x14ac:dyDescent="0.35">
      <c r="A437" s="1" t="s">
        <v>354</v>
      </c>
      <c r="B437" s="1" t="s">
        <v>47</v>
      </c>
      <c r="C437" s="1" t="s">
        <v>50</v>
      </c>
      <c r="D437" s="7">
        <v>51</v>
      </c>
      <c r="E437" s="7">
        <v>24.2</v>
      </c>
      <c r="F437" s="7">
        <v>8.1</v>
      </c>
      <c r="G437" s="7">
        <v>0.41199999999999998</v>
      </c>
      <c r="H437" s="7">
        <v>1.4</v>
      </c>
      <c r="I437" s="7">
        <v>2.8</v>
      </c>
      <c r="J437" s="7">
        <v>0.82299999999999995</v>
      </c>
      <c r="K437" s="7">
        <v>2.9</v>
      </c>
      <c r="L437" s="7">
        <v>5</v>
      </c>
      <c r="M437" s="7">
        <v>1.3</v>
      </c>
      <c r="N437" s="7">
        <v>0.2</v>
      </c>
      <c r="O437" s="7">
        <v>2.2000000000000002</v>
      </c>
      <c r="P437" s="7">
        <v>10.3</v>
      </c>
    </row>
    <row r="438" spans="1:16" x14ac:dyDescent="0.35">
      <c r="A438" s="1" t="s">
        <v>354</v>
      </c>
      <c r="B438" s="1" t="s">
        <v>47</v>
      </c>
      <c r="C438" s="1" t="s">
        <v>65</v>
      </c>
      <c r="D438" s="7">
        <v>36</v>
      </c>
      <c r="E438" s="7">
        <v>23.8</v>
      </c>
      <c r="F438" s="7">
        <v>7.9</v>
      </c>
      <c r="G438" s="7">
        <v>0.40300000000000002</v>
      </c>
      <c r="H438" s="7">
        <v>1.3</v>
      </c>
      <c r="I438" s="7">
        <v>2.4</v>
      </c>
      <c r="J438" s="7">
        <v>0.81799999999999995</v>
      </c>
      <c r="K438" s="7">
        <v>3.1</v>
      </c>
      <c r="L438" s="7">
        <v>5.2</v>
      </c>
      <c r="M438" s="7">
        <v>1.1000000000000001</v>
      </c>
      <c r="N438" s="7">
        <v>0.2</v>
      </c>
      <c r="O438" s="7">
        <v>2.1</v>
      </c>
      <c r="P438" s="7">
        <v>9.6</v>
      </c>
    </row>
    <row r="439" spans="1:16" x14ac:dyDescent="0.35">
      <c r="A439" s="1" t="s">
        <v>354</v>
      </c>
      <c r="B439" s="1" t="s">
        <v>47</v>
      </c>
      <c r="C439" s="1" t="s">
        <v>72</v>
      </c>
      <c r="D439" s="7">
        <v>15</v>
      </c>
      <c r="E439" s="7">
        <v>25.2</v>
      </c>
      <c r="F439" s="7">
        <v>8.6999999999999993</v>
      </c>
      <c r="G439" s="7">
        <v>0.43099999999999999</v>
      </c>
      <c r="H439" s="7">
        <v>1.6</v>
      </c>
      <c r="I439" s="7">
        <v>3.5</v>
      </c>
      <c r="J439" s="7">
        <v>0.83</v>
      </c>
      <c r="K439" s="7">
        <v>2.4</v>
      </c>
      <c r="L439" s="7">
        <v>4.4000000000000004</v>
      </c>
      <c r="M439" s="7">
        <v>1.7</v>
      </c>
      <c r="N439" s="7">
        <v>0.1</v>
      </c>
      <c r="O439" s="7">
        <v>2.2999999999999998</v>
      </c>
      <c r="P439" s="7">
        <v>12</v>
      </c>
    </row>
    <row r="440" spans="1:16" x14ac:dyDescent="0.35">
      <c r="A440" s="1" t="s">
        <v>609</v>
      </c>
      <c r="B440" s="1" t="s">
        <v>47</v>
      </c>
      <c r="C440" s="1" t="s">
        <v>88</v>
      </c>
      <c r="D440" s="7">
        <v>49</v>
      </c>
      <c r="E440" s="7">
        <v>11.5</v>
      </c>
      <c r="F440" s="7">
        <v>3.6</v>
      </c>
      <c r="G440" s="7">
        <v>0.45100000000000001</v>
      </c>
      <c r="H440" s="7">
        <v>0.6</v>
      </c>
      <c r="I440" s="7">
        <v>0.6</v>
      </c>
      <c r="J440" s="7">
        <v>0.83899999999999997</v>
      </c>
      <c r="K440" s="7">
        <v>1.1000000000000001</v>
      </c>
      <c r="L440" s="7">
        <v>1.6</v>
      </c>
      <c r="M440" s="7">
        <v>0.4</v>
      </c>
      <c r="N440" s="7">
        <v>0.1</v>
      </c>
      <c r="O440" s="7">
        <v>0.9</v>
      </c>
      <c r="P440" s="7">
        <v>4.3</v>
      </c>
    </row>
    <row r="441" spans="1:16" x14ac:dyDescent="0.35">
      <c r="A441" s="1" t="s">
        <v>610</v>
      </c>
      <c r="B441" s="1" t="s">
        <v>25</v>
      </c>
      <c r="C441" s="1" t="s">
        <v>137</v>
      </c>
      <c r="D441" s="7">
        <v>1</v>
      </c>
      <c r="E441" s="7">
        <v>4</v>
      </c>
      <c r="F441" s="7">
        <v>2</v>
      </c>
      <c r="G441" s="7">
        <v>0</v>
      </c>
      <c r="H441" s="7">
        <v>0</v>
      </c>
      <c r="I441" s="7">
        <v>2</v>
      </c>
      <c r="J441" s="7">
        <v>1</v>
      </c>
      <c r="K441" s="7">
        <v>0</v>
      </c>
      <c r="L441" s="7">
        <v>0</v>
      </c>
      <c r="M441" s="7">
        <v>0</v>
      </c>
      <c r="N441" s="7">
        <v>0</v>
      </c>
      <c r="O441" s="7">
        <v>1</v>
      </c>
      <c r="P441" s="7">
        <v>2</v>
      </c>
    </row>
    <row r="442" spans="1:16" x14ac:dyDescent="0.35">
      <c r="A442" s="1" t="s">
        <v>355</v>
      </c>
      <c r="B442" s="1" t="s">
        <v>15</v>
      </c>
      <c r="C442" s="1" t="s">
        <v>87</v>
      </c>
      <c r="D442" s="7">
        <v>58</v>
      </c>
      <c r="E442" s="7">
        <v>13.3</v>
      </c>
      <c r="F442" s="7">
        <v>4.5999999999999996</v>
      </c>
      <c r="G442" s="7">
        <v>0.45300000000000001</v>
      </c>
      <c r="H442" s="7">
        <v>1.3</v>
      </c>
      <c r="I442" s="7">
        <v>0.4</v>
      </c>
      <c r="J442" s="7">
        <v>0.86399999999999999</v>
      </c>
      <c r="K442" s="7">
        <v>1.9</v>
      </c>
      <c r="L442" s="7">
        <v>0.6</v>
      </c>
      <c r="M442" s="7">
        <v>0.2</v>
      </c>
      <c r="N442" s="7">
        <v>0.1</v>
      </c>
      <c r="O442" s="7">
        <v>0.4</v>
      </c>
      <c r="P442" s="7">
        <v>5.8</v>
      </c>
    </row>
    <row r="443" spans="1:16" x14ac:dyDescent="0.35">
      <c r="A443" s="1" t="s">
        <v>356</v>
      </c>
      <c r="B443" s="1" t="s">
        <v>18</v>
      </c>
      <c r="C443" s="1" t="s">
        <v>19</v>
      </c>
      <c r="D443" s="7">
        <v>55</v>
      </c>
      <c r="E443" s="7">
        <v>18.399999999999999</v>
      </c>
      <c r="F443" s="7">
        <v>4.5999999999999996</v>
      </c>
      <c r="G443" s="7">
        <v>0.68500000000000005</v>
      </c>
      <c r="H443" s="7">
        <v>0</v>
      </c>
      <c r="I443" s="7">
        <v>1.8</v>
      </c>
      <c r="J443" s="7">
        <v>0.76500000000000001</v>
      </c>
      <c r="K443" s="7">
        <v>4.9000000000000004</v>
      </c>
      <c r="L443" s="7">
        <v>1</v>
      </c>
      <c r="M443" s="7">
        <v>1</v>
      </c>
      <c r="N443" s="7">
        <v>1.5</v>
      </c>
      <c r="O443" s="7">
        <v>1</v>
      </c>
      <c r="P443" s="7">
        <v>7.7</v>
      </c>
    </row>
    <row r="444" spans="1:16" x14ac:dyDescent="0.35">
      <c r="A444" s="1" t="s">
        <v>611</v>
      </c>
      <c r="B444" s="1" t="s">
        <v>25</v>
      </c>
      <c r="C444" s="1" t="s">
        <v>50</v>
      </c>
      <c r="D444" s="7">
        <v>5</v>
      </c>
      <c r="E444" s="7">
        <v>8.1999999999999993</v>
      </c>
      <c r="F444" s="7">
        <v>2.4</v>
      </c>
      <c r="G444" s="7">
        <v>0.25</v>
      </c>
      <c r="H444" s="7">
        <v>0.6</v>
      </c>
      <c r="I444" s="7">
        <v>0.2</v>
      </c>
      <c r="J444" s="7">
        <v>1</v>
      </c>
      <c r="K444" s="7">
        <v>1.2</v>
      </c>
      <c r="L444" s="7">
        <v>0.6</v>
      </c>
      <c r="M444" s="7">
        <v>0.4</v>
      </c>
      <c r="N444" s="7">
        <v>0</v>
      </c>
      <c r="O444" s="7">
        <v>0.6</v>
      </c>
      <c r="P444" s="7">
        <v>2</v>
      </c>
    </row>
    <row r="445" spans="1:16" x14ac:dyDescent="0.35">
      <c r="A445" s="1" t="s">
        <v>611</v>
      </c>
      <c r="B445" s="1" t="s">
        <v>25</v>
      </c>
      <c r="C445" s="1" t="s">
        <v>41</v>
      </c>
      <c r="D445" s="7">
        <v>2</v>
      </c>
      <c r="E445" s="7">
        <v>2.5</v>
      </c>
      <c r="F445" s="7">
        <v>0.5</v>
      </c>
      <c r="G445" s="7">
        <v>0</v>
      </c>
      <c r="H445" s="7">
        <v>0</v>
      </c>
      <c r="I445" s="7">
        <v>0</v>
      </c>
      <c r="K445" s="7">
        <v>0.5</v>
      </c>
      <c r="L445" s="7">
        <v>0</v>
      </c>
      <c r="M445" s="7">
        <v>0</v>
      </c>
      <c r="N445" s="7">
        <v>0</v>
      </c>
      <c r="O445" s="7">
        <v>0</v>
      </c>
      <c r="P445" s="7">
        <v>0</v>
      </c>
    </row>
    <row r="446" spans="1:16" x14ac:dyDescent="0.35">
      <c r="A446" s="1" t="s">
        <v>611</v>
      </c>
      <c r="B446" s="1" t="s">
        <v>25</v>
      </c>
      <c r="C446" s="1" t="s">
        <v>96</v>
      </c>
      <c r="D446" s="7">
        <v>3</v>
      </c>
      <c r="E446" s="7">
        <v>12</v>
      </c>
      <c r="F446" s="7">
        <v>3.7</v>
      </c>
      <c r="G446" s="7">
        <v>0.27300000000000002</v>
      </c>
      <c r="H446" s="7">
        <v>1</v>
      </c>
      <c r="I446" s="7">
        <v>0.3</v>
      </c>
      <c r="J446" s="7">
        <v>1</v>
      </c>
      <c r="K446" s="7">
        <v>1.7</v>
      </c>
      <c r="L446" s="7">
        <v>1</v>
      </c>
      <c r="M446" s="7">
        <v>0.7</v>
      </c>
      <c r="N446" s="7">
        <v>0</v>
      </c>
      <c r="O446" s="7">
        <v>1</v>
      </c>
      <c r="P446" s="7">
        <v>3.3</v>
      </c>
    </row>
    <row r="447" spans="1:16" x14ac:dyDescent="0.35">
      <c r="A447" s="1" t="s">
        <v>357</v>
      </c>
      <c r="B447" s="1" t="s">
        <v>25</v>
      </c>
      <c r="C447" s="1" t="s">
        <v>65</v>
      </c>
      <c r="D447" s="7">
        <v>15</v>
      </c>
      <c r="E447" s="7">
        <v>10.1</v>
      </c>
      <c r="F447" s="7">
        <v>3.5</v>
      </c>
      <c r="G447" s="7">
        <v>0.35799999999999998</v>
      </c>
      <c r="H447" s="7">
        <v>0.2</v>
      </c>
      <c r="I447" s="7">
        <v>1.1000000000000001</v>
      </c>
      <c r="J447" s="7">
        <v>0.94099999999999995</v>
      </c>
      <c r="K447" s="7">
        <v>0.9</v>
      </c>
      <c r="L447" s="7">
        <v>1.3</v>
      </c>
      <c r="M447" s="7">
        <v>0.2</v>
      </c>
      <c r="N447" s="7">
        <v>0.1</v>
      </c>
      <c r="O447" s="7">
        <v>0.2</v>
      </c>
      <c r="P447" s="7">
        <v>3.8</v>
      </c>
    </row>
    <row r="448" spans="1:16" x14ac:dyDescent="0.35">
      <c r="A448" s="1" t="s">
        <v>358</v>
      </c>
      <c r="B448" s="1" t="s">
        <v>47</v>
      </c>
      <c r="C448" s="1" t="s">
        <v>32</v>
      </c>
      <c r="D448" s="7">
        <v>57</v>
      </c>
      <c r="E448" s="7">
        <v>20.8</v>
      </c>
      <c r="F448" s="7">
        <v>5.8</v>
      </c>
      <c r="G448" s="7">
        <v>0.39300000000000002</v>
      </c>
      <c r="H448" s="7">
        <v>0.8</v>
      </c>
      <c r="I448" s="7">
        <v>1</v>
      </c>
      <c r="J448" s="7">
        <v>0.86399999999999999</v>
      </c>
      <c r="K448" s="7">
        <v>2.1</v>
      </c>
      <c r="L448" s="7">
        <v>3</v>
      </c>
      <c r="M448" s="7">
        <v>0.9</v>
      </c>
      <c r="N448" s="7">
        <v>0.3</v>
      </c>
      <c r="O448" s="7">
        <v>1.2</v>
      </c>
      <c r="P448" s="7">
        <v>6.3</v>
      </c>
    </row>
    <row r="449" spans="1:16" x14ac:dyDescent="0.35">
      <c r="A449" s="1" t="s">
        <v>359</v>
      </c>
      <c r="B449" s="1" t="s">
        <v>25</v>
      </c>
      <c r="C449" s="1" t="s">
        <v>21</v>
      </c>
      <c r="D449" s="7">
        <v>62</v>
      </c>
      <c r="E449" s="7">
        <v>29.8</v>
      </c>
      <c r="F449" s="7">
        <v>13.7</v>
      </c>
      <c r="G449" s="7">
        <v>0.44800000000000001</v>
      </c>
      <c r="H449" s="7">
        <v>2.1</v>
      </c>
      <c r="I449" s="7">
        <v>1.5</v>
      </c>
      <c r="J449" s="7">
        <v>0.83699999999999997</v>
      </c>
      <c r="K449" s="7">
        <v>2.7</v>
      </c>
      <c r="L449" s="7">
        <v>3.4</v>
      </c>
      <c r="M449" s="7">
        <v>0.8</v>
      </c>
      <c r="N449" s="7">
        <v>0.2</v>
      </c>
      <c r="O449" s="7">
        <v>1.6</v>
      </c>
      <c r="P449" s="7">
        <v>15.6</v>
      </c>
    </row>
    <row r="450" spans="1:16" x14ac:dyDescent="0.35">
      <c r="A450" s="1" t="s">
        <v>612</v>
      </c>
      <c r="B450" s="1" t="s">
        <v>35</v>
      </c>
      <c r="C450" s="1" t="s">
        <v>30</v>
      </c>
      <c r="D450" s="7">
        <v>20</v>
      </c>
      <c r="E450" s="7">
        <v>13.4</v>
      </c>
      <c r="F450" s="7">
        <v>3.6</v>
      </c>
      <c r="G450" s="7">
        <v>0.52100000000000002</v>
      </c>
      <c r="H450" s="7">
        <v>0.6</v>
      </c>
      <c r="I450" s="7">
        <v>1.4</v>
      </c>
      <c r="J450" s="7">
        <v>0.66700000000000004</v>
      </c>
      <c r="K450" s="7">
        <v>2.2999999999999998</v>
      </c>
      <c r="L450" s="7">
        <v>0.4</v>
      </c>
      <c r="M450" s="7">
        <v>0.6</v>
      </c>
      <c r="N450" s="7">
        <v>0.6</v>
      </c>
      <c r="O450" s="7">
        <v>0.4</v>
      </c>
      <c r="P450" s="7">
        <v>5.2</v>
      </c>
    </row>
    <row r="451" spans="1:16" x14ac:dyDescent="0.35">
      <c r="A451" s="1" t="s">
        <v>360</v>
      </c>
      <c r="B451" s="1" t="s">
        <v>15</v>
      </c>
      <c r="C451" s="1" t="s">
        <v>87</v>
      </c>
      <c r="D451" s="7">
        <v>64</v>
      </c>
      <c r="E451" s="7">
        <v>29.1</v>
      </c>
      <c r="F451" s="7">
        <v>5</v>
      </c>
      <c r="G451" s="7">
        <v>0.439</v>
      </c>
      <c r="H451" s="7">
        <v>1.3</v>
      </c>
      <c r="I451" s="7">
        <v>0.8</v>
      </c>
      <c r="J451" s="7">
        <v>0.73499999999999999</v>
      </c>
      <c r="K451" s="7">
        <v>5.3</v>
      </c>
      <c r="L451" s="7">
        <v>2.5</v>
      </c>
      <c r="M451" s="7">
        <v>0.7</v>
      </c>
      <c r="N451" s="7">
        <v>0.4</v>
      </c>
      <c r="O451" s="7">
        <v>0.8</v>
      </c>
      <c r="P451" s="7">
        <v>6.3</v>
      </c>
    </row>
    <row r="452" spans="1:16" x14ac:dyDescent="0.35">
      <c r="A452" s="1" t="s">
        <v>361</v>
      </c>
      <c r="B452" s="1" t="s">
        <v>18</v>
      </c>
      <c r="C452" s="1" t="s">
        <v>88</v>
      </c>
      <c r="D452" s="7">
        <v>26</v>
      </c>
      <c r="E452" s="7">
        <v>9.9</v>
      </c>
      <c r="F452" s="7">
        <v>2.8</v>
      </c>
      <c r="G452" s="7">
        <v>0.48599999999999999</v>
      </c>
      <c r="H452" s="7">
        <v>0.3</v>
      </c>
      <c r="I452" s="7">
        <v>0.7</v>
      </c>
      <c r="J452" s="7">
        <v>0.52600000000000002</v>
      </c>
      <c r="K452" s="7">
        <v>3.8</v>
      </c>
      <c r="L452" s="7">
        <v>1.3</v>
      </c>
      <c r="M452" s="7">
        <v>0.2</v>
      </c>
      <c r="N452" s="7">
        <v>0.8</v>
      </c>
      <c r="O452" s="7">
        <v>0.7</v>
      </c>
      <c r="P452" s="7">
        <v>3.3</v>
      </c>
    </row>
    <row r="453" spans="1:16" x14ac:dyDescent="0.35">
      <c r="A453" s="1" t="s">
        <v>362</v>
      </c>
      <c r="B453" s="1" t="s">
        <v>15</v>
      </c>
      <c r="C453" s="1" t="s">
        <v>109</v>
      </c>
      <c r="D453" s="7">
        <v>61</v>
      </c>
      <c r="E453" s="7">
        <v>14.6</v>
      </c>
      <c r="F453" s="7">
        <v>2.6</v>
      </c>
      <c r="G453" s="7">
        <v>0.40899999999999997</v>
      </c>
      <c r="H453" s="7">
        <v>0.6</v>
      </c>
      <c r="I453" s="7">
        <v>0.5</v>
      </c>
      <c r="J453" s="7">
        <v>0.89300000000000002</v>
      </c>
      <c r="K453" s="7">
        <v>2</v>
      </c>
      <c r="L453" s="7">
        <v>0.5</v>
      </c>
      <c r="M453" s="7">
        <v>0.3</v>
      </c>
      <c r="N453" s="7">
        <v>0.1</v>
      </c>
      <c r="O453" s="7">
        <v>0.2</v>
      </c>
      <c r="P453" s="7">
        <v>3.1</v>
      </c>
    </row>
    <row r="454" spans="1:16" x14ac:dyDescent="0.35">
      <c r="A454" s="1" t="s">
        <v>363</v>
      </c>
      <c r="B454" s="1" t="s">
        <v>18</v>
      </c>
      <c r="C454" s="1" t="s">
        <v>26</v>
      </c>
      <c r="D454" s="7">
        <v>28</v>
      </c>
      <c r="E454" s="7">
        <v>15.1</v>
      </c>
      <c r="F454" s="7">
        <v>5.0999999999999996</v>
      </c>
      <c r="G454" s="7">
        <v>0.61099999999999999</v>
      </c>
      <c r="H454" s="7">
        <v>0</v>
      </c>
      <c r="I454" s="7">
        <v>2.1</v>
      </c>
      <c r="J454" s="7">
        <v>0.63800000000000001</v>
      </c>
      <c r="K454" s="7">
        <v>4.3</v>
      </c>
      <c r="L454" s="7">
        <v>1.3</v>
      </c>
      <c r="M454" s="7">
        <v>0.3</v>
      </c>
      <c r="N454" s="7">
        <v>0.7</v>
      </c>
      <c r="O454" s="7">
        <v>1.3</v>
      </c>
      <c r="P454" s="7">
        <v>7.6</v>
      </c>
    </row>
    <row r="455" spans="1:16" x14ac:dyDescent="0.35">
      <c r="A455" s="1" t="s">
        <v>364</v>
      </c>
      <c r="B455" s="1" t="s">
        <v>47</v>
      </c>
      <c r="C455" s="1" t="s">
        <v>54</v>
      </c>
      <c r="D455" s="7">
        <v>54</v>
      </c>
      <c r="E455" s="7">
        <v>13.1</v>
      </c>
      <c r="F455" s="7">
        <v>3.4</v>
      </c>
      <c r="G455" s="7">
        <v>0.39800000000000002</v>
      </c>
      <c r="H455" s="7">
        <v>0.5</v>
      </c>
      <c r="I455" s="7">
        <v>1.2</v>
      </c>
      <c r="J455" s="7">
        <v>0.68700000000000006</v>
      </c>
      <c r="K455" s="7">
        <v>1.6</v>
      </c>
      <c r="L455" s="7">
        <v>2.1</v>
      </c>
      <c r="M455" s="7">
        <v>0.4</v>
      </c>
      <c r="N455" s="7">
        <v>0.1</v>
      </c>
      <c r="O455" s="7">
        <v>0.7</v>
      </c>
      <c r="P455" s="7">
        <v>4</v>
      </c>
    </row>
    <row r="456" spans="1:16" x14ac:dyDescent="0.35">
      <c r="A456" s="1" t="s">
        <v>365</v>
      </c>
      <c r="B456" s="1" t="s">
        <v>25</v>
      </c>
      <c r="C456" s="1" t="s">
        <v>65</v>
      </c>
      <c r="D456" s="7">
        <v>62</v>
      </c>
      <c r="E456" s="7">
        <v>25</v>
      </c>
      <c r="F456" s="7">
        <v>6.4</v>
      </c>
      <c r="G456" s="7">
        <v>0.42699999999999999</v>
      </c>
      <c r="H456" s="7">
        <v>0.7</v>
      </c>
      <c r="I456" s="7">
        <v>3.1</v>
      </c>
      <c r="J456" s="7">
        <v>0.79600000000000004</v>
      </c>
      <c r="K456" s="7">
        <v>4.3</v>
      </c>
      <c r="L456" s="7">
        <v>1.6</v>
      </c>
      <c r="M456" s="7">
        <v>1.1000000000000001</v>
      </c>
      <c r="N456" s="7">
        <v>0.4</v>
      </c>
      <c r="O456" s="7">
        <v>1.4</v>
      </c>
      <c r="P456" s="7">
        <v>8.6</v>
      </c>
    </row>
    <row r="457" spans="1:16" x14ac:dyDescent="0.35">
      <c r="A457" s="1" t="s">
        <v>366</v>
      </c>
      <c r="B457" s="1" t="s">
        <v>35</v>
      </c>
      <c r="C457" s="1" t="s">
        <v>21</v>
      </c>
      <c r="D457" s="7">
        <v>5</v>
      </c>
      <c r="E457" s="7">
        <v>5.2</v>
      </c>
      <c r="F457" s="7">
        <v>1</v>
      </c>
      <c r="G457" s="7">
        <v>0.6</v>
      </c>
      <c r="H457" s="7">
        <v>0</v>
      </c>
      <c r="I457" s="7">
        <v>0.4</v>
      </c>
      <c r="J457" s="7">
        <v>0.5</v>
      </c>
      <c r="K457" s="7">
        <v>1</v>
      </c>
      <c r="L457" s="7">
        <v>0.2</v>
      </c>
      <c r="M457" s="7">
        <v>0.4</v>
      </c>
      <c r="N457" s="7">
        <v>0.2</v>
      </c>
      <c r="O457" s="7">
        <v>0.2</v>
      </c>
      <c r="P457" s="7">
        <v>1.4</v>
      </c>
    </row>
    <row r="458" spans="1:16" x14ac:dyDescent="0.35">
      <c r="A458" s="1" t="s">
        <v>480</v>
      </c>
      <c r="B458" s="1" t="s">
        <v>25</v>
      </c>
      <c r="C458" s="1" t="s">
        <v>83</v>
      </c>
      <c r="D458" s="7">
        <v>13</v>
      </c>
      <c r="E458" s="7">
        <v>25.9</v>
      </c>
      <c r="F458" s="7">
        <v>12.4</v>
      </c>
      <c r="G458" s="7">
        <v>0.39100000000000001</v>
      </c>
      <c r="H458" s="7">
        <v>1.6</v>
      </c>
      <c r="I458" s="7">
        <v>3.2</v>
      </c>
      <c r="J458" s="7">
        <v>0.78</v>
      </c>
      <c r="K458" s="7">
        <v>3.2</v>
      </c>
      <c r="L458" s="7">
        <v>3</v>
      </c>
      <c r="M458" s="7">
        <v>0.8</v>
      </c>
      <c r="N458" s="7">
        <v>0.2</v>
      </c>
      <c r="O458" s="7">
        <v>2.2000000000000002</v>
      </c>
      <c r="P458" s="7">
        <v>13.8</v>
      </c>
    </row>
    <row r="459" spans="1:16" x14ac:dyDescent="0.35">
      <c r="A459" s="1" t="s">
        <v>367</v>
      </c>
      <c r="B459" s="1" t="s">
        <v>18</v>
      </c>
      <c r="C459" s="1" t="s">
        <v>21</v>
      </c>
      <c r="D459" s="7">
        <v>59</v>
      </c>
      <c r="E459" s="7">
        <v>18.5</v>
      </c>
      <c r="F459" s="7">
        <v>5.4</v>
      </c>
      <c r="G459" s="7">
        <v>0.47599999999999998</v>
      </c>
      <c r="H459" s="7">
        <v>1.4</v>
      </c>
      <c r="I459" s="7">
        <v>1.4</v>
      </c>
      <c r="J459" s="7">
        <v>0.85399999999999998</v>
      </c>
      <c r="K459" s="7">
        <v>4.4000000000000004</v>
      </c>
      <c r="L459" s="7">
        <v>1.6</v>
      </c>
      <c r="M459" s="7">
        <v>0.6</v>
      </c>
      <c r="N459" s="7">
        <v>0.3</v>
      </c>
      <c r="O459" s="7">
        <v>1.1000000000000001</v>
      </c>
      <c r="P459" s="7">
        <v>7.7</v>
      </c>
    </row>
    <row r="460" spans="1:16" x14ac:dyDescent="0.35">
      <c r="A460" s="1" t="s">
        <v>368</v>
      </c>
      <c r="B460" s="1" t="s">
        <v>25</v>
      </c>
      <c r="C460" s="1" t="s">
        <v>87</v>
      </c>
      <c r="D460" s="7">
        <v>5</v>
      </c>
      <c r="E460" s="7">
        <v>2.2000000000000002</v>
      </c>
      <c r="F460" s="7">
        <v>0.4</v>
      </c>
      <c r="G460" s="7">
        <v>0</v>
      </c>
      <c r="H460" s="7">
        <v>0</v>
      </c>
      <c r="I460" s="7">
        <v>0</v>
      </c>
      <c r="K460" s="7">
        <v>0.4</v>
      </c>
      <c r="L460" s="7">
        <v>0</v>
      </c>
      <c r="M460" s="7">
        <v>0</v>
      </c>
      <c r="N460" s="7">
        <v>0</v>
      </c>
      <c r="O460" s="7">
        <v>0.2</v>
      </c>
      <c r="P460" s="7">
        <v>0</v>
      </c>
    </row>
    <row r="461" spans="1:16" x14ac:dyDescent="0.35">
      <c r="A461" s="1" t="s">
        <v>369</v>
      </c>
      <c r="B461" s="1" t="s">
        <v>35</v>
      </c>
      <c r="C461" s="1" t="s">
        <v>137</v>
      </c>
      <c r="D461" s="7">
        <v>65</v>
      </c>
      <c r="E461" s="7">
        <v>29.4</v>
      </c>
      <c r="F461" s="7">
        <v>9.4</v>
      </c>
      <c r="G461" s="7">
        <v>0.437</v>
      </c>
      <c r="H461" s="7">
        <v>1.9</v>
      </c>
      <c r="I461" s="7">
        <v>1.4</v>
      </c>
      <c r="J461" s="7">
        <v>0.67</v>
      </c>
      <c r="K461" s="7">
        <v>3.6</v>
      </c>
      <c r="L461" s="7">
        <v>2.4</v>
      </c>
      <c r="M461" s="7">
        <v>0.8</v>
      </c>
      <c r="N461" s="7">
        <v>0.2</v>
      </c>
      <c r="O461" s="7">
        <v>1.4</v>
      </c>
      <c r="P461" s="7">
        <v>11</v>
      </c>
    </row>
    <row r="462" spans="1:16" x14ac:dyDescent="0.35">
      <c r="A462" s="1" t="s">
        <v>698</v>
      </c>
      <c r="B462" s="1" t="s">
        <v>35</v>
      </c>
      <c r="C462" s="1" t="s">
        <v>54</v>
      </c>
      <c r="D462" s="7">
        <v>56</v>
      </c>
      <c r="E462" s="7">
        <v>34.5</v>
      </c>
      <c r="F462" s="7">
        <v>14.8</v>
      </c>
      <c r="G462" s="7">
        <v>0.45200000000000001</v>
      </c>
      <c r="H462" s="7">
        <v>1.9</v>
      </c>
      <c r="I462" s="7">
        <v>4.4000000000000004</v>
      </c>
      <c r="J462" s="7">
        <v>0.78</v>
      </c>
      <c r="K462" s="7">
        <v>6.4</v>
      </c>
      <c r="L462" s="7">
        <v>1.5</v>
      </c>
      <c r="M462" s="7">
        <v>1.3</v>
      </c>
      <c r="N462" s="7">
        <v>0.7</v>
      </c>
      <c r="O462" s="7">
        <v>1.5</v>
      </c>
      <c r="P462" s="7">
        <v>18.7</v>
      </c>
    </row>
    <row r="463" spans="1:16" x14ac:dyDescent="0.35">
      <c r="A463" s="1" t="s">
        <v>481</v>
      </c>
      <c r="B463" s="1" t="s">
        <v>15</v>
      </c>
      <c r="C463" s="1" t="s">
        <v>54</v>
      </c>
      <c r="D463" s="7">
        <v>3</v>
      </c>
      <c r="E463" s="7">
        <v>5</v>
      </c>
      <c r="F463" s="7">
        <v>1.7</v>
      </c>
      <c r="G463" s="7">
        <v>0.2</v>
      </c>
      <c r="H463" s="7">
        <v>0</v>
      </c>
      <c r="I463" s="7">
        <v>0.7</v>
      </c>
      <c r="J463" s="7">
        <v>1</v>
      </c>
      <c r="K463" s="7">
        <v>1</v>
      </c>
      <c r="L463" s="7">
        <v>0</v>
      </c>
      <c r="M463" s="7">
        <v>0.3</v>
      </c>
      <c r="N463" s="7">
        <v>0</v>
      </c>
      <c r="O463" s="7">
        <v>0</v>
      </c>
      <c r="P463" s="7">
        <v>1.3</v>
      </c>
    </row>
    <row r="464" spans="1:16" x14ac:dyDescent="0.35">
      <c r="A464" s="1" t="s">
        <v>613</v>
      </c>
      <c r="B464" s="1" t="s">
        <v>47</v>
      </c>
      <c r="C464" s="1" t="s">
        <v>96</v>
      </c>
      <c r="D464" s="7">
        <v>3</v>
      </c>
      <c r="E464" s="7">
        <v>14.7</v>
      </c>
      <c r="F464" s="7">
        <v>7.3</v>
      </c>
      <c r="G464" s="7">
        <v>0.5</v>
      </c>
      <c r="H464" s="7">
        <v>1</v>
      </c>
      <c r="I464" s="7">
        <v>0.3</v>
      </c>
      <c r="J464" s="7">
        <v>0</v>
      </c>
      <c r="K464" s="7">
        <v>1</v>
      </c>
      <c r="L464" s="7">
        <v>2.7</v>
      </c>
      <c r="M464" s="7">
        <v>0.3</v>
      </c>
      <c r="N464" s="7">
        <v>0</v>
      </c>
      <c r="O464" s="7">
        <v>1.3</v>
      </c>
      <c r="P464" s="7">
        <v>8.3000000000000007</v>
      </c>
    </row>
    <row r="465" spans="1:16" x14ac:dyDescent="0.35">
      <c r="A465" s="1" t="s">
        <v>371</v>
      </c>
      <c r="B465" s="1" t="s">
        <v>15</v>
      </c>
      <c r="C465" s="1" t="s">
        <v>50</v>
      </c>
      <c r="D465" s="7">
        <v>33</v>
      </c>
      <c r="E465" s="7">
        <v>25.8</v>
      </c>
      <c r="F465" s="7">
        <v>12.1</v>
      </c>
      <c r="G465" s="7">
        <v>0.499</v>
      </c>
      <c r="H465" s="7">
        <v>0.9</v>
      </c>
      <c r="I465" s="7">
        <v>2.2000000000000002</v>
      </c>
      <c r="J465" s="7">
        <v>0.74299999999999999</v>
      </c>
      <c r="K465" s="7">
        <v>5.9</v>
      </c>
      <c r="L465" s="7">
        <v>1.8</v>
      </c>
      <c r="M465" s="7">
        <v>1.3</v>
      </c>
      <c r="N465" s="7">
        <v>0.5</v>
      </c>
      <c r="O465" s="7">
        <v>1.8</v>
      </c>
      <c r="P465" s="7">
        <v>14.7</v>
      </c>
    </row>
    <row r="466" spans="1:16" x14ac:dyDescent="0.35">
      <c r="A466" s="1" t="s">
        <v>371</v>
      </c>
      <c r="B466" s="1" t="s">
        <v>15</v>
      </c>
      <c r="C466" s="1" t="s">
        <v>77</v>
      </c>
      <c r="D466" s="7">
        <v>32</v>
      </c>
      <c r="E466" s="7">
        <v>26.2</v>
      </c>
      <c r="F466" s="7">
        <v>12.3</v>
      </c>
      <c r="G466" s="7">
        <v>0.504</v>
      </c>
      <c r="H466" s="7">
        <v>1</v>
      </c>
      <c r="I466" s="7">
        <v>2.2999999999999998</v>
      </c>
      <c r="J466" s="7">
        <v>0.73599999999999999</v>
      </c>
      <c r="K466" s="7">
        <v>6</v>
      </c>
      <c r="L466" s="7">
        <v>1.8</v>
      </c>
      <c r="M466" s="7">
        <v>1.3</v>
      </c>
      <c r="N466" s="7">
        <v>0.5</v>
      </c>
      <c r="O466" s="7">
        <v>1.9</v>
      </c>
      <c r="P466" s="7">
        <v>15</v>
      </c>
    </row>
    <row r="467" spans="1:16" x14ac:dyDescent="0.35">
      <c r="A467" s="1" t="s">
        <v>371</v>
      </c>
      <c r="B467" s="1" t="s">
        <v>15</v>
      </c>
      <c r="C467" s="1" t="s">
        <v>51</v>
      </c>
      <c r="D467" s="7">
        <v>1</v>
      </c>
      <c r="E467" s="7">
        <v>15</v>
      </c>
      <c r="F467" s="7">
        <v>6</v>
      </c>
      <c r="G467" s="7">
        <v>0.16700000000000001</v>
      </c>
      <c r="H467" s="7">
        <v>0</v>
      </c>
      <c r="I467" s="7">
        <v>2</v>
      </c>
      <c r="J467" s="7">
        <v>1</v>
      </c>
      <c r="K467" s="7">
        <v>4</v>
      </c>
      <c r="L467" s="7">
        <v>2</v>
      </c>
      <c r="M467" s="7">
        <v>0</v>
      </c>
      <c r="N467" s="7">
        <v>0</v>
      </c>
      <c r="O467" s="7">
        <v>0</v>
      </c>
      <c r="P467" s="7">
        <v>4</v>
      </c>
    </row>
    <row r="468" spans="1:16" x14ac:dyDescent="0.35">
      <c r="A468" s="1" t="s">
        <v>614</v>
      </c>
      <c r="B468" s="1" t="s">
        <v>35</v>
      </c>
      <c r="C468" s="1" t="s">
        <v>77</v>
      </c>
      <c r="D468" s="7">
        <v>5</v>
      </c>
      <c r="E468" s="7">
        <v>10.8</v>
      </c>
      <c r="F468" s="7">
        <v>3.6</v>
      </c>
      <c r="G468" s="7">
        <v>0.27800000000000002</v>
      </c>
      <c r="H468" s="7">
        <v>0.8</v>
      </c>
      <c r="I468" s="7">
        <v>0</v>
      </c>
      <c r="K468" s="7">
        <v>1.4</v>
      </c>
      <c r="L468" s="7">
        <v>0.6</v>
      </c>
      <c r="M468" s="7">
        <v>0.8</v>
      </c>
      <c r="N468" s="7">
        <v>0.2</v>
      </c>
      <c r="O468" s="7">
        <v>0.6</v>
      </c>
      <c r="P468" s="7">
        <v>2.8</v>
      </c>
    </row>
    <row r="469" spans="1:16" x14ac:dyDescent="0.35">
      <c r="A469" s="1" t="s">
        <v>372</v>
      </c>
      <c r="B469" s="1" t="s">
        <v>15</v>
      </c>
      <c r="C469" s="1" t="s">
        <v>96</v>
      </c>
      <c r="D469" s="7">
        <v>60</v>
      </c>
      <c r="E469" s="7">
        <v>27.6</v>
      </c>
      <c r="F469" s="7">
        <v>10.7</v>
      </c>
      <c r="G469" s="7">
        <v>0.497</v>
      </c>
      <c r="H469" s="7">
        <v>0.6</v>
      </c>
      <c r="I469" s="7">
        <v>3.5</v>
      </c>
      <c r="J469" s="7">
        <v>0.77400000000000002</v>
      </c>
      <c r="K469" s="7">
        <v>4.5999999999999996</v>
      </c>
      <c r="L469" s="7">
        <v>2.1</v>
      </c>
      <c r="M469" s="7">
        <v>0.5</v>
      </c>
      <c r="N469" s="7">
        <v>0.2</v>
      </c>
      <c r="O469" s="7">
        <v>1.6</v>
      </c>
      <c r="P469" s="7">
        <v>14</v>
      </c>
    </row>
    <row r="470" spans="1:16" x14ac:dyDescent="0.35">
      <c r="A470" s="1" t="s">
        <v>667</v>
      </c>
      <c r="B470" s="1" t="s">
        <v>18</v>
      </c>
      <c r="C470" s="1" t="s">
        <v>72</v>
      </c>
      <c r="D470" s="7">
        <v>24</v>
      </c>
      <c r="E470" s="7">
        <v>16.899999999999999</v>
      </c>
      <c r="F470" s="7">
        <v>4.4000000000000004</v>
      </c>
      <c r="G470" s="7">
        <v>0.52800000000000002</v>
      </c>
      <c r="H470" s="7">
        <v>0</v>
      </c>
      <c r="I470" s="7">
        <v>2.2999999999999998</v>
      </c>
      <c r="J470" s="7">
        <v>0.59299999999999997</v>
      </c>
      <c r="K470" s="7">
        <v>4.0999999999999996</v>
      </c>
      <c r="L470" s="7">
        <v>0.7</v>
      </c>
      <c r="M470" s="7">
        <v>0.3</v>
      </c>
      <c r="N470" s="7">
        <v>0.5</v>
      </c>
      <c r="O470" s="7">
        <v>0.9</v>
      </c>
      <c r="P470" s="7">
        <v>6</v>
      </c>
    </row>
    <row r="471" spans="1:16" x14ac:dyDescent="0.35">
      <c r="A471" s="1" t="s">
        <v>373</v>
      </c>
      <c r="B471" s="1" t="s">
        <v>15</v>
      </c>
      <c r="C471" s="1" t="s">
        <v>80</v>
      </c>
      <c r="D471" s="7">
        <v>51</v>
      </c>
      <c r="E471" s="7">
        <v>11.9</v>
      </c>
      <c r="F471" s="7">
        <v>3.7</v>
      </c>
      <c r="G471" s="7">
        <v>0.40400000000000003</v>
      </c>
      <c r="H471" s="7">
        <v>1.1000000000000001</v>
      </c>
      <c r="I471" s="7">
        <v>0.7</v>
      </c>
      <c r="J471" s="7">
        <v>0.79400000000000004</v>
      </c>
      <c r="K471" s="7">
        <v>2.4</v>
      </c>
      <c r="L471" s="7">
        <v>0.6</v>
      </c>
      <c r="M471" s="7">
        <v>0.1</v>
      </c>
      <c r="N471" s="7">
        <v>0.1</v>
      </c>
      <c r="O471" s="7">
        <v>0.4</v>
      </c>
      <c r="P471" s="7">
        <v>4.5999999999999996</v>
      </c>
    </row>
    <row r="472" spans="1:16" x14ac:dyDescent="0.35">
      <c r="A472" s="1" t="s">
        <v>615</v>
      </c>
      <c r="B472" s="1" t="s">
        <v>18</v>
      </c>
      <c r="C472" s="1" t="s">
        <v>19</v>
      </c>
      <c r="D472" s="7">
        <v>5</v>
      </c>
      <c r="E472" s="7">
        <v>4.8</v>
      </c>
      <c r="F472" s="7">
        <v>2</v>
      </c>
      <c r="G472" s="7">
        <v>0.4</v>
      </c>
      <c r="H472" s="7">
        <v>0.2</v>
      </c>
      <c r="I472" s="7">
        <v>0</v>
      </c>
      <c r="K472" s="7">
        <v>1</v>
      </c>
      <c r="L472" s="7">
        <v>0.4</v>
      </c>
      <c r="M472" s="7">
        <v>0</v>
      </c>
      <c r="N472" s="7">
        <v>0</v>
      </c>
      <c r="O472" s="7">
        <v>0.4</v>
      </c>
      <c r="P472" s="7">
        <v>1.8</v>
      </c>
    </row>
    <row r="473" spans="1:16" x14ac:dyDescent="0.35">
      <c r="A473" s="1" t="s">
        <v>374</v>
      </c>
      <c r="B473" s="1" t="s">
        <v>47</v>
      </c>
      <c r="C473" s="1" t="s">
        <v>19</v>
      </c>
      <c r="D473" s="7">
        <v>63</v>
      </c>
      <c r="E473" s="7">
        <v>31.8</v>
      </c>
      <c r="F473" s="7">
        <v>12.8</v>
      </c>
      <c r="G473" s="7">
        <v>0.48899999999999999</v>
      </c>
      <c r="H473" s="7">
        <v>1.6</v>
      </c>
      <c r="I473" s="7">
        <v>4</v>
      </c>
      <c r="J473" s="7">
        <v>0.9</v>
      </c>
      <c r="K473" s="7">
        <v>4.9000000000000004</v>
      </c>
      <c r="L473" s="7">
        <v>6.8</v>
      </c>
      <c r="M473" s="7">
        <v>1.6</v>
      </c>
      <c r="N473" s="7">
        <v>0.1</v>
      </c>
      <c r="O473" s="7">
        <v>2.2000000000000002</v>
      </c>
      <c r="P473" s="7">
        <v>17.7</v>
      </c>
    </row>
    <row r="474" spans="1:16" x14ac:dyDescent="0.35">
      <c r="A474" s="1" t="s">
        <v>375</v>
      </c>
      <c r="B474" s="1" t="s">
        <v>47</v>
      </c>
      <c r="C474" s="1" t="s">
        <v>32</v>
      </c>
      <c r="D474" s="7">
        <v>45</v>
      </c>
      <c r="E474" s="7">
        <v>27.7</v>
      </c>
      <c r="F474" s="7">
        <v>9.8000000000000007</v>
      </c>
      <c r="G474" s="7">
        <v>0.439</v>
      </c>
      <c r="H474" s="7">
        <v>0.3</v>
      </c>
      <c r="I474" s="7">
        <v>1.9</v>
      </c>
      <c r="J474" s="7">
        <v>0.56999999999999995</v>
      </c>
      <c r="K474" s="7">
        <v>4.7</v>
      </c>
      <c r="L474" s="7">
        <v>7.2</v>
      </c>
      <c r="M474" s="7">
        <v>1.6</v>
      </c>
      <c r="N474" s="7">
        <v>0.4</v>
      </c>
      <c r="O474" s="7">
        <v>2.1</v>
      </c>
      <c r="P474" s="7">
        <v>10</v>
      </c>
    </row>
    <row r="475" spans="1:16" x14ac:dyDescent="0.35">
      <c r="A475" s="1" t="s">
        <v>641</v>
      </c>
      <c r="B475" s="1" t="s">
        <v>47</v>
      </c>
      <c r="C475" s="1" t="s">
        <v>72</v>
      </c>
      <c r="D475" s="7">
        <v>29</v>
      </c>
      <c r="E475" s="7">
        <v>14.9</v>
      </c>
      <c r="F475" s="7">
        <v>4</v>
      </c>
      <c r="G475" s="7">
        <v>0.41399999999999998</v>
      </c>
      <c r="H475" s="7">
        <v>0.4</v>
      </c>
      <c r="I475" s="7">
        <v>0.3</v>
      </c>
      <c r="J475" s="7">
        <v>0.5</v>
      </c>
      <c r="K475" s="7">
        <v>2.8</v>
      </c>
      <c r="L475" s="7">
        <v>1.7</v>
      </c>
      <c r="M475" s="7">
        <v>1.1000000000000001</v>
      </c>
      <c r="N475" s="7">
        <v>0.2</v>
      </c>
      <c r="O475" s="7">
        <v>0.7</v>
      </c>
      <c r="P475" s="7">
        <v>3.9</v>
      </c>
    </row>
    <row r="476" spans="1:16" x14ac:dyDescent="0.35">
      <c r="A476" s="1" t="s">
        <v>377</v>
      </c>
      <c r="B476" s="1" t="s">
        <v>18</v>
      </c>
      <c r="C476" s="1" t="s">
        <v>88</v>
      </c>
      <c r="D476" s="7">
        <v>20</v>
      </c>
      <c r="E476" s="7">
        <v>8.9</v>
      </c>
      <c r="F476" s="7">
        <v>1.8</v>
      </c>
      <c r="G476" s="7">
        <v>0.51400000000000001</v>
      </c>
      <c r="H476" s="7">
        <v>0</v>
      </c>
      <c r="I476" s="7">
        <v>0.6</v>
      </c>
      <c r="J476" s="7">
        <v>0.5</v>
      </c>
      <c r="K476" s="7">
        <v>3</v>
      </c>
      <c r="L476" s="7">
        <v>0.4</v>
      </c>
      <c r="M476" s="7">
        <v>0.1</v>
      </c>
      <c r="N476" s="7">
        <v>1.3</v>
      </c>
      <c r="O476" s="7">
        <v>0.7</v>
      </c>
      <c r="P476" s="7">
        <v>2.1</v>
      </c>
    </row>
    <row r="477" spans="1:16" x14ac:dyDescent="0.35">
      <c r="A477" s="1" t="s">
        <v>378</v>
      </c>
      <c r="B477" s="1" t="s">
        <v>25</v>
      </c>
      <c r="C477" s="1" t="s">
        <v>30</v>
      </c>
      <c r="D477" s="7">
        <v>33</v>
      </c>
      <c r="E477" s="7">
        <v>11.1</v>
      </c>
      <c r="F477" s="7">
        <v>4.7</v>
      </c>
      <c r="G477" s="7">
        <v>0.28999999999999998</v>
      </c>
      <c r="H477" s="7">
        <v>0.5</v>
      </c>
      <c r="I477" s="7">
        <v>0.5</v>
      </c>
      <c r="J477" s="7">
        <v>0.93799999999999994</v>
      </c>
      <c r="K477" s="7">
        <v>1.6</v>
      </c>
      <c r="L477" s="7">
        <v>1.7</v>
      </c>
      <c r="M477" s="7">
        <v>0.5</v>
      </c>
      <c r="N477" s="7">
        <v>0.1</v>
      </c>
      <c r="O477" s="7">
        <v>1</v>
      </c>
      <c r="P477" s="7">
        <v>3.6</v>
      </c>
    </row>
    <row r="478" spans="1:16" x14ac:dyDescent="0.35">
      <c r="A478" s="1" t="s">
        <v>379</v>
      </c>
      <c r="B478" s="1" t="s">
        <v>18</v>
      </c>
      <c r="C478" s="1" t="s">
        <v>63</v>
      </c>
      <c r="D478" s="7">
        <v>53</v>
      </c>
      <c r="E478" s="7">
        <v>17</v>
      </c>
      <c r="F478" s="7">
        <v>4.7</v>
      </c>
      <c r="G478" s="7">
        <v>0.61699999999999999</v>
      </c>
      <c r="H478" s="7">
        <v>0</v>
      </c>
      <c r="I478" s="7">
        <v>2.6</v>
      </c>
      <c r="J478" s="7">
        <v>0.53600000000000003</v>
      </c>
      <c r="K478" s="7">
        <v>5.3</v>
      </c>
      <c r="L478" s="7">
        <v>2.4</v>
      </c>
      <c r="M478" s="7">
        <v>0.5</v>
      </c>
      <c r="N478" s="7">
        <v>0.6</v>
      </c>
      <c r="O478" s="7">
        <v>1.4</v>
      </c>
      <c r="P478" s="7">
        <v>7.2</v>
      </c>
    </row>
    <row r="479" spans="1:16" x14ac:dyDescent="0.35">
      <c r="A479" s="1" t="s">
        <v>380</v>
      </c>
      <c r="B479" s="1" t="s">
        <v>18</v>
      </c>
      <c r="C479" s="1" t="s">
        <v>109</v>
      </c>
      <c r="D479" s="7">
        <v>21</v>
      </c>
      <c r="E479" s="7">
        <v>5.4</v>
      </c>
      <c r="F479" s="7">
        <v>1.6</v>
      </c>
      <c r="G479" s="7">
        <v>0.48499999999999999</v>
      </c>
      <c r="H479" s="7">
        <v>0</v>
      </c>
      <c r="I479" s="7">
        <v>0.3</v>
      </c>
      <c r="J479" s="7">
        <v>0.85699999999999998</v>
      </c>
      <c r="K479" s="7">
        <v>1.6</v>
      </c>
      <c r="L479" s="7">
        <v>0.3</v>
      </c>
      <c r="M479" s="7">
        <v>0.1</v>
      </c>
      <c r="N479" s="7">
        <v>0.3</v>
      </c>
      <c r="O479" s="7">
        <v>0.3</v>
      </c>
      <c r="P479" s="7">
        <v>1.9</v>
      </c>
    </row>
    <row r="480" spans="1:16" x14ac:dyDescent="0.35">
      <c r="A480" s="1" t="s">
        <v>668</v>
      </c>
      <c r="B480" s="1" t="s">
        <v>18</v>
      </c>
      <c r="C480" s="1" t="s">
        <v>23</v>
      </c>
      <c r="D480" s="7">
        <v>58</v>
      </c>
      <c r="E480" s="7">
        <v>16.600000000000001</v>
      </c>
      <c r="F480" s="7">
        <v>3.8</v>
      </c>
      <c r="G480" s="7">
        <v>0.61899999999999999</v>
      </c>
      <c r="H480" s="7">
        <v>0</v>
      </c>
      <c r="I480" s="7">
        <v>1.3</v>
      </c>
      <c r="J480" s="7">
        <v>0.48599999999999999</v>
      </c>
      <c r="K480" s="7">
        <v>5.3</v>
      </c>
      <c r="L480" s="7">
        <v>1.8</v>
      </c>
      <c r="M480" s="7">
        <v>0.5</v>
      </c>
      <c r="N480" s="7">
        <v>1.4</v>
      </c>
      <c r="O480" s="7">
        <v>0.8</v>
      </c>
      <c r="P480" s="7">
        <v>5.3</v>
      </c>
    </row>
    <row r="481" spans="1:16" x14ac:dyDescent="0.35">
      <c r="A481" s="1" t="s">
        <v>616</v>
      </c>
      <c r="B481" s="1" t="s">
        <v>47</v>
      </c>
      <c r="C481" s="1" t="s">
        <v>45</v>
      </c>
      <c r="D481" s="7">
        <v>4</v>
      </c>
      <c r="E481" s="7">
        <v>2.8</v>
      </c>
      <c r="F481" s="7">
        <v>1.3</v>
      </c>
      <c r="G481" s="7">
        <v>0.6</v>
      </c>
      <c r="H481" s="7">
        <v>0.3</v>
      </c>
      <c r="I481" s="7">
        <v>0.5</v>
      </c>
      <c r="J481" s="7">
        <v>1</v>
      </c>
      <c r="K481" s="7">
        <v>0.3</v>
      </c>
      <c r="L481" s="7">
        <v>0.5</v>
      </c>
      <c r="M481" s="7">
        <v>0</v>
      </c>
      <c r="N481" s="7">
        <v>0.3</v>
      </c>
      <c r="O481" s="7">
        <v>0</v>
      </c>
      <c r="P481" s="7">
        <v>2.2999999999999998</v>
      </c>
    </row>
    <row r="482" spans="1:16" x14ac:dyDescent="0.35">
      <c r="A482" s="1" t="s">
        <v>381</v>
      </c>
      <c r="B482" s="1" t="s">
        <v>25</v>
      </c>
      <c r="C482" s="1" t="s">
        <v>96</v>
      </c>
      <c r="D482" s="7">
        <v>57</v>
      </c>
      <c r="E482" s="7">
        <v>22.4</v>
      </c>
      <c r="F482" s="7">
        <v>8.8000000000000007</v>
      </c>
      <c r="G482" s="7">
        <v>0.33300000000000002</v>
      </c>
      <c r="H482" s="7">
        <v>1.3</v>
      </c>
      <c r="I482" s="7">
        <v>2.1</v>
      </c>
      <c r="J482" s="7">
        <v>0.79800000000000004</v>
      </c>
      <c r="K482" s="7">
        <v>2.1</v>
      </c>
      <c r="L482" s="7">
        <v>2.4</v>
      </c>
      <c r="M482" s="7">
        <v>0.6</v>
      </c>
      <c r="N482" s="7">
        <v>0.2</v>
      </c>
      <c r="O482" s="7">
        <v>1.3</v>
      </c>
      <c r="P482" s="7">
        <v>8.8000000000000007</v>
      </c>
    </row>
    <row r="483" spans="1:16" x14ac:dyDescent="0.35">
      <c r="A483" s="1" t="s">
        <v>699</v>
      </c>
      <c r="B483" s="1" t="s">
        <v>35</v>
      </c>
      <c r="C483" s="1" t="s">
        <v>137</v>
      </c>
      <c r="D483" s="7">
        <v>50</v>
      </c>
      <c r="E483" s="7">
        <v>23.2</v>
      </c>
      <c r="F483" s="7">
        <v>8.4</v>
      </c>
      <c r="G483" s="7">
        <v>0.442</v>
      </c>
      <c r="H483" s="7">
        <v>1.1000000000000001</v>
      </c>
      <c r="I483" s="7">
        <v>2</v>
      </c>
      <c r="J483" s="7">
        <v>0.72299999999999998</v>
      </c>
      <c r="K483" s="7">
        <v>3.2</v>
      </c>
      <c r="L483" s="7">
        <v>2.2000000000000002</v>
      </c>
      <c r="M483" s="7">
        <v>0.9</v>
      </c>
      <c r="N483" s="7">
        <v>0.3</v>
      </c>
      <c r="O483" s="7">
        <v>1.9</v>
      </c>
      <c r="P483" s="7">
        <v>10</v>
      </c>
    </row>
    <row r="484" spans="1:16" x14ac:dyDescent="0.35">
      <c r="A484" s="1" t="s">
        <v>700</v>
      </c>
      <c r="B484" s="1" t="s">
        <v>15</v>
      </c>
      <c r="C484" s="1" t="s">
        <v>63</v>
      </c>
      <c r="D484" s="7">
        <v>48</v>
      </c>
      <c r="E484" s="7">
        <v>14</v>
      </c>
      <c r="F484" s="7">
        <v>5.9</v>
      </c>
      <c r="G484" s="7">
        <v>0.495</v>
      </c>
      <c r="H484" s="7">
        <v>0.9</v>
      </c>
      <c r="I484" s="7">
        <v>0.9</v>
      </c>
      <c r="J484" s="7">
        <v>0.76700000000000002</v>
      </c>
      <c r="K484" s="7">
        <v>4.0999999999999996</v>
      </c>
      <c r="L484" s="7">
        <v>0.7</v>
      </c>
      <c r="M484" s="7">
        <v>0.4</v>
      </c>
      <c r="N484" s="7">
        <v>0.4</v>
      </c>
      <c r="O484" s="7">
        <v>0.7</v>
      </c>
      <c r="P484" s="7">
        <v>7.5</v>
      </c>
    </row>
    <row r="485" spans="1:16" x14ac:dyDescent="0.35">
      <c r="A485" s="1" t="s">
        <v>384</v>
      </c>
      <c r="B485" s="1" t="s">
        <v>35</v>
      </c>
      <c r="C485" s="1" t="s">
        <v>48</v>
      </c>
      <c r="D485" s="7">
        <v>14</v>
      </c>
      <c r="E485" s="7">
        <v>23.6</v>
      </c>
      <c r="F485" s="7">
        <v>10</v>
      </c>
      <c r="G485" s="7">
        <v>0.443</v>
      </c>
      <c r="H485" s="7">
        <v>1.7</v>
      </c>
      <c r="I485" s="7">
        <v>1.9</v>
      </c>
      <c r="J485" s="7">
        <v>0.70399999999999996</v>
      </c>
      <c r="K485" s="7">
        <v>3.4</v>
      </c>
      <c r="L485" s="7">
        <v>1.8</v>
      </c>
      <c r="M485" s="7">
        <v>1.1000000000000001</v>
      </c>
      <c r="N485" s="7">
        <v>0.4</v>
      </c>
      <c r="O485" s="7">
        <v>0.8</v>
      </c>
      <c r="P485" s="7">
        <v>11.9</v>
      </c>
    </row>
    <row r="486" spans="1:16" x14ac:dyDescent="0.35">
      <c r="A486" s="1" t="s">
        <v>385</v>
      </c>
      <c r="B486" s="1" t="s">
        <v>18</v>
      </c>
      <c r="C486" s="1" t="s">
        <v>32</v>
      </c>
      <c r="D486" s="7">
        <v>66</v>
      </c>
      <c r="E486" s="7">
        <v>21.1</v>
      </c>
      <c r="F486" s="7">
        <v>8.9</v>
      </c>
      <c r="G486" s="7">
        <v>0.45</v>
      </c>
      <c r="H486" s="7">
        <v>1</v>
      </c>
      <c r="I486" s="7">
        <v>1.4</v>
      </c>
      <c r="J486" s="7">
        <v>0.76300000000000001</v>
      </c>
      <c r="K486" s="7">
        <v>5.0999999999999996</v>
      </c>
      <c r="L486" s="7">
        <v>1.5</v>
      </c>
      <c r="M486" s="7">
        <v>0.5</v>
      </c>
      <c r="N486" s="7">
        <v>0.3</v>
      </c>
      <c r="O486" s="7">
        <v>1.1000000000000001</v>
      </c>
      <c r="P486" s="7">
        <v>10.1</v>
      </c>
    </row>
    <row r="487" spans="1:16" x14ac:dyDescent="0.35">
      <c r="A487" s="1" t="s">
        <v>669</v>
      </c>
      <c r="B487" s="1" t="s">
        <v>15</v>
      </c>
      <c r="C487" s="1" t="s">
        <v>60</v>
      </c>
      <c r="D487" s="7">
        <v>51</v>
      </c>
      <c r="E487" s="7">
        <v>31.3</v>
      </c>
      <c r="F487" s="7">
        <v>15.8</v>
      </c>
      <c r="G487" s="7">
        <v>0.42</v>
      </c>
      <c r="H487" s="7">
        <v>2.5</v>
      </c>
      <c r="I487" s="7">
        <v>4.5</v>
      </c>
      <c r="J487" s="7">
        <v>0.77600000000000002</v>
      </c>
      <c r="K487" s="7">
        <v>9.5</v>
      </c>
      <c r="L487" s="7">
        <v>1.7</v>
      </c>
      <c r="M487" s="7">
        <v>0.7</v>
      </c>
      <c r="N487" s="7">
        <v>2.1</v>
      </c>
      <c r="O487" s="7">
        <v>1.6</v>
      </c>
      <c r="P487" s="7">
        <v>19.2</v>
      </c>
    </row>
    <row r="488" spans="1:16" x14ac:dyDescent="0.35">
      <c r="A488" s="1" t="s">
        <v>386</v>
      </c>
      <c r="B488" s="1" t="s">
        <v>18</v>
      </c>
      <c r="C488" s="1" t="s">
        <v>60</v>
      </c>
      <c r="D488" s="7">
        <v>40</v>
      </c>
      <c r="E488" s="7">
        <v>26.5</v>
      </c>
      <c r="F488" s="7">
        <v>5.7</v>
      </c>
      <c r="G488" s="7">
        <v>0.63800000000000001</v>
      </c>
      <c r="H488" s="7">
        <v>0.3</v>
      </c>
      <c r="I488" s="7">
        <v>2.8</v>
      </c>
      <c r="J488" s="7">
        <v>0.66700000000000004</v>
      </c>
      <c r="K488" s="7">
        <v>5.7</v>
      </c>
      <c r="L488" s="7">
        <v>1.5</v>
      </c>
      <c r="M488" s="7">
        <v>0.9</v>
      </c>
      <c r="N488" s="7">
        <v>0.6</v>
      </c>
      <c r="O488" s="7">
        <v>0.9</v>
      </c>
      <c r="P488" s="7">
        <v>9.4</v>
      </c>
    </row>
    <row r="489" spans="1:16" x14ac:dyDescent="0.35">
      <c r="A489" s="1" t="s">
        <v>387</v>
      </c>
      <c r="B489" s="1" t="s">
        <v>25</v>
      </c>
      <c r="C489" s="1" t="s">
        <v>45</v>
      </c>
      <c r="D489" s="7">
        <v>44</v>
      </c>
      <c r="E489" s="7">
        <v>28.8</v>
      </c>
      <c r="F489" s="7">
        <v>11.7</v>
      </c>
      <c r="G489" s="7">
        <v>0.502</v>
      </c>
      <c r="H489" s="7">
        <v>2.1</v>
      </c>
      <c r="I489" s="7">
        <v>3</v>
      </c>
      <c r="J489" s="7">
        <v>0.83799999999999997</v>
      </c>
      <c r="K489" s="7">
        <v>3.7</v>
      </c>
      <c r="L489" s="7">
        <v>1.8</v>
      </c>
      <c r="M489" s="7">
        <v>1.3</v>
      </c>
      <c r="N489" s="7">
        <v>0.4</v>
      </c>
      <c r="O489" s="7">
        <v>1.5</v>
      </c>
      <c r="P489" s="7">
        <v>16.399999999999999</v>
      </c>
    </row>
    <row r="490" spans="1:16" x14ac:dyDescent="0.35">
      <c r="A490" s="1" t="s">
        <v>617</v>
      </c>
      <c r="B490" s="1" t="s">
        <v>47</v>
      </c>
      <c r="C490" s="1" t="s">
        <v>96</v>
      </c>
      <c r="D490" s="7">
        <v>3</v>
      </c>
      <c r="E490" s="7">
        <v>13.3</v>
      </c>
      <c r="F490" s="7">
        <v>1.3</v>
      </c>
      <c r="G490" s="7">
        <v>0</v>
      </c>
      <c r="H490" s="7">
        <v>0</v>
      </c>
      <c r="I490" s="7">
        <v>2</v>
      </c>
      <c r="J490" s="7">
        <v>0.83299999999999996</v>
      </c>
      <c r="K490" s="7">
        <v>0.7</v>
      </c>
      <c r="L490" s="7">
        <v>1.7</v>
      </c>
      <c r="M490" s="7">
        <v>0.7</v>
      </c>
      <c r="N490" s="7">
        <v>0</v>
      </c>
      <c r="O490" s="7">
        <v>0</v>
      </c>
      <c r="P490" s="7">
        <v>1.7</v>
      </c>
    </row>
    <row r="491" spans="1:16" x14ac:dyDescent="0.35">
      <c r="A491" s="1" t="s">
        <v>388</v>
      </c>
      <c r="B491" s="1" t="s">
        <v>15</v>
      </c>
      <c r="C491" s="1" t="s">
        <v>32</v>
      </c>
      <c r="D491" s="7">
        <v>64</v>
      </c>
      <c r="E491" s="7">
        <v>32.5</v>
      </c>
      <c r="F491" s="7">
        <v>15.7</v>
      </c>
      <c r="G491" s="7">
        <v>0.46</v>
      </c>
      <c r="H491" s="7">
        <v>1</v>
      </c>
      <c r="I491" s="7">
        <v>5.5</v>
      </c>
      <c r="J491" s="7">
        <v>0.73299999999999998</v>
      </c>
      <c r="K491" s="7">
        <v>9.6999999999999993</v>
      </c>
      <c r="L491" s="7">
        <v>3.1</v>
      </c>
      <c r="M491" s="7">
        <v>0.8</v>
      </c>
      <c r="N491" s="7">
        <v>0.3</v>
      </c>
      <c r="O491" s="7">
        <v>3</v>
      </c>
      <c r="P491" s="7">
        <v>19.5</v>
      </c>
    </row>
    <row r="492" spans="1:16" x14ac:dyDescent="0.35">
      <c r="A492" s="1" t="s">
        <v>389</v>
      </c>
      <c r="B492" s="1" t="s">
        <v>25</v>
      </c>
      <c r="C492" s="1" t="s">
        <v>60</v>
      </c>
      <c r="D492" s="7">
        <v>2</v>
      </c>
      <c r="E492" s="7">
        <v>0.5</v>
      </c>
      <c r="F492" s="7">
        <v>0.5</v>
      </c>
      <c r="G492" s="7">
        <v>0</v>
      </c>
      <c r="H492" s="7">
        <v>0</v>
      </c>
      <c r="I492" s="7">
        <v>0</v>
      </c>
      <c r="K492" s="7">
        <v>0</v>
      </c>
      <c r="L492" s="7">
        <v>0</v>
      </c>
      <c r="M492" s="7">
        <v>0</v>
      </c>
      <c r="N492" s="7">
        <v>0</v>
      </c>
      <c r="O492" s="7">
        <v>0</v>
      </c>
      <c r="P492" s="7">
        <v>0</v>
      </c>
    </row>
    <row r="493" spans="1:16" x14ac:dyDescent="0.35">
      <c r="A493" s="1" t="s">
        <v>390</v>
      </c>
      <c r="B493" s="1" t="s">
        <v>35</v>
      </c>
      <c r="C493" s="1" t="s">
        <v>77</v>
      </c>
      <c r="D493" s="7">
        <v>58</v>
      </c>
      <c r="E493" s="7">
        <v>26.7</v>
      </c>
      <c r="F493" s="7">
        <v>9.6</v>
      </c>
      <c r="G493" s="7">
        <v>0.38400000000000001</v>
      </c>
      <c r="H493" s="7">
        <v>1.4</v>
      </c>
      <c r="I493" s="7">
        <v>2.2000000000000002</v>
      </c>
      <c r="J493" s="7">
        <v>0.80200000000000005</v>
      </c>
      <c r="K493" s="7">
        <v>3.7</v>
      </c>
      <c r="L493" s="7">
        <v>1.5</v>
      </c>
      <c r="M493" s="7">
        <v>1.1000000000000001</v>
      </c>
      <c r="N493" s="7">
        <v>0.5</v>
      </c>
      <c r="O493" s="7">
        <v>1.7</v>
      </c>
      <c r="P493" s="7">
        <v>10.5</v>
      </c>
    </row>
    <row r="494" spans="1:16" x14ac:dyDescent="0.35">
      <c r="A494" s="1" t="s">
        <v>391</v>
      </c>
      <c r="B494" s="1" t="s">
        <v>25</v>
      </c>
      <c r="C494" s="1" t="s">
        <v>26</v>
      </c>
      <c r="D494" s="7">
        <v>54</v>
      </c>
      <c r="E494" s="7">
        <v>26.4</v>
      </c>
      <c r="F494" s="7">
        <v>10.3</v>
      </c>
      <c r="G494" s="7">
        <v>0.45</v>
      </c>
      <c r="H494" s="7">
        <v>2.9</v>
      </c>
      <c r="I494" s="7">
        <v>3</v>
      </c>
      <c r="J494" s="7">
        <v>0.90200000000000002</v>
      </c>
      <c r="K494" s="7">
        <v>2.6</v>
      </c>
      <c r="L494" s="7">
        <v>2</v>
      </c>
      <c r="M494" s="7">
        <v>0.4</v>
      </c>
      <c r="N494" s="7">
        <v>0.2</v>
      </c>
      <c r="O494" s="7">
        <v>1.2</v>
      </c>
      <c r="P494" s="7">
        <v>14.9</v>
      </c>
    </row>
    <row r="495" spans="1:16" x14ac:dyDescent="0.35">
      <c r="A495" s="1" t="s">
        <v>392</v>
      </c>
      <c r="B495" s="1" t="s">
        <v>18</v>
      </c>
      <c r="C495" s="1" t="s">
        <v>65</v>
      </c>
      <c r="D495" s="7">
        <v>30</v>
      </c>
      <c r="E495" s="7">
        <v>16.5</v>
      </c>
      <c r="F495" s="7">
        <v>8.1</v>
      </c>
      <c r="G495" s="7">
        <v>0.41199999999999998</v>
      </c>
      <c r="H495" s="7">
        <v>1.1000000000000001</v>
      </c>
      <c r="I495" s="7">
        <v>1.8</v>
      </c>
      <c r="J495" s="7">
        <v>0.69799999999999995</v>
      </c>
      <c r="K495" s="7">
        <v>4.0999999999999996</v>
      </c>
      <c r="L495" s="7">
        <v>1.2</v>
      </c>
      <c r="M495" s="7">
        <v>0.6</v>
      </c>
      <c r="N495" s="7">
        <v>0.7</v>
      </c>
      <c r="O495" s="7">
        <v>0.7</v>
      </c>
      <c r="P495" s="7">
        <v>9</v>
      </c>
    </row>
    <row r="496" spans="1:16" x14ac:dyDescent="0.35">
      <c r="A496" s="1" t="s">
        <v>393</v>
      </c>
      <c r="B496" s="1" t="s">
        <v>25</v>
      </c>
      <c r="C496" s="1" t="s">
        <v>88</v>
      </c>
      <c r="D496" s="7">
        <v>48</v>
      </c>
      <c r="E496" s="7">
        <v>30.7</v>
      </c>
      <c r="F496" s="7">
        <v>12</v>
      </c>
      <c r="G496" s="7">
        <v>0.42899999999999999</v>
      </c>
      <c r="H496" s="7">
        <v>1.5</v>
      </c>
      <c r="I496" s="7">
        <v>2.7</v>
      </c>
      <c r="J496" s="7">
        <v>0.78900000000000003</v>
      </c>
      <c r="K496" s="7">
        <v>3.4</v>
      </c>
      <c r="L496" s="7">
        <v>3.1</v>
      </c>
      <c r="M496" s="7">
        <v>0.9</v>
      </c>
      <c r="N496" s="7">
        <v>0.7</v>
      </c>
      <c r="O496" s="7">
        <v>1.9</v>
      </c>
      <c r="P496" s="7">
        <v>13.8</v>
      </c>
    </row>
    <row r="497" spans="1:16" x14ac:dyDescent="0.35">
      <c r="A497" s="1" t="s">
        <v>394</v>
      </c>
      <c r="B497" s="1" t="s">
        <v>25</v>
      </c>
      <c r="C497" s="1" t="s">
        <v>37</v>
      </c>
      <c r="D497" s="7">
        <v>60</v>
      </c>
      <c r="E497" s="7">
        <v>23.4</v>
      </c>
      <c r="F497" s="7">
        <v>7.2</v>
      </c>
      <c r="G497" s="7">
        <v>0.42099999999999999</v>
      </c>
      <c r="H497" s="7">
        <v>1.4</v>
      </c>
      <c r="I497" s="7">
        <v>1.5</v>
      </c>
      <c r="J497" s="7">
        <v>0.66700000000000004</v>
      </c>
      <c r="K497" s="7">
        <v>2.4</v>
      </c>
      <c r="L497" s="7">
        <v>1.6</v>
      </c>
      <c r="M497" s="7">
        <v>0.7</v>
      </c>
      <c r="N497" s="7">
        <v>0.2</v>
      </c>
      <c r="O497" s="7">
        <v>0.6</v>
      </c>
      <c r="P497" s="7">
        <v>8.5</v>
      </c>
    </row>
    <row r="498" spans="1:16" x14ac:dyDescent="0.35">
      <c r="A498" s="1" t="s">
        <v>395</v>
      </c>
      <c r="B498" s="1" t="s">
        <v>35</v>
      </c>
      <c r="C498" s="1" t="s">
        <v>21</v>
      </c>
      <c r="D498" s="7">
        <v>65</v>
      </c>
      <c r="E498" s="7">
        <v>30</v>
      </c>
      <c r="F498" s="7">
        <v>9.4</v>
      </c>
      <c r="G498" s="7">
        <v>0.46700000000000003</v>
      </c>
      <c r="H498" s="7">
        <v>3.7</v>
      </c>
      <c r="I498" s="7">
        <v>0.8</v>
      </c>
      <c r="J498" s="7">
        <v>0.90600000000000003</v>
      </c>
      <c r="K498" s="7">
        <v>3.3</v>
      </c>
      <c r="L498" s="7">
        <v>1.4</v>
      </c>
      <c r="M498" s="7">
        <v>0.5</v>
      </c>
      <c r="N498" s="7">
        <v>0.2</v>
      </c>
      <c r="O498" s="7">
        <v>0.9</v>
      </c>
      <c r="P498" s="7">
        <v>13.3</v>
      </c>
    </row>
    <row r="499" spans="1:16" x14ac:dyDescent="0.35">
      <c r="A499" s="1" t="s">
        <v>701</v>
      </c>
      <c r="B499" s="1" t="s">
        <v>35</v>
      </c>
      <c r="C499" s="1" t="s">
        <v>50</v>
      </c>
      <c r="D499" s="7">
        <v>60</v>
      </c>
      <c r="E499" s="7">
        <v>29.1</v>
      </c>
      <c r="F499" s="7">
        <v>9.6</v>
      </c>
      <c r="G499" s="7">
        <v>0.48599999999999999</v>
      </c>
      <c r="H499" s="7">
        <v>1.2</v>
      </c>
      <c r="I499" s="7">
        <v>1.4</v>
      </c>
      <c r="J499" s="7">
        <v>0.86699999999999999</v>
      </c>
      <c r="K499" s="7">
        <v>4.3</v>
      </c>
      <c r="L499" s="7">
        <v>1.6</v>
      </c>
      <c r="M499" s="7">
        <v>0.9</v>
      </c>
      <c r="N499" s="7">
        <v>0.3</v>
      </c>
      <c r="O499" s="7">
        <v>0.9</v>
      </c>
      <c r="P499" s="7">
        <v>11.8</v>
      </c>
    </row>
    <row r="500" spans="1:16" x14ac:dyDescent="0.35">
      <c r="A500" s="1" t="s">
        <v>701</v>
      </c>
      <c r="B500" s="1" t="s">
        <v>35</v>
      </c>
      <c r="C500" s="1" t="s">
        <v>96</v>
      </c>
      <c r="D500" s="7">
        <v>48</v>
      </c>
      <c r="E500" s="7">
        <v>31.6</v>
      </c>
      <c r="F500" s="7">
        <v>10.6</v>
      </c>
      <c r="G500" s="7">
        <v>0.48099999999999998</v>
      </c>
      <c r="H500" s="7">
        <v>1.4</v>
      </c>
      <c r="I500" s="7">
        <v>1.5</v>
      </c>
      <c r="J500" s="7">
        <v>0.85099999999999998</v>
      </c>
      <c r="K500" s="7">
        <v>4.7</v>
      </c>
      <c r="L500" s="7">
        <v>1.8</v>
      </c>
      <c r="M500" s="7">
        <v>0.9</v>
      </c>
      <c r="N500" s="7">
        <v>0.3</v>
      </c>
      <c r="O500" s="7">
        <v>1</v>
      </c>
      <c r="P500" s="7">
        <v>12.9</v>
      </c>
    </row>
    <row r="501" spans="1:16" x14ac:dyDescent="0.35">
      <c r="A501" s="1" t="s">
        <v>701</v>
      </c>
      <c r="B501" s="1" t="s">
        <v>35</v>
      </c>
      <c r="C501" s="1" t="s">
        <v>88</v>
      </c>
      <c r="D501" s="7">
        <v>12</v>
      </c>
      <c r="E501" s="7">
        <v>18.899999999999999</v>
      </c>
      <c r="F501" s="7">
        <v>5.9</v>
      </c>
      <c r="G501" s="7">
        <v>0.52100000000000002</v>
      </c>
      <c r="H501" s="7">
        <v>0.5</v>
      </c>
      <c r="I501" s="7">
        <v>0.8</v>
      </c>
      <c r="J501" s="7">
        <v>1</v>
      </c>
      <c r="K501" s="7">
        <v>2.8</v>
      </c>
      <c r="L501" s="7">
        <v>0.9</v>
      </c>
      <c r="M501" s="7">
        <v>0.7</v>
      </c>
      <c r="N501" s="7">
        <v>0.2</v>
      </c>
      <c r="O501" s="7">
        <v>0.3</v>
      </c>
      <c r="P501" s="7">
        <v>7.4</v>
      </c>
    </row>
    <row r="502" spans="1:16" x14ac:dyDescent="0.35">
      <c r="A502" s="1" t="s">
        <v>397</v>
      </c>
      <c r="B502" s="1" t="s">
        <v>25</v>
      </c>
      <c r="C502" s="1" t="s">
        <v>50</v>
      </c>
      <c r="D502" s="7">
        <v>55</v>
      </c>
      <c r="E502" s="7">
        <v>13.6</v>
      </c>
      <c r="F502" s="7">
        <v>3.9</v>
      </c>
      <c r="G502" s="7">
        <v>0.34699999999999998</v>
      </c>
      <c r="H502" s="7">
        <v>0.6</v>
      </c>
      <c r="I502" s="7">
        <v>0.5</v>
      </c>
      <c r="J502" s="7">
        <v>0.69</v>
      </c>
      <c r="K502" s="7">
        <v>1.9</v>
      </c>
      <c r="L502" s="7">
        <v>1.2</v>
      </c>
      <c r="M502" s="7">
        <v>0.4</v>
      </c>
      <c r="N502" s="7">
        <v>0.3</v>
      </c>
      <c r="O502" s="7">
        <v>0.6</v>
      </c>
      <c r="P502" s="7">
        <v>3.7</v>
      </c>
    </row>
    <row r="503" spans="1:16" x14ac:dyDescent="0.35">
      <c r="A503" s="1" t="s">
        <v>397</v>
      </c>
      <c r="B503" s="1" t="s">
        <v>25</v>
      </c>
      <c r="C503" s="1" t="s">
        <v>80</v>
      </c>
      <c r="D503" s="7">
        <v>42</v>
      </c>
      <c r="E503" s="7">
        <v>11.3</v>
      </c>
      <c r="F503" s="7">
        <v>3.2</v>
      </c>
      <c r="G503" s="7">
        <v>0.33800000000000002</v>
      </c>
      <c r="H503" s="7">
        <v>0.5</v>
      </c>
      <c r="I503" s="7">
        <v>0.5</v>
      </c>
      <c r="J503" s="7">
        <v>0.57899999999999996</v>
      </c>
      <c r="K503" s="7">
        <v>1.4</v>
      </c>
      <c r="L503" s="7">
        <v>1.1000000000000001</v>
      </c>
      <c r="M503" s="7">
        <v>0.3</v>
      </c>
      <c r="N503" s="7">
        <v>0.2</v>
      </c>
      <c r="O503" s="7">
        <v>0.6</v>
      </c>
      <c r="P503" s="7">
        <v>2.9</v>
      </c>
    </row>
    <row r="504" spans="1:16" x14ac:dyDescent="0.35">
      <c r="A504" s="1" t="s">
        <v>397</v>
      </c>
      <c r="B504" s="1" t="s">
        <v>25</v>
      </c>
      <c r="C504" s="1" t="s">
        <v>72</v>
      </c>
      <c r="D504" s="7">
        <v>13</v>
      </c>
      <c r="E504" s="7">
        <v>20.9</v>
      </c>
      <c r="F504" s="7">
        <v>6.2</v>
      </c>
      <c r="G504" s="7">
        <v>0.36299999999999999</v>
      </c>
      <c r="H504" s="7">
        <v>0.9</v>
      </c>
      <c r="I504" s="7">
        <v>0.8</v>
      </c>
      <c r="J504" s="7">
        <v>0.9</v>
      </c>
      <c r="K504" s="7">
        <v>3.5</v>
      </c>
      <c r="L504" s="7">
        <v>1.5</v>
      </c>
      <c r="M504" s="7">
        <v>0.7</v>
      </c>
      <c r="N504" s="7">
        <v>0.5</v>
      </c>
      <c r="O504" s="7">
        <v>0.6</v>
      </c>
      <c r="P504" s="7">
        <v>6.1</v>
      </c>
    </row>
    <row r="505" spans="1:16" x14ac:dyDescent="0.35">
      <c r="A505" s="1" t="s">
        <v>618</v>
      </c>
      <c r="B505" s="1" t="s">
        <v>47</v>
      </c>
      <c r="C505" s="1" t="s">
        <v>72</v>
      </c>
      <c r="D505" s="7">
        <v>9</v>
      </c>
      <c r="E505" s="7">
        <v>5.4</v>
      </c>
      <c r="F505" s="7">
        <v>1.3</v>
      </c>
      <c r="G505" s="7">
        <v>0.41699999999999998</v>
      </c>
      <c r="H505" s="7">
        <v>0.3</v>
      </c>
      <c r="I505" s="7">
        <v>0</v>
      </c>
      <c r="K505" s="7">
        <v>0.6</v>
      </c>
      <c r="L505" s="7">
        <v>0.8</v>
      </c>
      <c r="M505" s="7">
        <v>0</v>
      </c>
      <c r="N505" s="7">
        <v>0.1</v>
      </c>
      <c r="O505" s="7">
        <v>0.3</v>
      </c>
      <c r="P505" s="7">
        <v>1.4</v>
      </c>
    </row>
    <row r="506" spans="1:16" x14ac:dyDescent="0.35">
      <c r="A506" s="1" t="s">
        <v>398</v>
      </c>
      <c r="B506" s="1" t="s">
        <v>18</v>
      </c>
      <c r="C506" s="1" t="s">
        <v>32</v>
      </c>
      <c r="D506" s="7">
        <v>61</v>
      </c>
      <c r="E506" s="7">
        <v>23.1</v>
      </c>
      <c r="F506" s="7">
        <v>5.6</v>
      </c>
      <c r="G506" s="7">
        <v>0.74199999999999999</v>
      </c>
      <c r="H506" s="7">
        <v>0</v>
      </c>
      <c r="I506" s="7">
        <v>2.4</v>
      </c>
      <c r="J506" s="7">
        <v>0.56799999999999995</v>
      </c>
      <c r="K506" s="7">
        <v>7</v>
      </c>
      <c r="L506" s="7">
        <v>0.6</v>
      </c>
      <c r="M506" s="7">
        <v>0.9</v>
      </c>
      <c r="N506" s="7">
        <v>2</v>
      </c>
      <c r="O506" s="7">
        <v>0.6</v>
      </c>
      <c r="P506" s="7">
        <v>9.6999999999999993</v>
      </c>
    </row>
    <row r="507" spans="1:16" x14ac:dyDescent="0.35">
      <c r="A507" s="1" t="s">
        <v>482</v>
      </c>
      <c r="B507" s="1" t="s">
        <v>35</v>
      </c>
      <c r="C507" s="1" t="s">
        <v>19</v>
      </c>
      <c r="D507" s="7">
        <v>3</v>
      </c>
      <c r="E507" s="7">
        <v>3.7</v>
      </c>
      <c r="F507" s="7">
        <v>0.3</v>
      </c>
      <c r="G507" s="7">
        <v>0</v>
      </c>
      <c r="H507" s="7">
        <v>0</v>
      </c>
      <c r="I507" s="7">
        <v>0</v>
      </c>
      <c r="K507" s="7">
        <v>0.7</v>
      </c>
      <c r="L507" s="7">
        <v>0</v>
      </c>
      <c r="M507" s="7">
        <v>0</v>
      </c>
      <c r="N507" s="7">
        <v>0</v>
      </c>
      <c r="O507" s="7">
        <v>0.3</v>
      </c>
      <c r="P507" s="7">
        <v>0</v>
      </c>
    </row>
    <row r="508" spans="1:16" x14ac:dyDescent="0.35">
      <c r="A508" s="1" t="s">
        <v>399</v>
      </c>
      <c r="B508" s="1" t="s">
        <v>47</v>
      </c>
      <c r="C508" s="1" t="s">
        <v>41</v>
      </c>
      <c r="D508" s="7">
        <v>48</v>
      </c>
      <c r="E508" s="7">
        <v>20.5</v>
      </c>
      <c r="F508" s="7">
        <v>6.8</v>
      </c>
      <c r="G508" s="7">
        <v>0.41799999999999998</v>
      </c>
      <c r="H508" s="7">
        <v>0.9</v>
      </c>
      <c r="I508" s="7">
        <v>0.9</v>
      </c>
      <c r="J508" s="7">
        <v>0.65900000000000003</v>
      </c>
      <c r="K508" s="7">
        <v>3</v>
      </c>
      <c r="L508" s="7">
        <v>5</v>
      </c>
      <c r="M508" s="7">
        <v>0.8</v>
      </c>
      <c r="N508" s="7">
        <v>0</v>
      </c>
      <c r="O508" s="7">
        <v>1.9</v>
      </c>
      <c r="P508" s="7">
        <v>7.1</v>
      </c>
    </row>
    <row r="509" spans="1:16" x14ac:dyDescent="0.35">
      <c r="A509" s="1" t="s">
        <v>400</v>
      </c>
      <c r="B509" s="1" t="s">
        <v>47</v>
      </c>
      <c r="C509" s="1" t="s">
        <v>90</v>
      </c>
      <c r="D509" s="7">
        <v>50</v>
      </c>
      <c r="E509" s="7">
        <v>26</v>
      </c>
      <c r="F509" s="7">
        <v>15.1</v>
      </c>
      <c r="G509" s="7">
        <v>0.49</v>
      </c>
      <c r="H509" s="7">
        <v>0.9</v>
      </c>
      <c r="I509" s="7">
        <v>2.8</v>
      </c>
      <c r="J509" s="7">
        <v>0.871</v>
      </c>
      <c r="K509" s="7">
        <v>2.4</v>
      </c>
      <c r="L509" s="7">
        <v>5.6</v>
      </c>
      <c r="M509" s="7">
        <v>0.8</v>
      </c>
      <c r="N509" s="7">
        <v>0.3</v>
      </c>
      <c r="O509" s="7">
        <v>2.5</v>
      </c>
      <c r="P509" s="7">
        <v>18.100000000000001</v>
      </c>
    </row>
    <row r="510" spans="1:16" x14ac:dyDescent="0.35">
      <c r="A510" s="1" t="s">
        <v>401</v>
      </c>
      <c r="B510" s="1" t="s">
        <v>25</v>
      </c>
      <c r="C510" s="1" t="s">
        <v>34</v>
      </c>
      <c r="D510" s="7">
        <v>63</v>
      </c>
      <c r="E510" s="7">
        <v>27.3</v>
      </c>
      <c r="F510" s="7">
        <v>12.3</v>
      </c>
      <c r="G510" s="7">
        <v>0.40699999999999997</v>
      </c>
      <c r="H510" s="7">
        <v>2.6</v>
      </c>
      <c r="I510" s="7">
        <v>2.6</v>
      </c>
      <c r="J510" s="7">
        <v>0.84499999999999997</v>
      </c>
      <c r="K510" s="7">
        <v>3.2</v>
      </c>
      <c r="L510" s="7">
        <v>1.2</v>
      </c>
      <c r="M510" s="7">
        <v>1.1000000000000001</v>
      </c>
      <c r="N510" s="7">
        <v>0.3</v>
      </c>
      <c r="O510" s="7">
        <v>1</v>
      </c>
      <c r="P510" s="7">
        <v>14.8</v>
      </c>
    </row>
    <row r="511" spans="1:16" x14ac:dyDescent="0.35">
      <c r="A511" s="1" t="s">
        <v>402</v>
      </c>
      <c r="B511" s="1" t="s">
        <v>47</v>
      </c>
      <c r="C511" s="1" t="s">
        <v>56</v>
      </c>
      <c r="D511" s="7">
        <v>63</v>
      </c>
      <c r="E511" s="7">
        <v>34.299999999999997</v>
      </c>
      <c r="F511" s="7">
        <v>14.9</v>
      </c>
      <c r="G511" s="7">
        <v>0.42299999999999999</v>
      </c>
      <c r="H511" s="7">
        <v>2.7</v>
      </c>
      <c r="I511" s="7">
        <v>3</v>
      </c>
      <c r="J511" s="7">
        <v>0.874</v>
      </c>
      <c r="K511" s="7">
        <v>4.4000000000000004</v>
      </c>
      <c r="L511" s="7">
        <v>4.0999999999999996</v>
      </c>
      <c r="M511" s="7">
        <v>1</v>
      </c>
      <c r="N511" s="7">
        <v>0.2</v>
      </c>
      <c r="O511" s="7">
        <v>2.2000000000000002</v>
      </c>
      <c r="P511" s="7">
        <v>18</v>
      </c>
    </row>
    <row r="512" spans="1:16" x14ac:dyDescent="0.35">
      <c r="A512" s="1" t="s">
        <v>403</v>
      </c>
      <c r="B512" s="1" t="s">
        <v>47</v>
      </c>
      <c r="C512" s="1" t="s">
        <v>54</v>
      </c>
      <c r="D512" s="7">
        <v>57</v>
      </c>
      <c r="E512" s="7">
        <v>31.6</v>
      </c>
      <c r="F512" s="7">
        <v>10.7</v>
      </c>
      <c r="G512" s="7">
        <v>0.41199999999999998</v>
      </c>
      <c r="H512" s="7">
        <v>1.2</v>
      </c>
      <c r="I512" s="7">
        <v>3.6</v>
      </c>
      <c r="J512" s="7">
        <v>0.85299999999999998</v>
      </c>
      <c r="K512" s="7">
        <v>4.5999999999999996</v>
      </c>
      <c r="L512" s="7">
        <v>8.9</v>
      </c>
      <c r="M512" s="7">
        <v>1.5</v>
      </c>
      <c r="N512" s="7">
        <v>0.2</v>
      </c>
      <c r="O512" s="7">
        <v>2.7</v>
      </c>
      <c r="P512" s="7">
        <v>13.1</v>
      </c>
    </row>
    <row r="513" spans="1:16" x14ac:dyDescent="0.35">
      <c r="A513" s="1" t="s">
        <v>404</v>
      </c>
      <c r="B513" s="1" t="s">
        <v>47</v>
      </c>
      <c r="C513" s="1" t="s">
        <v>50</v>
      </c>
      <c r="D513" s="7">
        <v>45</v>
      </c>
      <c r="E513" s="7">
        <v>32.299999999999997</v>
      </c>
      <c r="F513" s="7">
        <v>18.8</v>
      </c>
      <c r="G513" s="7">
        <v>0.42599999999999999</v>
      </c>
      <c r="H513" s="7">
        <v>3.5</v>
      </c>
      <c r="I513" s="7">
        <v>4.4000000000000004</v>
      </c>
      <c r="J513" s="7">
        <v>0.80900000000000005</v>
      </c>
      <c r="K513" s="7">
        <v>3.9</v>
      </c>
      <c r="L513" s="7">
        <v>6.3</v>
      </c>
      <c r="M513" s="7">
        <v>1.1000000000000001</v>
      </c>
      <c r="N513" s="7">
        <v>0.3</v>
      </c>
      <c r="O513" s="7">
        <v>3.3</v>
      </c>
      <c r="P513" s="7">
        <v>23.1</v>
      </c>
    </row>
    <row r="514" spans="1:16" x14ac:dyDescent="0.35">
      <c r="A514" s="1" t="s">
        <v>404</v>
      </c>
      <c r="B514" s="1" t="s">
        <v>47</v>
      </c>
      <c r="C514" s="1" t="s">
        <v>96</v>
      </c>
      <c r="D514" s="7">
        <v>33</v>
      </c>
      <c r="E514" s="7">
        <v>32.1</v>
      </c>
      <c r="F514" s="7">
        <v>19.2</v>
      </c>
      <c r="G514" s="7">
        <v>0.43</v>
      </c>
      <c r="H514" s="7">
        <v>3.6</v>
      </c>
      <c r="I514" s="7">
        <v>4.4000000000000004</v>
      </c>
      <c r="J514" s="7">
        <v>0.78500000000000003</v>
      </c>
      <c r="K514" s="7">
        <v>3.7</v>
      </c>
      <c r="L514" s="7">
        <v>6.2</v>
      </c>
      <c r="M514" s="7">
        <v>0.9</v>
      </c>
      <c r="N514" s="7">
        <v>0.3</v>
      </c>
      <c r="O514" s="7">
        <v>3.1</v>
      </c>
      <c r="P514" s="7">
        <v>23.6</v>
      </c>
    </row>
    <row r="515" spans="1:16" x14ac:dyDescent="0.35">
      <c r="A515" s="1" t="s">
        <v>404</v>
      </c>
      <c r="B515" s="1" t="s">
        <v>47</v>
      </c>
      <c r="C515" s="1" t="s">
        <v>65</v>
      </c>
      <c r="D515" s="7">
        <v>12</v>
      </c>
      <c r="E515" s="7">
        <v>32.700000000000003</v>
      </c>
      <c r="F515" s="7">
        <v>17.600000000000001</v>
      </c>
      <c r="G515" s="7">
        <v>0.41199999999999998</v>
      </c>
      <c r="H515" s="7">
        <v>3.2</v>
      </c>
      <c r="I515" s="7">
        <v>4.5999999999999996</v>
      </c>
      <c r="J515" s="7">
        <v>0.873</v>
      </c>
      <c r="K515" s="7">
        <v>4.5999999999999996</v>
      </c>
      <c r="L515" s="7">
        <v>6.6</v>
      </c>
      <c r="M515" s="7">
        <v>1.4</v>
      </c>
      <c r="N515" s="7">
        <v>0.3</v>
      </c>
      <c r="O515" s="7">
        <v>3.8</v>
      </c>
      <c r="P515" s="7">
        <v>21.7</v>
      </c>
    </row>
    <row r="516" spans="1:16" x14ac:dyDescent="0.35">
      <c r="A516" s="1" t="s">
        <v>405</v>
      </c>
      <c r="B516" s="1" t="s">
        <v>18</v>
      </c>
      <c r="C516" s="1" t="s">
        <v>83</v>
      </c>
      <c r="D516" s="7">
        <v>62</v>
      </c>
      <c r="E516" s="7">
        <v>34.799999999999997</v>
      </c>
      <c r="F516" s="7">
        <v>13.7</v>
      </c>
      <c r="G516" s="7">
        <v>0.54</v>
      </c>
      <c r="H516" s="7">
        <v>0.3</v>
      </c>
      <c r="I516" s="7">
        <v>4.8</v>
      </c>
      <c r="J516" s="7">
        <v>0.72299999999999998</v>
      </c>
      <c r="K516" s="7">
        <v>12.4</v>
      </c>
      <c r="L516" s="7">
        <v>5</v>
      </c>
      <c r="M516" s="7">
        <v>0.8</v>
      </c>
      <c r="N516" s="7">
        <v>0.5</v>
      </c>
      <c r="O516" s="7">
        <v>2.7</v>
      </c>
      <c r="P516" s="7">
        <v>18.5</v>
      </c>
    </row>
    <row r="517" spans="1:16" x14ac:dyDescent="0.35">
      <c r="A517" s="1" t="s">
        <v>670</v>
      </c>
      <c r="B517" s="1" t="s">
        <v>15</v>
      </c>
      <c r="C517" s="1" t="s">
        <v>23</v>
      </c>
      <c r="D517" s="7">
        <v>1</v>
      </c>
      <c r="E517" s="7">
        <v>12</v>
      </c>
      <c r="F517" s="7">
        <v>4</v>
      </c>
      <c r="G517" s="7">
        <v>0</v>
      </c>
      <c r="H517" s="7">
        <v>0</v>
      </c>
      <c r="I517" s="7">
        <v>0</v>
      </c>
      <c r="K517" s="7">
        <v>2</v>
      </c>
      <c r="L517" s="7">
        <v>3</v>
      </c>
      <c r="M517" s="7">
        <v>0</v>
      </c>
      <c r="N517" s="7">
        <v>0</v>
      </c>
      <c r="O517" s="7">
        <v>0</v>
      </c>
      <c r="P517" s="7">
        <v>0</v>
      </c>
    </row>
    <row r="518" spans="1:16" x14ac:dyDescent="0.35">
      <c r="A518" s="1" t="s">
        <v>406</v>
      </c>
      <c r="B518" s="1" t="s">
        <v>35</v>
      </c>
      <c r="C518" s="1" t="s">
        <v>83</v>
      </c>
      <c r="D518" s="7">
        <v>26</v>
      </c>
      <c r="E518" s="7">
        <v>13.1</v>
      </c>
      <c r="F518" s="7">
        <v>3.1</v>
      </c>
      <c r="G518" s="7">
        <v>0.59299999999999997</v>
      </c>
      <c r="H518" s="7">
        <v>0.1</v>
      </c>
      <c r="I518" s="7">
        <v>0.8</v>
      </c>
      <c r="J518" s="7">
        <v>0.55000000000000004</v>
      </c>
      <c r="K518" s="7">
        <v>2.2999999999999998</v>
      </c>
      <c r="L518" s="7">
        <v>0.3</v>
      </c>
      <c r="M518" s="7">
        <v>0.3</v>
      </c>
      <c r="N518" s="7">
        <v>0.3</v>
      </c>
      <c r="O518" s="7">
        <v>0.3</v>
      </c>
      <c r="P518" s="7">
        <v>4.2</v>
      </c>
    </row>
    <row r="519" spans="1:16" x14ac:dyDescent="0.35">
      <c r="A519" s="1" t="s">
        <v>671</v>
      </c>
      <c r="B519" s="1" t="s">
        <v>15</v>
      </c>
      <c r="C519" s="1" t="s">
        <v>54</v>
      </c>
      <c r="D519" s="7">
        <v>58</v>
      </c>
      <c r="E519" s="7">
        <v>24.8</v>
      </c>
      <c r="F519" s="7">
        <v>8.1</v>
      </c>
      <c r="G519" s="7">
        <v>0.46200000000000002</v>
      </c>
      <c r="H519" s="7">
        <v>1.3</v>
      </c>
      <c r="I519" s="7">
        <v>1.6</v>
      </c>
      <c r="J519" s="7">
        <v>0.83199999999999996</v>
      </c>
      <c r="K519" s="7">
        <v>5.9</v>
      </c>
      <c r="L519" s="7">
        <v>1.9</v>
      </c>
      <c r="M519" s="7">
        <v>0.6</v>
      </c>
      <c r="N519" s="7">
        <v>0.3</v>
      </c>
      <c r="O519" s="7">
        <v>1.2</v>
      </c>
      <c r="P519" s="7">
        <v>10.1</v>
      </c>
    </row>
    <row r="520" spans="1:16" x14ac:dyDescent="0.35">
      <c r="A520" s="1" t="s">
        <v>672</v>
      </c>
      <c r="B520" s="1" t="s">
        <v>47</v>
      </c>
      <c r="C520" s="1" t="s">
        <v>48</v>
      </c>
      <c r="D520" s="7">
        <v>65</v>
      </c>
      <c r="E520" s="7">
        <v>28.9</v>
      </c>
      <c r="F520" s="7">
        <v>8.5</v>
      </c>
      <c r="G520" s="7">
        <v>0.43</v>
      </c>
      <c r="H520" s="7">
        <v>1</v>
      </c>
      <c r="I520" s="7">
        <v>1.9</v>
      </c>
      <c r="J520" s="7">
        <v>0.876</v>
      </c>
      <c r="K520" s="7">
        <v>3.9</v>
      </c>
      <c r="L520" s="7">
        <v>5.4</v>
      </c>
      <c r="M520" s="7">
        <v>1.2</v>
      </c>
      <c r="N520" s="7">
        <v>0.1</v>
      </c>
      <c r="O520" s="7">
        <v>2</v>
      </c>
      <c r="P520" s="7">
        <v>9.9</v>
      </c>
    </row>
    <row r="521" spans="1:16" x14ac:dyDescent="0.35">
      <c r="A521" s="1" t="s">
        <v>407</v>
      </c>
      <c r="B521" s="1" t="s">
        <v>35</v>
      </c>
      <c r="C521" s="1" t="s">
        <v>72</v>
      </c>
      <c r="D521" s="7">
        <v>27</v>
      </c>
      <c r="E521" s="7">
        <v>10.9</v>
      </c>
      <c r="F521" s="7">
        <v>2.8</v>
      </c>
      <c r="G521" s="7">
        <v>0.4</v>
      </c>
      <c r="H521" s="7">
        <v>0.5</v>
      </c>
      <c r="I521" s="7">
        <v>0.5</v>
      </c>
      <c r="J521" s="7">
        <v>0.69199999999999995</v>
      </c>
      <c r="K521" s="7">
        <v>1.3</v>
      </c>
      <c r="L521" s="7">
        <v>0.5</v>
      </c>
      <c r="M521" s="7">
        <v>0.3</v>
      </c>
      <c r="N521" s="7">
        <v>0.1</v>
      </c>
      <c r="O521" s="7">
        <v>0.3</v>
      </c>
      <c r="P521" s="7">
        <v>3.1</v>
      </c>
    </row>
    <row r="522" spans="1:16" x14ac:dyDescent="0.35">
      <c r="A522" s="1" t="s">
        <v>673</v>
      </c>
      <c r="B522" s="1" t="s">
        <v>47</v>
      </c>
      <c r="C522" s="1" t="s">
        <v>19</v>
      </c>
      <c r="D522" s="7">
        <v>63</v>
      </c>
      <c r="E522" s="7">
        <v>31</v>
      </c>
      <c r="F522" s="7">
        <v>15</v>
      </c>
      <c r="G522" s="7">
        <v>0.46800000000000003</v>
      </c>
      <c r="H522" s="7">
        <v>1.9</v>
      </c>
      <c r="I522" s="7">
        <v>3.7</v>
      </c>
      <c r="J522" s="7">
        <v>0.83899999999999997</v>
      </c>
      <c r="K522" s="7">
        <v>3.7</v>
      </c>
      <c r="L522" s="7">
        <v>4.0999999999999996</v>
      </c>
      <c r="M522" s="7">
        <v>0.7</v>
      </c>
      <c r="N522" s="7">
        <v>0.2</v>
      </c>
      <c r="O522" s="7">
        <v>2.5</v>
      </c>
      <c r="P522" s="7">
        <v>19</v>
      </c>
    </row>
    <row r="523" spans="1:16" x14ac:dyDescent="0.35">
      <c r="A523" s="1" t="s">
        <v>408</v>
      </c>
      <c r="B523" s="1" t="s">
        <v>15</v>
      </c>
      <c r="C523" s="1" t="s">
        <v>88</v>
      </c>
      <c r="D523" s="7">
        <v>63</v>
      </c>
      <c r="E523" s="7">
        <v>17.8</v>
      </c>
      <c r="F523" s="7">
        <v>5.0999999999999996</v>
      </c>
      <c r="G523" s="7">
        <v>0.40799999999999997</v>
      </c>
      <c r="H523" s="7">
        <v>1.2</v>
      </c>
      <c r="I523" s="7">
        <v>0.5</v>
      </c>
      <c r="J523" s="7">
        <v>0.83299999999999996</v>
      </c>
      <c r="K523" s="7">
        <v>3.6</v>
      </c>
      <c r="L523" s="7">
        <v>0.8</v>
      </c>
      <c r="M523" s="7">
        <v>0.3</v>
      </c>
      <c r="N523" s="7">
        <v>0.1</v>
      </c>
      <c r="O523" s="7">
        <v>0.4</v>
      </c>
      <c r="P523" s="7">
        <v>5.7</v>
      </c>
    </row>
    <row r="524" spans="1:16" x14ac:dyDescent="0.35">
      <c r="A524" s="1" t="s">
        <v>409</v>
      </c>
      <c r="B524" s="1" t="s">
        <v>15</v>
      </c>
      <c r="C524" s="1" t="s">
        <v>37</v>
      </c>
      <c r="D524" s="7">
        <v>41</v>
      </c>
      <c r="E524" s="7">
        <v>10.6</v>
      </c>
      <c r="F524" s="7">
        <v>2.2000000000000002</v>
      </c>
      <c r="G524" s="7">
        <v>0.40699999999999997</v>
      </c>
      <c r="H524" s="7">
        <v>0.4</v>
      </c>
      <c r="I524" s="7">
        <v>0.2</v>
      </c>
      <c r="J524" s="7">
        <v>0.375</v>
      </c>
      <c r="K524" s="7">
        <v>2.2999999999999998</v>
      </c>
      <c r="L524" s="7">
        <v>0.6</v>
      </c>
      <c r="M524" s="7">
        <v>0.6</v>
      </c>
      <c r="N524" s="7">
        <v>0.3</v>
      </c>
      <c r="O524" s="7">
        <v>0.4</v>
      </c>
      <c r="P524" s="7">
        <v>2.2000000000000002</v>
      </c>
    </row>
    <row r="525" spans="1:16" x14ac:dyDescent="0.35">
      <c r="A525" s="1" t="s">
        <v>410</v>
      </c>
      <c r="B525" s="1" t="s">
        <v>25</v>
      </c>
      <c r="C525" s="1" t="s">
        <v>137</v>
      </c>
      <c r="D525" s="7">
        <v>65</v>
      </c>
      <c r="E525" s="7">
        <v>33</v>
      </c>
      <c r="F525" s="7">
        <v>16.7</v>
      </c>
      <c r="G525" s="7">
        <v>0.47199999999999998</v>
      </c>
      <c r="H525" s="7">
        <v>1.5</v>
      </c>
      <c r="I525" s="7">
        <v>4.0999999999999996</v>
      </c>
      <c r="J525" s="7">
        <v>0.84599999999999997</v>
      </c>
      <c r="K525" s="7">
        <v>3.1</v>
      </c>
      <c r="L525" s="7">
        <v>3</v>
      </c>
      <c r="M525" s="7">
        <v>1</v>
      </c>
      <c r="N525" s="7">
        <v>0.1</v>
      </c>
      <c r="O525" s="7">
        <v>2.4</v>
      </c>
      <c r="P525" s="7">
        <v>20.8</v>
      </c>
    </row>
    <row r="526" spans="1:16" x14ac:dyDescent="0.35">
      <c r="A526" s="1" t="s">
        <v>411</v>
      </c>
      <c r="B526" s="1" t="s">
        <v>25</v>
      </c>
      <c r="C526" s="1" t="s">
        <v>80</v>
      </c>
      <c r="D526" s="7">
        <v>47</v>
      </c>
      <c r="E526" s="7">
        <v>27.5</v>
      </c>
      <c r="F526" s="7">
        <v>7.5</v>
      </c>
      <c r="G526" s="7">
        <v>0.41599999999999998</v>
      </c>
      <c r="H526" s="7">
        <v>2.2000000000000002</v>
      </c>
      <c r="I526" s="7">
        <v>1.3</v>
      </c>
      <c r="J526" s="7">
        <v>0.90500000000000003</v>
      </c>
      <c r="K526" s="7">
        <v>1.9</v>
      </c>
      <c r="L526" s="7">
        <v>1.9</v>
      </c>
      <c r="M526" s="7">
        <v>0.4</v>
      </c>
      <c r="N526" s="7">
        <v>0.2</v>
      </c>
      <c r="O526" s="7">
        <v>0.8</v>
      </c>
      <c r="P526" s="7">
        <v>9.6999999999999993</v>
      </c>
    </row>
    <row r="527" spans="1:16" x14ac:dyDescent="0.35">
      <c r="A527" s="1" t="s">
        <v>483</v>
      </c>
      <c r="B527" s="1" t="s">
        <v>25</v>
      </c>
      <c r="C527" s="1" t="s">
        <v>88</v>
      </c>
      <c r="D527" s="7">
        <v>2</v>
      </c>
      <c r="E527" s="7">
        <v>5</v>
      </c>
      <c r="F527" s="7">
        <v>2.5</v>
      </c>
      <c r="G527" s="7">
        <v>0.2</v>
      </c>
      <c r="H527" s="7">
        <v>0.5</v>
      </c>
      <c r="I527" s="7">
        <v>0</v>
      </c>
      <c r="K527" s="7">
        <v>1.5</v>
      </c>
      <c r="L527" s="7">
        <v>0.5</v>
      </c>
      <c r="M527" s="7">
        <v>0</v>
      </c>
      <c r="N527" s="7">
        <v>0</v>
      </c>
      <c r="O527" s="7">
        <v>0.5</v>
      </c>
      <c r="P527" s="7">
        <v>1.5</v>
      </c>
    </row>
    <row r="528" spans="1:16" x14ac:dyDescent="0.35">
      <c r="A528" s="1" t="s">
        <v>619</v>
      </c>
      <c r="B528" s="1" t="s">
        <v>25</v>
      </c>
      <c r="C528" s="1" t="s">
        <v>30</v>
      </c>
      <c r="D528" s="7">
        <v>13</v>
      </c>
      <c r="E528" s="7">
        <v>18.5</v>
      </c>
      <c r="F528" s="7">
        <v>4.9000000000000004</v>
      </c>
      <c r="G528" s="7">
        <v>0.32800000000000001</v>
      </c>
      <c r="H528" s="7">
        <v>0.6</v>
      </c>
      <c r="I528" s="7">
        <v>0.5</v>
      </c>
      <c r="J528" s="7">
        <v>0.57099999999999995</v>
      </c>
      <c r="K528" s="7">
        <v>2.6</v>
      </c>
      <c r="L528" s="7">
        <v>0.9</v>
      </c>
      <c r="M528" s="7">
        <v>0.9</v>
      </c>
      <c r="N528" s="7">
        <v>0.2</v>
      </c>
      <c r="O528" s="7">
        <v>0.8</v>
      </c>
      <c r="P528" s="7">
        <v>4.2</v>
      </c>
    </row>
    <row r="529" spans="1:16" x14ac:dyDescent="0.35">
      <c r="A529" s="1" t="s">
        <v>412</v>
      </c>
      <c r="B529" s="1" t="s">
        <v>15</v>
      </c>
      <c r="C529" s="1" t="s">
        <v>45</v>
      </c>
      <c r="D529" s="7">
        <v>53</v>
      </c>
      <c r="E529" s="7">
        <v>35.5</v>
      </c>
      <c r="F529" s="7">
        <v>18.899999999999999</v>
      </c>
      <c r="G529" s="7">
        <v>0.45900000000000002</v>
      </c>
      <c r="H529" s="7">
        <v>2.2000000000000002</v>
      </c>
      <c r="I529" s="7">
        <v>5.2</v>
      </c>
      <c r="J529" s="7">
        <v>0.8</v>
      </c>
      <c r="K529" s="7">
        <v>7.5</v>
      </c>
      <c r="L529" s="7">
        <v>3.6</v>
      </c>
      <c r="M529" s="7">
        <v>1</v>
      </c>
      <c r="N529" s="7">
        <v>0.9</v>
      </c>
      <c r="O529" s="7">
        <v>2.5</v>
      </c>
      <c r="P529" s="7">
        <v>23.6</v>
      </c>
    </row>
    <row r="530" spans="1:16" x14ac:dyDescent="0.35">
      <c r="A530" s="1" t="s">
        <v>413</v>
      </c>
      <c r="B530" s="1" t="s">
        <v>15</v>
      </c>
      <c r="C530" s="1" t="s">
        <v>21</v>
      </c>
      <c r="D530" s="7">
        <v>41</v>
      </c>
      <c r="E530" s="7">
        <v>7.5</v>
      </c>
      <c r="F530" s="7">
        <v>1.7</v>
      </c>
      <c r="G530" s="7">
        <v>0.623</v>
      </c>
      <c r="H530" s="7">
        <v>0</v>
      </c>
      <c r="I530" s="7">
        <v>1.2</v>
      </c>
      <c r="J530" s="7">
        <v>0.69399999999999995</v>
      </c>
      <c r="K530" s="7">
        <v>2.7</v>
      </c>
      <c r="L530" s="7">
        <v>0.5</v>
      </c>
      <c r="M530" s="7">
        <v>0.2</v>
      </c>
      <c r="N530" s="7">
        <v>0.4</v>
      </c>
      <c r="O530" s="7">
        <v>0.8</v>
      </c>
      <c r="P530" s="7">
        <v>2.9</v>
      </c>
    </row>
    <row r="531" spans="1:16" x14ac:dyDescent="0.35">
      <c r="A531" s="1" t="s">
        <v>414</v>
      </c>
      <c r="B531" s="1" t="s">
        <v>47</v>
      </c>
      <c r="C531" s="1" t="s">
        <v>88</v>
      </c>
      <c r="D531" s="7">
        <v>54</v>
      </c>
      <c r="E531" s="7">
        <v>35.700000000000003</v>
      </c>
      <c r="F531" s="7">
        <v>11.4</v>
      </c>
      <c r="G531" s="7">
        <v>0.58499999999999996</v>
      </c>
      <c r="H531" s="7">
        <v>0</v>
      </c>
      <c r="I531" s="7">
        <v>5.3</v>
      </c>
      <c r="J531" s="7">
        <v>0.627</v>
      </c>
      <c r="K531" s="7">
        <v>7.8</v>
      </c>
      <c r="L531" s="7">
        <v>8.1999999999999993</v>
      </c>
      <c r="M531" s="7">
        <v>2.1</v>
      </c>
      <c r="N531" s="7">
        <v>0.6</v>
      </c>
      <c r="O531" s="7">
        <v>3.6</v>
      </c>
      <c r="P531" s="7">
        <v>16.7</v>
      </c>
    </row>
    <row r="532" spans="1:16" x14ac:dyDescent="0.35">
      <c r="A532" s="1" t="s">
        <v>415</v>
      </c>
      <c r="B532" s="1" t="s">
        <v>25</v>
      </c>
      <c r="C532" s="1" t="s">
        <v>44</v>
      </c>
      <c r="D532" s="7">
        <v>65</v>
      </c>
      <c r="E532" s="7">
        <v>21.5</v>
      </c>
      <c r="F532" s="7">
        <v>8.1</v>
      </c>
      <c r="G532" s="7">
        <v>0.40200000000000002</v>
      </c>
      <c r="H532" s="7">
        <v>1.1000000000000001</v>
      </c>
      <c r="I532" s="7">
        <v>1.4</v>
      </c>
      <c r="J532" s="7">
        <v>0.82599999999999996</v>
      </c>
      <c r="K532" s="7">
        <v>2.2999999999999998</v>
      </c>
      <c r="L532" s="7">
        <v>1.5</v>
      </c>
      <c r="M532" s="7">
        <v>0.4</v>
      </c>
      <c r="N532" s="7">
        <v>0.2</v>
      </c>
      <c r="O532" s="7">
        <v>0.9</v>
      </c>
      <c r="P532" s="7">
        <v>8.8000000000000007</v>
      </c>
    </row>
    <row r="533" spans="1:16" x14ac:dyDescent="0.35">
      <c r="A533" s="1" t="s">
        <v>674</v>
      </c>
      <c r="B533" s="1" t="s">
        <v>15</v>
      </c>
      <c r="C533" s="1" t="s">
        <v>96</v>
      </c>
      <c r="D533" s="7">
        <v>14</v>
      </c>
      <c r="E533" s="7">
        <v>9.9</v>
      </c>
      <c r="F533" s="7">
        <v>2.9</v>
      </c>
      <c r="G533" s="7">
        <v>0.5</v>
      </c>
      <c r="H533" s="7">
        <v>0.2</v>
      </c>
      <c r="I533" s="7">
        <v>1.4</v>
      </c>
      <c r="J533" s="7">
        <v>0.84199999999999997</v>
      </c>
      <c r="K533" s="7">
        <v>1.9</v>
      </c>
      <c r="L533" s="7">
        <v>0.9</v>
      </c>
      <c r="M533" s="7">
        <v>0.2</v>
      </c>
      <c r="N533" s="7">
        <v>0.3</v>
      </c>
      <c r="O533" s="7">
        <v>0.8</v>
      </c>
      <c r="P533" s="7">
        <v>4.2</v>
      </c>
    </row>
    <row r="534" spans="1:16" x14ac:dyDescent="0.35">
      <c r="A534" s="1" t="s">
        <v>416</v>
      </c>
      <c r="B534" s="1" t="s">
        <v>25</v>
      </c>
      <c r="C534" s="1" t="s">
        <v>109</v>
      </c>
      <c r="D534" s="7">
        <v>53</v>
      </c>
      <c r="E534" s="7">
        <v>32.5</v>
      </c>
      <c r="F534" s="7">
        <v>11.9</v>
      </c>
      <c r="G534" s="7">
        <v>0.38</v>
      </c>
      <c r="H534" s="7">
        <v>2.4</v>
      </c>
      <c r="I534" s="7">
        <v>2.4</v>
      </c>
      <c r="J534" s="7">
        <v>0.83499999999999996</v>
      </c>
      <c r="K534" s="7">
        <v>3.8</v>
      </c>
      <c r="L534" s="7">
        <v>4.8</v>
      </c>
      <c r="M534" s="7">
        <v>1.6</v>
      </c>
      <c r="N534" s="7">
        <v>0.5</v>
      </c>
      <c r="O534" s="7">
        <v>1.7</v>
      </c>
      <c r="P534" s="7">
        <v>13.5</v>
      </c>
    </row>
    <row r="535" spans="1:16" x14ac:dyDescent="0.35">
      <c r="A535" s="1" t="s">
        <v>702</v>
      </c>
      <c r="B535" s="1" t="s">
        <v>47</v>
      </c>
      <c r="C535" s="1" t="s">
        <v>32</v>
      </c>
      <c r="D535" s="7">
        <v>34</v>
      </c>
      <c r="E535" s="7">
        <v>15.8</v>
      </c>
      <c r="F535" s="7">
        <v>6.2</v>
      </c>
      <c r="G535" s="7">
        <v>0.34100000000000003</v>
      </c>
      <c r="H535" s="7">
        <v>0.5</v>
      </c>
      <c r="I535" s="7">
        <v>1.6</v>
      </c>
      <c r="J535" s="7">
        <v>0.50900000000000001</v>
      </c>
      <c r="K535" s="7">
        <v>2.2999999999999998</v>
      </c>
      <c r="L535" s="7">
        <v>2.9</v>
      </c>
      <c r="M535" s="7">
        <v>0.8</v>
      </c>
      <c r="N535" s="7">
        <v>0.2</v>
      </c>
      <c r="O535" s="7">
        <v>1.7</v>
      </c>
      <c r="P535" s="7">
        <v>5.5</v>
      </c>
    </row>
    <row r="536" spans="1:16" x14ac:dyDescent="0.35">
      <c r="A536" s="1" t="s">
        <v>418</v>
      </c>
      <c r="B536" s="1" t="s">
        <v>47</v>
      </c>
      <c r="C536" s="1" t="s">
        <v>72</v>
      </c>
      <c r="D536" s="7">
        <v>60</v>
      </c>
      <c r="E536" s="7">
        <v>26.2</v>
      </c>
      <c r="F536" s="7">
        <v>9.6999999999999993</v>
      </c>
      <c r="G536" s="7">
        <v>0.45100000000000001</v>
      </c>
      <c r="H536" s="7">
        <v>0.9</v>
      </c>
      <c r="I536" s="7">
        <v>1.2</v>
      </c>
      <c r="J536" s="7">
        <v>0.68600000000000005</v>
      </c>
      <c r="K536" s="7">
        <v>3.2</v>
      </c>
      <c r="L536" s="7">
        <v>4.8</v>
      </c>
      <c r="M536" s="7">
        <v>0.9</v>
      </c>
      <c r="N536" s="7">
        <v>0.4</v>
      </c>
      <c r="O536" s="7">
        <v>1.3</v>
      </c>
      <c r="P536" s="7">
        <v>10.5</v>
      </c>
    </row>
    <row r="537" spans="1:16" x14ac:dyDescent="0.35">
      <c r="A537" s="1" t="s">
        <v>472</v>
      </c>
      <c r="B537" s="1" t="s">
        <v>25</v>
      </c>
      <c r="C537" s="1" t="s">
        <v>88</v>
      </c>
      <c r="D537" s="7">
        <v>7</v>
      </c>
      <c r="E537" s="7">
        <v>4.5999999999999996</v>
      </c>
      <c r="F537" s="7">
        <v>1.6</v>
      </c>
      <c r="G537" s="7">
        <v>0.27300000000000002</v>
      </c>
      <c r="H537" s="7">
        <v>0</v>
      </c>
      <c r="I537" s="7">
        <v>0.6</v>
      </c>
      <c r="J537" s="7">
        <v>0.5</v>
      </c>
      <c r="K537" s="7">
        <v>0.3</v>
      </c>
      <c r="L537" s="7">
        <v>0.3</v>
      </c>
      <c r="M537" s="7">
        <v>0.4</v>
      </c>
      <c r="N537" s="7">
        <v>0</v>
      </c>
      <c r="O537" s="7">
        <v>0.3</v>
      </c>
      <c r="P537" s="7">
        <v>1.1000000000000001</v>
      </c>
    </row>
    <row r="538" spans="1:16" x14ac:dyDescent="0.35">
      <c r="A538" s="1" t="s">
        <v>419</v>
      </c>
      <c r="B538" s="1" t="s">
        <v>35</v>
      </c>
      <c r="C538" s="1" t="s">
        <v>90</v>
      </c>
      <c r="D538" s="7">
        <v>59</v>
      </c>
      <c r="E538" s="7">
        <v>27.8</v>
      </c>
      <c r="F538" s="7">
        <v>6.5</v>
      </c>
      <c r="G538" s="7">
        <v>0.44500000000000001</v>
      </c>
      <c r="H538" s="7">
        <v>1.7</v>
      </c>
      <c r="I538" s="7">
        <v>0.5</v>
      </c>
      <c r="J538" s="7">
        <v>1</v>
      </c>
      <c r="K538" s="7">
        <v>1.9</v>
      </c>
      <c r="L538" s="7">
        <v>2.2000000000000002</v>
      </c>
      <c r="M538" s="7">
        <v>0.5</v>
      </c>
      <c r="N538" s="7">
        <v>0.3</v>
      </c>
      <c r="O538" s="7">
        <v>0.5</v>
      </c>
      <c r="P538" s="7">
        <v>8</v>
      </c>
    </row>
    <row r="539" spans="1:16" x14ac:dyDescent="0.35">
      <c r="A539" s="1" t="s">
        <v>420</v>
      </c>
      <c r="B539" s="1" t="s">
        <v>15</v>
      </c>
      <c r="C539" s="1" t="s">
        <v>96</v>
      </c>
      <c r="D539" s="7">
        <v>49</v>
      </c>
      <c r="E539" s="7">
        <v>18.100000000000001</v>
      </c>
      <c r="F539" s="7">
        <v>6</v>
      </c>
      <c r="G539" s="7">
        <v>0.43099999999999999</v>
      </c>
      <c r="H539" s="7">
        <v>0.9</v>
      </c>
      <c r="I539" s="7">
        <v>1.9</v>
      </c>
      <c r="J539" s="7">
        <v>0.79300000000000004</v>
      </c>
      <c r="K539" s="7">
        <v>4.5</v>
      </c>
      <c r="L539" s="7">
        <v>1</v>
      </c>
      <c r="M539" s="7">
        <v>0.7</v>
      </c>
      <c r="N539" s="7">
        <v>0.5</v>
      </c>
      <c r="O539" s="7">
        <v>1.1000000000000001</v>
      </c>
      <c r="P539" s="7">
        <v>7.6</v>
      </c>
    </row>
    <row r="540" spans="1:16" x14ac:dyDescent="0.35">
      <c r="A540" s="1" t="s">
        <v>421</v>
      </c>
      <c r="B540" s="1" t="s">
        <v>25</v>
      </c>
      <c r="C540" s="1" t="s">
        <v>48</v>
      </c>
      <c r="D540" s="7">
        <v>2</v>
      </c>
      <c r="E540" s="7">
        <v>3</v>
      </c>
      <c r="F540" s="7">
        <v>1.5</v>
      </c>
      <c r="G540" s="7">
        <v>0.66700000000000004</v>
      </c>
      <c r="H540" s="7">
        <v>0</v>
      </c>
      <c r="I540" s="7">
        <v>0.5</v>
      </c>
      <c r="J540" s="7">
        <v>1</v>
      </c>
      <c r="K540" s="7">
        <v>0.5</v>
      </c>
      <c r="L540" s="7">
        <v>0</v>
      </c>
      <c r="M540" s="7">
        <v>0</v>
      </c>
      <c r="N540" s="7">
        <v>0</v>
      </c>
      <c r="O540" s="7">
        <v>0</v>
      </c>
      <c r="P540" s="7">
        <v>2.5</v>
      </c>
    </row>
    <row r="541" spans="1:16" x14ac:dyDescent="0.35">
      <c r="A541" s="1" t="s">
        <v>422</v>
      </c>
      <c r="B541" s="1" t="s">
        <v>47</v>
      </c>
      <c r="C541" s="1" t="s">
        <v>83</v>
      </c>
      <c r="D541" s="7">
        <v>25</v>
      </c>
      <c r="E541" s="7">
        <v>13.8</v>
      </c>
      <c r="F541" s="7">
        <v>4.4000000000000004</v>
      </c>
      <c r="G541" s="7">
        <v>0.42299999999999999</v>
      </c>
      <c r="H541" s="7">
        <v>0.4</v>
      </c>
      <c r="I541" s="7">
        <v>0.6</v>
      </c>
      <c r="J541" s="7">
        <v>0.66700000000000004</v>
      </c>
      <c r="K541" s="7">
        <v>1.5</v>
      </c>
      <c r="L541" s="7">
        <v>1.6</v>
      </c>
      <c r="M541" s="7">
        <v>0.6</v>
      </c>
      <c r="N541" s="7">
        <v>0.3</v>
      </c>
      <c r="O541" s="7">
        <v>0.8</v>
      </c>
      <c r="P541" s="7">
        <v>4.5999999999999996</v>
      </c>
    </row>
    <row r="542" spans="1:16" x14ac:dyDescent="0.35">
      <c r="A542" s="1" t="s">
        <v>423</v>
      </c>
      <c r="B542" s="1" t="s">
        <v>15</v>
      </c>
      <c r="C542" s="1" t="s">
        <v>50</v>
      </c>
      <c r="D542" s="7">
        <v>27</v>
      </c>
      <c r="E542" s="7">
        <v>10.7</v>
      </c>
      <c r="F542" s="7">
        <v>1.7</v>
      </c>
      <c r="G542" s="7">
        <v>0.59599999999999997</v>
      </c>
      <c r="H542" s="7">
        <v>0</v>
      </c>
      <c r="I542" s="7">
        <v>0.6</v>
      </c>
      <c r="J542" s="7">
        <v>0.52900000000000003</v>
      </c>
      <c r="K542" s="7">
        <v>3.7</v>
      </c>
      <c r="L542" s="7">
        <v>1.1000000000000001</v>
      </c>
      <c r="M542" s="7">
        <v>0.1</v>
      </c>
      <c r="N542" s="7">
        <v>0.3</v>
      </c>
      <c r="O542" s="7">
        <v>1.4</v>
      </c>
      <c r="P542" s="7">
        <v>2.4</v>
      </c>
    </row>
    <row r="543" spans="1:16" x14ac:dyDescent="0.35">
      <c r="A543" s="1" t="s">
        <v>423</v>
      </c>
      <c r="B543" s="1" t="s">
        <v>15</v>
      </c>
      <c r="C543" s="1" t="s">
        <v>51</v>
      </c>
      <c r="D543" s="7">
        <v>7</v>
      </c>
      <c r="E543" s="7">
        <v>3.3</v>
      </c>
      <c r="F543" s="7">
        <v>0.6</v>
      </c>
      <c r="G543" s="7">
        <v>0.5</v>
      </c>
      <c r="H543" s="7">
        <v>0</v>
      </c>
      <c r="I543" s="7">
        <v>0.3</v>
      </c>
      <c r="J543" s="7">
        <v>0.5</v>
      </c>
      <c r="K543" s="7">
        <v>1</v>
      </c>
      <c r="L543" s="7">
        <v>0.3</v>
      </c>
      <c r="M543" s="7">
        <v>0.1</v>
      </c>
      <c r="N543" s="7">
        <v>0.3</v>
      </c>
      <c r="O543" s="7">
        <v>0.9</v>
      </c>
      <c r="P543" s="7">
        <v>0.7</v>
      </c>
    </row>
    <row r="544" spans="1:16" x14ac:dyDescent="0.35">
      <c r="A544" s="1" t="s">
        <v>423</v>
      </c>
      <c r="B544" s="1" t="s">
        <v>15</v>
      </c>
      <c r="C544" s="1" t="s">
        <v>44</v>
      </c>
      <c r="D544" s="7">
        <v>20</v>
      </c>
      <c r="E544" s="7">
        <v>13.3</v>
      </c>
      <c r="F544" s="7">
        <v>2.2000000000000002</v>
      </c>
      <c r="G544" s="7">
        <v>0.60499999999999998</v>
      </c>
      <c r="H544" s="7">
        <v>0</v>
      </c>
      <c r="I544" s="7">
        <v>0.8</v>
      </c>
      <c r="J544" s="7">
        <v>0.53300000000000003</v>
      </c>
      <c r="K544" s="7">
        <v>4.7</v>
      </c>
      <c r="L544" s="7">
        <v>1.5</v>
      </c>
      <c r="M544" s="7">
        <v>0.1</v>
      </c>
      <c r="N544" s="7">
        <v>0.3</v>
      </c>
      <c r="O544" s="7">
        <v>1.6</v>
      </c>
      <c r="P544" s="7">
        <v>3</v>
      </c>
    </row>
    <row r="545" spans="1:16" x14ac:dyDescent="0.35">
      <c r="A545" s="1" t="s">
        <v>424</v>
      </c>
      <c r="B545" s="1" t="s">
        <v>15</v>
      </c>
      <c r="C545" s="1" t="s">
        <v>109</v>
      </c>
      <c r="D545" s="7">
        <v>59</v>
      </c>
      <c r="E545" s="7">
        <v>34.6</v>
      </c>
      <c r="F545" s="7">
        <v>18.899999999999999</v>
      </c>
      <c r="G545" s="7">
        <v>0.44800000000000001</v>
      </c>
      <c r="H545" s="7">
        <v>2.8</v>
      </c>
      <c r="I545" s="7">
        <v>4.7</v>
      </c>
      <c r="J545" s="7">
        <v>0.80600000000000005</v>
      </c>
      <c r="K545" s="7">
        <v>7.1</v>
      </c>
      <c r="L545" s="7">
        <v>2.9</v>
      </c>
      <c r="M545" s="7">
        <v>1.4</v>
      </c>
      <c r="N545" s="7">
        <v>0.9</v>
      </c>
      <c r="O545" s="7">
        <v>2.2000000000000002</v>
      </c>
      <c r="P545" s="7">
        <v>23.6</v>
      </c>
    </row>
    <row r="546" spans="1:16" x14ac:dyDescent="0.35">
      <c r="A546" s="1" t="s">
        <v>425</v>
      </c>
      <c r="B546" s="1" t="s">
        <v>47</v>
      </c>
      <c r="C546" s="1" t="s">
        <v>50</v>
      </c>
      <c r="D546" s="7">
        <v>59</v>
      </c>
      <c r="E546" s="7">
        <v>24.8</v>
      </c>
      <c r="F546" s="7">
        <v>8.3000000000000007</v>
      </c>
      <c r="G546" s="7">
        <v>0.436</v>
      </c>
      <c r="H546" s="7">
        <v>0.7</v>
      </c>
      <c r="I546" s="7">
        <v>3.3</v>
      </c>
      <c r="J546" s="7">
        <v>0.873</v>
      </c>
      <c r="K546" s="7">
        <v>2.4</v>
      </c>
      <c r="L546" s="7">
        <v>5.2</v>
      </c>
      <c r="M546" s="7">
        <v>0.7</v>
      </c>
      <c r="N546" s="7">
        <v>0.3</v>
      </c>
      <c r="O546" s="7">
        <v>2</v>
      </c>
      <c r="P546" s="7">
        <v>10.9</v>
      </c>
    </row>
    <row r="547" spans="1:16" x14ac:dyDescent="0.35">
      <c r="A547" s="1" t="s">
        <v>425</v>
      </c>
      <c r="B547" s="1" t="s">
        <v>47</v>
      </c>
      <c r="C547" s="1" t="s">
        <v>65</v>
      </c>
      <c r="D547" s="7">
        <v>34</v>
      </c>
      <c r="E547" s="7">
        <v>27.8</v>
      </c>
      <c r="F547" s="7">
        <v>9.5</v>
      </c>
      <c r="G547" s="7">
        <v>0.44800000000000001</v>
      </c>
      <c r="H547" s="7">
        <v>1</v>
      </c>
      <c r="I547" s="7">
        <v>4.2</v>
      </c>
      <c r="J547" s="7">
        <v>0.86799999999999999</v>
      </c>
      <c r="K547" s="7">
        <v>2.6</v>
      </c>
      <c r="L547" s="7">
        <v>6.1</v>
      </c>
      <c r="M547" s="7">
        <v>0.7</v>
      </c>
      <c r="N547" s="7">
        <v>0.4</v>
      </c>
      <c r="O547" s="7">
        <v>2.2000000000000002</v>
      </c>
      <c r="P547" s="7">
        <v>13.2</v>
      </c>
    </row>
    <row r="548" spans="1:16" x14ac:dyDescent="0.35">
      <c r="A548" s="1" t="s">
        <v>425</v>
      </c>
      <c r="B548" s="1" t="s">
        <v>47</v>
      </c>
      <c r="C548" s="1" t="s">
        <v>77</v>
      </c>
      <c r="D548" s="7">
        <v>25</v>
      </c>
      <c r="E548" s="7">
        <v>20.8</v>
      </c>
      <c r="F548" s="7">
        <v>6.6</v>
      </c>
      <c r="G548" s="7">
        <v>0.41199999999999998</v>
      </c>
      <c r="H548" s="7">
        <v>0.4</v>
      </c>
      <c r="I548" s="7">
        <v>2.1</v>
      </c>
      <c r="J548" s="7">
        <v>0.88700000000000001</v>
      </c>
      <c r="K548" s="7">
        <v>2.2000000000000002</v>
      </c>
      <c r="L548" s="7">
        <v>4</v>
      </c>
      <c r="M548" s="7">
        <v>0.8</v>
      </c>
      <c r="N548" s="7">
        <v>0.2</v>
      </c>
      <c r="O548" s="7">
        <v>1.6</v>
      </c>
      <c r="P548" s="7">
        <v>7.7</v>
      </c>
    </row>
    <row r="549" spans="1:16" x14ac:dyDescent="0.35">
      <c r="A549" s="1" t="s">
        <v>426</v>
      </c>
      <c r="B549" s="1" t="s">
        <v>25</v>
      </c>
      <c r="C549" s="1" t="s">
        <v>30</v>
      </c>
      <c r="D549" s="7">
        <v>55</v>
      </c>
      <c r="E549" s="7">
        <v>28.1</v>
      </c>
      <c r="F549" s="7">
        <v>9.5</v>
      </c>
      <c r="G549" s="7">
        <v>0.378</v>
      </c>
      <c r="H549" s="7">
        <v>2</v>
      </c>
      <c r="I549" s="7">
        <v>1.3</v>
      </c>
      <c r="J549" s="7">
        <v>0.76700000000000002</v>
      </c>
      <c r="K549" s="7">
        <v>3.5</v>
      </c>
      <c r="L549" s="7">
        <v>2.6</v>
      </c>
      <c r="M549" s="7">
        <v>0.8</v>
      </c>
      <c r="N549" s="7">
        <v>0.5</v>
      </c>
      <c r="O549" s="7">
        <v>1</v>
      </c>
      <c r="P549" s="7">
        <v>10.3</v>
      </c>
    </row>
    <row r="550" spans="1:16" x14ac:dyDescent="0.35">
      <c r="A550" s="1" t="s">
        <v>427</v>
      </c>
      <c r="B550" s="1" t="s">
        <v>18</v>
      </c>
      <c r="C550" s="1" t="s">
        <v>109</v>
      </c>
      <c r="D550" s="7">
        <v>58</v>
      </c>
      <c r="E550" s="7">
        <v>23.8</v>
      </c>
      <c r="F550" s="7">
        <v>6.6</v>
      </c>
      <c r="G550" s="7">
        <v>0.56499999999999995</v>
      </c>
      <c r="H550" s="7">
        <v>0.4</v>
      </c>
      <c r="I550" s="7">
        <v>1.8</v>
      </c>
      <c r="J550" s="7">
        <v>0.76400000000000001</v>
      </c>
      <c r="K550" s="7">
        <v>6.6</v>
      </c>
      <c r="L550" s="7">
        <v>1.6</v>
      </c>
      <c r="M550" s="7">
        <v>0.6</v>
      </c>
      <c r="N550" s="7">
        <v>1.3</v>
      </c>
      <c r="O550" s="7">
        <v>0.8</v>
      </c>
      <c r="P550" s="7">
        <v>9.3000000000000007</v>
      </c>
    </row>
    <row r="551" spans="1:16" x14ac:dyDescent="0.35">
      <c r="A551" s="1" t="s">
        <v>620</v>
      </c>
      <c r="B551" s="1" t="s">
        <v>47</v>
      </c>
      <c r="C551" s="1" t="s">
        <v>72</v>
      </c>
      <c r="D551" s="7">
        <v>40</v>
      </c>
      <c r="E551" s="7">
        <v>23.1</v>
      </c>
      <c r="F551" s="7">
        <v>10.7</v>
      </c>
      <c r="G551" s="7">
        <v>0.40799999999999997</v>
      </c>
      <c r="H551" s="7">
        <v>2</v>
      </c>
      <c r="I551" s="7">
        <v>1.9</v>
      </c>
      <c r="J551" s="7">
        <v>0.81599999999999995</v>
      </c>
      <c r="K551" s="7">
        <v>1.7</v>
      </c>
      <c r="L551" s="7">
        <v>3.7</v>
      </c>
      <c r="M551" s="7">
        <v>0.3</v>
      </c>
      <c r="N551" s="7">
        <v>0.2</v>
      </c>
      <c r="O551" s="7">
        <v>1.9</v>
      </c>
      <c r="P551" s="7">
        <v>12.2</v>
      </c>
    </row>
    <row r="552" spans="1:16" x14ac:dyDescent="0.35">
      <c r="A552" s="1" t="s">
        <v>428</v>
      </c>
      <c r="B552" s="1" t="s">
        <v>25</v>
      </c>
      <c r="C552" s="1" t="s">
        <v>90</v>
      </c>
      <c r="D552" s="7">
        <v>8</v>
      </c>
      <c r="E552" s="7">
        <v>7.6</v>
      </c>
      <c r="F552" s="7">
        <v>2.1</v>
      </c>
      <c r="G552" s="7">
        <v>0.29399999999999998</v>
      </c>
      <c r="H552" s="7">
        <v>0.6</v>
      </c>
      <c r="I552" s="7">
        <v>0.5</v>
      </c>
      <c r="J552" s="7">
        <v>0.5</v>
      </c>
      <c r="K552" s="7">
        <v>0.1</v>
      </c>
      <c r="L552" s="7">
        <v>0.4</v>
      </c>
      <c r="M552" s="7">
        <v>0.4</v>
      </c>
      <c r="N552" s="7">
        <v>0</v>
      </c>
      <c r="O552" s="7">
        <v>0.4</v>
      </c>
      <c r="P552" s="7">
        <v>2.1</v>
      </c>
    </row>
    <row r="553" spans="1:16" x14ac:dyDescent="0.35">
      <c r="A553" s="1" t="s">
        <v>429</v>
      </c>
      <c r="B553" s="1" t="s">
        <v>25</v>
      </c>
      <c r="C553" s="1" t="s">
        <v>45</v>
      </c>
      <c r="D553" s="7">
        <v>33</v>
      </c>
      <c r="E553" s="7">
        <v>9.6999999999999993</v>
      </c>
      <c r="F553" s="7">
        <v>3.4</v>
      </c>
      <c r="G553" s="7">
        <v>0.48599999999999999</v>
      </c>
      <c r="H553" s="7">
        <v>1.1000000000000001</v>
      </c>
      <c r="I553" s="7">
        <v>0.3</v>
      </c>
      <c r="J553" s="7">
        <v>0.7</v>
      </c>
      <c r="K553" s="7">
        <v>1.5</v>
      </c>
      <c r="L553" s="7">
        <v>0.5</v>
      </c>
      <c r="M553" s="7">
        <v>0.2</v>
      </c>
      <c r="N553" s="7">
        <v>0</v>
      </c>
      <c r="O553" s="7">
        <v>0.4</v>
      </c>
      <c r="P553" s="7">
        <v>4.5</v>
      </c>
    </row>
    <row r="554" spans="1:16" x14ac:dyDescent="0.35">
      <c r="A554" s="1" t="s">
        <v>430</v>
      </c>
      <c r="B554" s="1" t="s">
        <v>18</v>
      </c>
      <c r="C554" s="1" t="s">
        <v>137</v>
      </c>
      <c r="D554" s="7">
        <v>57</v>
      </c>
      <c r="E554" s="7">
        <v>30.2</v>
      </c>
      <c r="F554" s="7">
        <v>9.9</v>
      </c>
      <c r="G554" s="7">
        <v>0.51200000000000001</v>
      </c>
      <c r="H554" s="7">
        <v>0.2</v>
      </c>
      <c r="I554" s="7">
        <v>2.8</v>
      </c>
      <c r="J554" s="7">
        <v>0.61499999999999999</v>
      </c>
      <c r="K554" s="7">
        <v>10.1</v>
      </c>
      <c r="L554" s="7">
        <v>2.1</v>
      </c>
      <c r="M554" s="7">
        <v>0.6</v>
      </c>
      <c r="N554" s="7">
        <v>0.9</v>
      </c>
      <c r="O554" s="7">
        <v>1.8</v>
      </c>
      <c r="P554" s="7">
        <v>12</v>
      </c>
    </row>
    <row r="555" spans="1:16" x14ac:dyDescent="0.35">
      <c r="A555" s="1" t="s">
        <v>431</v>
      </c>
      <c r="B555" s="1" t="s">
        <v>25</v>
      </c>
      <c r="C555" s="1" t="s">
        <v>88</v>
      </c>
      <c r="D555" s="7">
        <v>57</v>
      </c>
      <c r="E555" s="7">
        <v>19.5</v>
      </c>
      <c r="F555" s="7">
        <v>4.0999999999999996</v>
      </c>
      <c r="G555" s="7">
        <v>0.41</v>
      </c>
      <c r="H555" s="7">
        <v>0.9</v>
      </c>
      <c r="I555" s="7">
        <v>0.7</v>
      </c>
      <c r="J555" s="7">
        <v>0.61</v>
      </c>
      <c r="K555" s="7">
        <v>1.5</v>
      </c>
      <c r="L555" s="7">
        <v>1.2</v>
      </c>
      <c r="M555" s="7">
        <v>1.4</v>
      </c>
      <c r="N555" s="7">
        <v>0.7</v>
      </c>
      <c r="O555" s="7">
        <v>0.8</v>
      </c>
      <c r="P555" s="7">
        <v>4.7</v>
      </c>
    </row>
    <row r="556" spans="1:16" x14ac:dyDescent="0.35">
      <c r="A556" s="1" t="s">
        <v>621</v>
      </c>
      <c r="B556" s="1" t="s">
        <v>15</v>
      </c>
      <c r="C556" s="1" t="s">
        <v>50</v>
      </c>
      <c r="D556" s="7">
        <v>47</v>
      </c>
      <c r="E556" s="7">
        <v>15.6</v>
      </c>
      <c r="F556" s="7">
        <v>3.3</v>
      </c>
      <c r="G556" s="7">
        <v>0.34799999999999998</v>
      </c>
      <c r="H556" s="7">
        <v>0.8</v>
      </c>
      <c r="I556" s="7">
        <v>0.5</v>
      </c>
      <c r="J556" s="7">
        <v>0.72</v>
      </c>
      <c r="K556" s="7">
        <v>2.8</v>
      </c>
      <c r="L556" s="7">
        <v>0.7</v>
      </c>
      <c r="M556" s="7">
        <v>0.3</v>
      </c>
      <c r="N556" s="7">
        <v>0.2</v>
      </c>
      <c r="O556" s="7">
        <v>0.6</v>
      </c>
      <c r="P556" s="7">
        <v>3.5</v>
      </c>
    </row>
    <row r="557" spans="1:16" x14ac:dyDescent="0.35">
      <c r="A557" s="1" t="s">
        <v>621</v>
      </c>
      <c r="B557" s="1" t="s">
        <v>15</v>
      </c>
      <c r="C557" s="1" t="s">
        <v>44</v>
      </c>
      <c r="D557" s="7">
        <v>33</v>
      </c>
      <c r="E557" s="7">
        <v>16.8</v>
      </c>
      <c r="F557" s="7">
        <v>3.5</v>
      </c>
      <c r="G557" s="7">
        <v>0.36799999999999999</v>
      </c>
      <c r="H557" s="7">
        <v>0.9</v>
      </c>
      <c r="I557" s="7">
        <v>0.6</v>
      </c>
      <c r="J557" s="7">
        <v>0.68400000000000005</v>
      </c>
      <c r="K557" s="7">
        <v>3.3</v>
      </c>
      <c r="L557" s="7">
        <v>0.9</v>
      </c>
      <c r="M557" s="7">
        <v>0.2</v>
      </c>
      <c r="N557" s="7">
        <v>0.3</v>
      </c>
      <c r="O557" s="7">
        <v>0.6</v>
      </c>
      <c r="P557" s="7">
        <v>3.9</v>
      </c>
    </row>
    <row r="558" spans="1:16" x14ac:dyDescent="0.35">
      <c r="A558" s="1" t="s">
        <v>621</v>
      </c>
      <c r="B558" s="1" t="s">
        <v>15</v>
      </c>
      <c r="C558" s="1" t="s">
        <v>51</v>
      </c>
      <c r="D558" s="7">
        <v>9</v>
      </c>
      <c r="E558" s="7">
        <v>9.1</v>
      </c>
      <c r="F558" s="7">
        <v>1.9</v>
      </c>
      <c r="G558" s="7">
        <v>0.17599999999999999</v>
      </c>
      <c r="H558" s="7">
        <v>0.2</v>
      </c>
      <c r="I558" s="7">
        <v>0.2</v>
      </c>
      <c r="J558" s="7">
        <v>0.5</v>
      </c>
      <c r="K558" s="7">
        <v>1.2</v>
      </c>
      <c r="L558" s="7">
        <v>0.3</v>
      </c>
      <c r="M558" s="7">
        <v>0.4</v>
      </c>
      <c r="N558" s="7">
        <v>0.1</v>
      </c>
      <c r="O558" s="7">
        <v>0.4</v>
      </c>
      <c r="P558" s="7">
        <v>1</v>
      </c>
    </row>
    <row r="559" spans="1:16" x14ac:dyDescent="0.35">
      <c r="A559" s="1" t="s">
        <v>621</v>
      </c>
      <c r="B559" s="1" t="s">
        <v>15</v>
      </c>
      <c r="C559" s="1" t="s">
        <v>28</v>
      </c>
      <c r="D559" s="7">
        <v>5</v>
      </c>
      <c r="E559" s="7">
        <v>19.2</v>
      </c>
      <c r="F559" s="7">
        <v>4.2</v>
      </c>
      <c r="G559" s="7">
        <v>0.38100000000000001</v>
      </c>
      <c r="H559" s="7">
        <v>1.4</v>
      </c>
      <c r="I559" s="7">
        <v>0.8</v>
      </c>
      <c r="J559" s="7">
        <v>1</v>
      </c>
      <c r="K559" s="7">
        <v>2.4</v>
      </c>
      <c r="L559" s="7">
        <v>0.2</v>
      </c>
      <c r="M559" s="7">
        <v>0.6</v>
      </c>
      <c r="N559" s="7">
        <v>0.2</v>
      </c>
      <c r="O559" s="7">
        <v>1</v>
      </c>
      <c r="P559" s="7">
        <v>5.4</v>
      </c>
    </row>
    <row r="560" spans="1:16" x14ac:dyDescent="0.35">
      <c r="A560" s="1" t="s">
        <v>484</v>
      </c>
      <c r="B560" s="1" t="s">
        <v>35</v>
      </c>
      <c r="C560" s="1" t="s">
        <v>96</v>
      </c>
      <c r="D560" s="7">
        <v>13</v>
      </c>
      <c r="E560" s="7">
        <v>20.9</v>
      </c>
      <c r="F560" s="7">
        <v>4.8</v>
      </c>
      <c r="G560" s="7">
        <v>0.46</v>
      </c>
      <c r="H560" s="7">
        <v>0.6</v>
      </c>
      <c r="I560" s="7">
        <v>0.4</v>
      </c>
      <c r="J560" s="7">
        <v>0.6</v>
      </c>
      <c r="K560" s="7">
        <v>4</v>
      </c>
      <c r="L560" s="7">
        <v>2</v>
      </c>
      <c r="M560" s="7">
        <v>1</v>
      </c>
      <c r="N560" s="7">
        <v>0.4</v>
      </c>
      <c r="O560" s="7">
        <v>1.2</v>
      </c>
      <c r="P560" s="7">
        <v>5.3</v>
      </c>
    </row>
    <row r="561" spans="1:16" x14ac:dyDescent="0.35">
      <c r="A561" s="1" t="s">
        <v>432</v>
      </c>
      <c r="B561" s="1" t="s">
        <v>18</v>
      </c>
      <c r="C561" s="1" t="s">
        <v>65</v>
      </c>
      <c r="D561" s="7">
        <v>35</v>
      </c>
      <c r="E561" s="7">
        <v>33.9</v>
      </c>
      <c r="F561" s="7">
        <v>17.8</v>
      </c>
      <c r="G561" s="7">
        <v>0.50800000000000001</v>
      </c>
      <c r="H561" s="7">
        <v>3.3</v>
      </c>
      <c r="I561" s="7">
        <v>6.5</v>
      </c>
      <c r="J561" s="7">
        <v>0.79600000000000004</v>
      </c>
      <c r="K561" s="7">
        <v>10.8</v>
      </c>
      <c r="L561" s="7">
        <v>4.4000000000000004</v>
      </c>
      <c r="M561" s="7">
        <v>0.9</v>
      </c>
      <c r="N561" s="7">
        <v>1.2</v>
      </c>
      <c r="O561" s="7">
        <v>3.1</v>
      </c>
      <c r="P561" s="7">
        <v>26.5</v>
      </c>
    </row>
    <row r="562" spans="1:16" x14ac:dyDescent="0.35">
      <c r="A562" s="1" t="s">
        <v>703</v>
      </c>
      <c r="B562" s="1" t="s">
        <v>25</v>
      </c>
      <c r="C562" s="1" t="s">
        <v>44</v>
      </c>
      <c r="D562" s="7">
        <v>53</v>
      </c>
      <c r="E562" s="7">
        <v>20</v>
      </c>
      <c r="F562" s="7">
        <v>6.6</v>
      </c>
      <c r="G562" s="7">
        <v>0.42599999999999999</v>
      </c>
      <c r="H562" s="7">
        <v>1.5</v>
      </c>
      <c r="I562" s="7">
        <v>0.7</v>
      </c>
      <c r="J562" s="7">
        <v>0.83299999999999996</v>
      </c>
      <c r="K562" s="7">
        <v>1.7</v>
      </c>
      <c r="L562" s="7">
        <v>0.9</v>
      </c>
      <c r="M562" s="7">
        <v>0.7</v>
      </c>
      <c r="N562" s="7">
        <v>0.2</v>
      </c>
      <c r="O562" s="7">
        <v>0.4</v>
      </c>
      <c r="P562" s="7">
        <v>7.7</v>
      </c>
    </row>
    <row r="563" spans="1:16" x14ac:dyDescent="0.35">
      <c r="A563" s="1" t="s">
        <v>434</v>
      </c>
      <c r="B563" s="1" t="s">
        <v>47</v>
      </c>
      <c r="C563" s="1" t="s">
        <v>32</v>
      </c>
      <c r="D563" s="7">
        <v>24</v>
      </c>
      <c r="E563" s="7">
        <v>12.1</v>
      </c>
      <c r="F563" s="7">
        <v>4.4000000000000004</v>
      </c>
      <c r="G563" s="7">
        <v>0.48099999999999998</v>
      </c>
      <c r="H563" s="7">
        <v>0.8</v>
      </c>
      <c r="I563" s="7">
        <v>1.8</v>
      </c>
      <c r="J563" s="7">
        <v>0.79100000000000004</v>
      </c>
      <c r="K563" s="7">
        <v>1.2</v>
      </c>
      <c r="L563" s="7">
        <v>1.2</v>
      </c>
      <c r="M563" s="7">
        <v>0.1</v>
      </c>
      <c r="N563" s="7">
        <v>0.2</v>
      </c>
      <c r="O563" s="7">
        <v>0.9</v>
      </c>
      <c r="P563" s="7">
        <v>6.5</v>
      </c>
    </row>
    <row r="564" spans="1:16" x14ac:dyDescent="0.35">
      <c r="A564" s="1" t="s">
        <v>435</v>
      </c>
      <c r="B564" s="1" t="s">
        <v>15</v>
      </c>
      <c r="C564" s="1" t="s">
        <v>37</v>
      </c>
      <c r="D564" s="7">
        <v>64</v>
      </c>
      <c r="E564" s="7">
        <v>34.4</v>
      </c>
      <c r="F564" s="7">
        <v>5.8</v>
      </c>
      <c r="G564" s="7">
        <v>0.433</v>
      </c>
      <c r="H564" s="7">
        <v>1.5</v>
      </c>
      <c r="I564" s="7">
        <v>0.7</v>
      </c>
      <c r="J564" s="7">
        <v>0.84099999999999997</v>
      </c>
      <c r="K564" s="7">
        <v>6.9</v>
      </c>
      <c r="L564" s="7">
        <v>1.6</v>
      </c>
      <c r="M564" s="7">
        <v>1.1000000000000001</v>
      </c>
      <c r="N564" s="7">
        <v>0.5</v>
      </c>
      <c r="O564" s="7">
        <v>1</v>
      </c>
      <c r="P564" s="7">
        <v>7.1</v>
      </c>
    </row>
    <row r="565" spans="1:16" x14ac:dyDescent="0.35">
      <c r="A565" s="1" t="s">
        <v>436</v>
      </c>
      <c r="B565" s="1" t="s">
        <v>25</v>
      </c>
      <c r="C565" s="1" t="s">
        <v>87</v>
      </c>
      <c r="D565" s="7">
        <v>14</v>
      </c>
      <c r="E565" s="7">
        <v>5.6</v>
      </c>
      <c r="F565" s="7">
        <v>1.4</v>
      </c>
      <c r="G565" s="7">
        <v>0.42099999999999999</v>
      </c>
      <c r="H565" s="7">
        <v>0</v>
      </c>
      <c r="I565" s="7">
        <v>0.4</v>
      </c>
      <c r="J565" s="7">
        <v>0.6</v>
      </c>
      <c r="K565" s="7">
        <v>0.9</v>
      </c>
      <c r="L565" s="7">
        <v>0.1</v>
      </c>
      <c r="M565" s="7">
        <v>0.1</v>
      </c>
      <c r="N565" s="7">
        <v>0</v>
      </c>
      <c r="O565" s="7">
        <v>0.2</v>
      </c>
      <c r="P565" s="7">
        <v>1.4</v>
      </c>
    </row>
    <row r="566" spans="1:16" x14ac:dyDescent="0.35">
      <c r="A566" s="1" t="s">
        <v>437</v>
      </c>
      <c r="B566" s="1" t="s">
        <v>47</v>
      </c>
      <c r="C566" s="1" t="s">
        <v>77</v>
      </c>
      <c r="D566" s="7">
        <v>19</v>
      </c>
      <c r="E566" s="7">
        <v>13.2</v>
      </c>
      <c r="F566" s="7">
        <v>3.5</v>
      </c>
      <c r="G566" s="7">
        <v>0.373</v>
      </c>
      <c r="H566" s="7">
        <v>0</v>
      </c>
      <c r="I566" s="7">
        <v>0.7</v>
      </c>
      <c r="J566" s="7">
        <v>0.85699999999999998</v>
      </c>
      <c r="K566" s="7">
        <v>2</v>
      </c>
      <c r="L566" s="7">
        <v>2</v>
      </c>
      <c r="M566" s="7">
        <v>0.5</v>
      </c>
      <c r="N566" s="7">
        <v>0.4</v>
      </c>
      <c r="O566" s="7">
        <v>1.4</v>
      </c>
      <c r="P566" s="7">
        <v>3.3</v>
      </c>
    </row>
    <row r="567" spans="1:16" x14ac:dyDescent="0.35">
      <c r="A567" s="1" t="s">
        <v>438</v>
      </c>
      <c r="B567" s="1" t="s">
        <v>18</v>
      </c>
      <c r="C567" s="1" t="s">
        <v>83</v>
      </c>
      <c r="D567" s="7">
        <v>55</v>
      </c>
      <c r="E567" s="7">
        <v>29.6</v>
      </c>
      <c r="F567" s="7">
        <v>9.4</v>
      </c>
      <c r="G567" s="7">
        <v>0.45100000000000001</v>
      </c>
      <c r="H567" s="7">
        <v>1.4</v>
      </c>
      <c r="I567" s="7">
        <v>2.6</v>
      </c>
      <c r="J567" s="7">
        <v>0.75</v>
      </c>
      <c r="K567" s="7">
        <v>6.5</v>
      </c>
      <c r="L567" s="7">
        <v>1.1000000000000001</v>
      </c>
      <c r="M567" s="7">
        <v>0.8</v>
      </c>
      <c r="N567" s="7">
        <v>2.2000000000000002</v>
      </c>
      <c r="O567" s="7">
        <v>1.2</v>
      </c>
      <c r="P567" s="7">
        <v>11.8</v>
      </c>
    </row>
    <row r="568" spans="1:16" x14ac:dyDescent="0.35">
      <c r="A568" s="1" t="s">
        <v>566</v>
      </c>
      <c r="B568" s="1" t="s">
        <v>35</v>
      </c>
      <c r="C568" s="1" t="s">
        <v>28</v>
      </c>
      <c r="D568" s="7">
        <v>4</v>
      </c>
      <c r="E568" s="7">
        <v>3.5</v>
      </c>
      <c r="F568" s="7">
        <v>1.8</v>
      </c>
      <c r="G568" s="7">
        <v>0.14299999999999999</v>
      </c>
      <c r="H568" s="7">
        <v>0</v>
      </c>
      <c r="I568" s="7">
        <v>0.5</v>
      </c>
      <c r="J568" s="7">
        <v>1</v>
      </c>
      <c r="K568" s="7">
        <v>0.3</v>
      </c>
      <c r="L568" s="7">
        <v>0</v>
      </c>
      <c r="M568" s="7">
        <v>0.3</v>
      </c>
      <c r="N568" s="7">
        <v>0</v>
      </c>
      <c r="O568" s="7">
        <v>0</v>
      </c>
      <c r="P568" s="7">
        <v>1</v>
      </c>
    </row>
    <row r="569" spans="1:16" x14ac:dyDescent="0.35">
      <c r="A569" s="1" t="s">
        <v>675</v>
      </c>
      <c r="B569" s="1" t="s">
        <v>18</v>
      </c>
      <c r="C569" s="1" t="s">
        <v>28</v>
      </c>
      <c r="D569" s="7">
        <v>62</v>
      </c>
      <c r="E569" s="7">
        <v>26.3</v>
      </c>
      <c r="F569" s="7">
        <v>10.6</v>
      </c>
      <c r="G569" s="7">
        <v>0.58599999999999997</v>
      </c>
      <c r="H569" s="7">
        <v>0.5</v>
      </c>
      <c r="I569" s="7">
        <v>2.7</v>
      </c>
      <c r="J569" s="7">
        <v>0.73199999999999998</v>
      </c>
      <c r="K569" s="7">
        <v>11.2</v>
      </c>
      <c r="L569" s="7">
        <v>1.8</v>
      </c>
      <c r="M569" s="7">
        <v>0.4</v>
      </c>
      <c r="N569" s="7">
        <v>1.1000000000000001</v>
      </c>
      <c r="O569" s="7">
        <v>1.7</v>
      </c>
      <c r="P569" s="7">
        <v>14.9</v>
      </c>
    </row>
    <row r="570" spans="1:16" x14ac:dyDescent="0.35">
      <c r="A570" s="1" t="s">
        <v>439</v>
      </c>
      <c r="B570" s="1" t="s">
        <v>35</v>
      </c>
      <c r="C570" s="1" t="s">
        <v>48</v>
      </c>
      <c r="D570" s="7">
        <v>36</v>
      </c>
      <c r="E570" s="7">
        <v>13.6</v>
      </c>
      <c r="F570" s="7">
        <v>6.6</v>
      </c>
      <c r="G570" s="7">
        <v>0.40899999999999997</v>
      </c>
      <c r="H570" s="7">
        <v>1.3</v>
      </c>
      <c r="I570" s="7">
        <v>0.2</v>
      </c>
      <c r="J570" s="7">
        <v>0.75</v>
      </c>
      <c r="K570" s="7">
        <v>2.1</v>
      </c>
      <c r="L570" s="7">
        <v>1.2</v>
      </c>
      <c r="M570" s="7">
        <v>0.7</v>
      </c>
      <c r="N570" s="7">
        <v>0.2</v>
      </c>
      <c r="O570" s="7">
        <v>0.7</v>
      </c>
      <c r="P570" s="7">
        <v>6.8</v>
      </c>
    </row>
    <row r="571" spans="1:16" x14ac:dyDescent="0.35">
      <c r="A571" s="1" t="s">
        <v>440</v>
      </c>
      <c r="B571" s="1" t="s">
        <v>479</v>
      </c>
      <c r="C571" s="1" t="s">
        <v>50</v>
      </c>
      <c r="D571" s="7">
        <v>11</v>
      </c>
      <c r="E571" s="7">
        <v>4.2</v>
      </c>
      <c r="F571" s="7">
        <v>0.7</v>
      </c>
      <c r="G571" s="7">
        <v>0.625</v>
      </c>
      <c r="H571" s="7">
        <v>0</v>
      </c>
      <c r="I571" s="7">
        <v>0.2</v>
      </c>
      <c r="J571" s="7">
        <v>1</v>
      </c>
      <c r="K571" s="7">
        <v>0.8</v>
      </c>
      <c r="L571" s="7">
        <v>0.2</v>
      </c>
      <c r="M571" s="7">
        <v>0.3</v>
      </c>
      <c r="N571" s="7">
        <v>0.1</v>
      </c>
      <c r="O571" s="7">
        <v>0.6</v>
      </c>
      <c r="P571" s="7">
        <v>1.1000000000000001</v>
      </c>
    </row>
    <row r="572" spans="1:16" x14ac:dyDescent="0.35">
      <c r="A572" s="1" t="s">
        <v>440</v>
      </c>
      <c r="B572" s="1" t="s">
        <v>35</v>
      </c>
      <c r="C572" s="1" t="s">
        <v>63</v>
      </c>
      <c r="D572" s="7">
        <v>9</v>
      </c>
      <c r="E572" s="7">
        <v>4.5999999999999996</v>
      </c>
      <c r="F572" s="7">
        <v>0.8</v>
      </c>
      <c r="G572" s="7">
        <v>0.71399999999999997</v>
      </c>
      <c r="H572" s="7">
        <v>0</v>
      </c>
      <c r="I572" s="7">
        <v>0</v>
      </c>
      <c r="K572" s="7">
        <v>0.9</v>
      </c>
      <c r="L572" s="7">
        <v>0.2</v>
      </c>
      <c r="M572" s="7">
        <v>0.3</v>
      </c>
      <c r="N572" s="7">
        <v>0.1</v>
      </c>
      <c r="O572" s="7">
        <v>0.8</v>
      </c>
      <c r="P572" s="7">
        <v>1.1000000000000001</v>
      </c>
    </row>
    <row r="573" spans="1:16" x14ac:dyDescent="0.35">
      <c r="A573" s="1" t="s">
        <v>440</v>
      </c>
      <c r="B573" s="1" t="s">
        <v>15</v>
      </c>
      <c r="C573" s="1" t="s">
        <v>65</v>
      </c>
      <c r="D573" s="7">
        <v>2</v>
      </c>
      <c r="E573" s="7">
        <v>2.5</v>
      </c>
      <c r="F573" s="7">
        <v>0.5</v>
      </c>
      <c r="G573" s="7">
        <v>0</v>
      </c>
      <c r="H573" s="7">
        <v>0</v>
      </c>
      <c r="I573" s="7">
        <v>1</v>
      </c>
      <c r="J573" s="7">
        <v>1</v>
      </c>
      <c r="K573" s="7">
        <v>0.5</v>
      </c>
      <c r="L573" s="7">
        <v>0</v>
      </c>
      <c r="M573" s="7">
        <v>0</v>
      </c>
      <c r="N573" s="7">
        <v>0</v>
      </c>
      <c r="O573" s="7">
        <v>0</v>
      </c>
      <c r="P573" s="7">
        <v>1</v>
      </c>
    </row>
    <row r="574" spans="1:16" x14ac:dyDescent="0.35">
      <c r="A574" s="1" t="s">
        <v>441</v>
      </c>
      <c r="B574" s="1" t="s">
        <v>47</v>
      </c>
      <c r="C574" s="1" t="s">
        <v>45</v>
      </c>
      <c r="D574" s="7">
        <v>48</v>
      </c>
      <c r="E574" s="7">
        <v>35.799999999999997</v>
      </c>
      <c r="F574" s="7">
        <v>14.6</v>
      </c>
      <c r="G574" s="7">
        <v>0.40899999999999997</v>
      </c>
      <c r="H574" s="7">
        <v>2.7</v>
      </c>
      <c r="I574" s="7">
        <v>3.5</v>
      </c>
      <c r="J574" s="7">
        <v>0.84299999999999997</v>
      </c>
      <c r="K574" s="7">
        <v>3.8</v>
      </c>
      <c r="L574" s="7">
        <v>6.6</v>
      </c>
      <c r="M574" s="7">
        <v>1.9</v>
      </c>
      <c r="N574" s="7">
        <v>0.3</v>
      </c>
      <c r="O574" s="7">
        <v>2.2999999999999998</v>
      </c>
      <c r="P574" s="7">
        <v>17.600000000000001</v>
      </c>
    </row>
    <row r="575" spans="1:16" x14ac:dyDescent="0.35">
      <c r="A575" s="1" t="s">
        <v>485</v>
      </c>
      <c r="B575" s="1" t="s">
        <v>47</v>
      </c>
      <c r="C575" s="1" t="s">
        <v>21</v>
      </c>
      <c r="D575" s="7">
        <v>6</v>
      </c>
      <c r="E575" s="7">
        <v>7</v>
      </c>
      <c r="F575" s="7">
        <v>3.2</v>
      </c>
      <c r="G575" s="7">
        <v>0.21099999999999999</v>
      </c>
      <c r="H575" s="7">
        <v>0.7</v>
      </c>
      <c r="I575" s="7">
        <v>0</v>
      </c>
      <c r="K575" s="7">
        <v>0.5</v>
      </c>
      <c r="L575" s="7">
        <v>0.5</v>
      </c>
      <c r="M575" s="7">
        <v>0.2</v>
      </c>
      <c r="N575" s="7">
        <v>0</v>
      </c>
      <c r="O575" s="7">
        <v>0</v>
      </c>
      <c r="P575" s="7">
        <v>2</v>
      </c>
    </row>
    <row r="576" spans="1:16" x14ac:dyDescent="0.35">
      <c r="A576" s="1" t="s">
        <v>442</v>
      </c>
      <c r="B576" s="1" t="s">
        <v>486</v>
      </c>
      <c r="C576" s="1" t="s">
        <v>50</v>
      </c>
      <c r="D576" s="7">
        <v>33</v>
      </c>
      <c r="E576" s="7">
        <v>11</v>
      </c>
      <c r="F576" s="7">
        <v>2.7</v>
      </c>
      <c r="G576" s="7">
        <v>0.56200000000000006</v>
      </c>
      <c r="H576" s="7">
        <v>0.1</v>
      </c>
      <c r="I576" s="7">
        <v>0.9</v>
      </c>
      <c r="J576" s="7">
        <v>0.8</v>
      </c>
      <c r="K576" s="7">
        <v>3.7</v>
      </c>
      <c r="L576" s="7">
        <v>0.8</v>
      </c>
      <c r="M576" s="7">
        <v>0.3</v>
      </c>
      <c r="N576" s="7">
        <v>0.2</v>
      </c>
      <c r="O576" s="7">
        <v>0.6</v>
      </c>
      <c r="P576" s="7">
        <v>3.8</v>
      </c>
    </row>
    <row r="577" spans="1:16" x14ac:dyDescent="0.35">
      <c r="A577" s="1" t="s">
        <v>442</v>
      </c>
      <c r="B577" s="1" t="s">
        <v>18</v>
      </c>
      <c r="C577" s="1" t="s">
        <v>65</v>
      </c>
      <c r="D577" s="7">
        <v>29</v>
      </c>
      <c r="E577" s="7">
        <v>12</v>
      </c>
      <c r="F577" s="7">
        <v>3</v>
      </c>
      <c r="G577" s="7">
        <v>0.54700000000000004</v>
      </c>
      <c r="H577" s="7">
        <v>0.1</v>
      </c>
      <c r="I577" s="7">
        <v>1</v>
      </c>
      <c r="J577" s="7">
        <v>0.82099999999999995</v>
      </c>
      <c r="K577" s="7">
        <v>4</v>
      </c>
      <c r="L577" s="7">
        <v>0.9</v>
      </c>
      <c r="M577" s="7">
        <v>0.4</v>
      </c>
      <c r="N577" s="7">
        <v>0.2</v>
      </c>
      <c r="O577" s="7">
        <v>0.7</v>
      </c>
      <c r="P577" s="7">
        <v>4.0999999999999996</v>
      </c>
    </row>
    <row r="578" spans="1:16" x14ac:dyDescent="0.35">
      <c r="A578" s="1" t="s">
        <v>442</v>
      </c>
      <c r="B578" s="1" t="s">
        <v>15</v>
      </c>
      <c r="C578" s="1" t="s">
        <v>63</v>
      </c>
      <c r="D578" s="7">
        <v>4</v>
      </c>
      <c r="E578" s="7">
        <v>4.3</v>
      </c>
      <c r="F578" s="7">
        <v>0.8</v>
      </c>
      <c r="G578" s="7">
        <v>1</v>
      </c>
      <c r="H578" s="7">
        <v>0.3</v>
      </c>
      <c r="I578" s="7">
        <v>0.5</v>
      </c>
      <c r="J578" s="7">
        <v>0.5</v>
      </c>
      <c r="K578" s="7">
        <v>1.8</v>
      </c>
      <c r="L578" s="7">
        <v>0.3</v>
      </c>
      <c r="M578" s="7">
        <v>0</v>
      </c>
      <c r="N578" s="7">
        <v>0</v>
      </c>
      <c r="O578" s="7">
        <v>0.5</v>
      </c>
      <c r="P578" s="7">
        <v>2</v>
      </c>
    </row>
    <row r="579" spans="1:16" x14ac:dyDescent="0.35">
      <c r="A579" s="1" t="s">
        <v>676</v>
      </c>
      <c r="B579" s="1" t="s">
        <v>18</v>
      </c>
      <c r="C579" s="1" t="s">
        <v>34</v>
      </c>
      <c r="D579" s="7">
        <v>54</v>
      </c>
      <c r="E579" s="7">
        <v>32.6</v>
      </c>
      <c r="F579" s="7">
        <v>16.899999999999999</v>
      </c>
      <c r="G579" s="7">
        <v>0.47</v>
      </c>
      <c r="H579" s="7">
        <v>1.5</v>
      </c>
      <c r="I579" s="7">
        <v>2.7</v>
      </c>
      <c r="J579" s="7">
        <v>0.78100000000000003</v>
      </c>
      <c r="K579" s="7">
        <v>11</v>
      </c>
      <c r="L579" s="7">
        <v>3.7</v>
      </c>
      <c r="M579" s="7">
        <v>0.9</v>
      </c>
      <c r="N579" s="7">
        <v>0.9</v>
      </c>
      <c r="O579" s="7">
        <v>1.4</v>
      </c>
      <c r="P579" s="7">
        <v>19.5</v>
      </c>
    </row>
    <row r="580" spans="1:16" x14ac:dyDescent="0.35">
      <c r="A580" s="1" t="s">
        <v>443</v>
      </c>
      <c r="B580" s="1" t="s">
        <v>15</v>
      </c>
      <c r="C580" s="1" t="s">
        <v>137</v>
      </c>
      <c r="D580" s="7">
        <v>12</v>
      </c>
      <c r="E580" s="7">
        <v>5.9</v>
      </c>
      <c r="F580" s="7">
        <v>1.1000000000000001</v>
      </c>
      <c r="G580" s="7">
        <v>0.69199999999999995</v>
      </c>
      <c r="H580" s="7">
        <v>0.2</v>
      </c>
      <c r="I580" s="7">
        <v>0.1</v>
      </c>
      <c r="J580" s="7">
        <v>0</v>
      </c>
      <c r="K580" s="7">
        <v>1.6</v>
      </c>
      <c r="L580" s="7">
        <v>0.2</v>
      </c>
      <c r="M580" s="7">
        <v>0.2</v>
      </c>
      <c r="N580" s="7">
        <v>0.3</v>
      </c>
      <c r="O580" s="7">
        <v>0.3</v>
      </c>
      <c r="P580" s="7">
        <v>1.7</v>
      </c>
    </row>
    <row r="581" spans="1:16" x14ac:dyDescent="0.35">
      <c r="A581" s="1" t="s">
        <v>622</v>
      </c>
      <c r="B581" s="1" t="s">
        <v>18</v>
      </c>
      <c r="C581" s="1" t="s">
        <v>72</v>
      </c>
      <c r="D581" s="7">
        <v>37</v>
      </c>
      <c r="E581" s="7">
        <v>19.100000000000001</v>
      </c>
      <c r="F581" s="7">
        <v>6.2</v>
      </c>
      <c r="G581" s="7">
        <v>0.57499999999999996</v>
      </c>
      <c r="H581" s="7">
        <v>0.6</v>
      </c>
      <c r="I581" s="7">
        <v>2.2000000000000002</v>
      </c>
      <c r="J581" s="7">
        <v>0.81699999999999995</v>
      </c>
      <c r="K581" s="7">
        <v>5.2</v>
      </c>
      <c r="L581" s="7">
        <v>1.3</v>
      </c>
      <c r="M581" s="7">
        <v>0.6</v>
      </c>
      <c r="N581" s="7">
        <v>0.5</v>
      </c>
      <c r="O581" s="7">
        <v>1.5</v>
      </c>
      <c r="P581" s="7">
        <v>9.5</v>
      </c>
    </row>
    <row r="582" spans="1:16" x14ac:dyDescent="0.35">
      <c r="A582" s="1" t="s">
        <v>623</v>
      </c>
      <c r="B582" s="1" t="s">
        <v>25</v>
      </c>
      <c r="C582" s="1" t="s">
        <v>21</v>
      </c>
      <c r="D582" s="7">
        <v>3</v>
      </c>
      <c r="E582" s="7">
        <v>14</v>
      </c>
      <c r="F582" s="7">
        <v>8.6999999999999993</v>
      </c>
      <c r="G582" s="7">
        <v>0.38500000000000001</v>
      </c>
      <c r="H582" s="7">
        <v>2.7</v>
      </c>
      <c r="I582" s="7">
        <v>0.3</v>
      </c>
      <c r="J582" s="7">
        <v>0</v>
      </c>
      <c r="K582" s="7">
        <v>3.7</v>
      </c>
      <c r="L582" s="7">
        <v>1</v>
      </c>
      <c r="M582" s="7">
        <v>0</v>
      </c>
      <c r="N582" s="7">
        <v>0.7</v>
      </c>
      <c r="O582" s="7">
        <v>1</v>
      </c>
      <c r="P582" s="7">
        <v>9.3000000000000007</v>
      </c>
    </row>
    <row r="583" spans="1:16" x14ac:dyDescent="0.35">
      <c r="A583" s="1" t="s">
        <v>444</v>
      </c>
      <c r="B583" s="1" t="s">
        <v>47</v>
      </c>
      <c r="C583" s="1" t="s">
        <v>109</v>
      </c>
      <c r="D583" s="7">
        <v>50</v>
      </c>
      <c r="E583" s="7">
        <v>31.8</v>
      </c>
      <c r="F583" s="7">
        <v>16.600000000000001</v>
      </c>
      <c r="G583" s="7">
        <v>0.42099999999999999</v>
      </c>
      <c r="H583" s="7">
        <v>3.3</v>
      </c>
      <c r="I583" s="7">
        <v>4.5</v>
      </c>
      <c r="J583" s="7">
        <v>0.86699999999999999</v>
      </c>
      <c r="K583" s="7">
        <v>4.0999999999999996</v>
      </c>
      <c r="L583" s="7">
        <v>4.9000000000000004</v>
      </c>
      <c r="M583" s="7">
        <v>0.9</v>
      </c>
      <c r="N583" s="7">
        <v>0.5</v>
      </c>
      <c r="O583" s="7">
        <v>2.1</v>
      </c>
      <c r="P583" s="7">
        <v>21.2</v>
      </c>
    </row>
    <row r="584" spans="1:16" x14ac:dyDescent="0.35">
      <c r="A584" s="1" t="s">
        <v>445</v>
      </c>
      <c r="B584" s="1" t="s">
        <v>25</v>
      </c>
      <c r="C584" s="1" t="s">
        <v>23</v>
      </c>
      <c r="D584" s="7">
        <v>53</v>
      </c>
      <c r="E584" s="7">
        <v>14.5</v>
      </c>
      <c r="F584" s="7">
        <v>5</v>
      </c>
      <c r="G584" s="7">
        <v>0.434</v>
      </c>
      <c r="H584" s="7">
        <v>0.5</v>
      </c>
      <c r="I584" s="7">
        <v>1</v>
      </c>
      <c r="J584" s="7">
        <v>0.71699999999999997</v>
      </c>
      <c r="K584" s="7">
        <v>2.2000000000000002</v>
      </c>
      <c r="L584" s="7">
        <v>0.9</v>
      </c>
      <c r="M584" s="7">
        <v>0.5</v>
      </c>
      <c r="N584" s="7">
        <v>0.2</v>
      </c>
      <c r="O584" s="7">
        <v>0.6</v>
      </c>
      <c r="P584" s="7">
        <v>5.6</v>
      </c>
    </row>
    <row r="585" spans="1:16" x14ac:dyDescent="0.35">
      <c r="A585" s="1" t="s">
        <v>624</v>
      </c>
      <c r="B585" s="1" t="s">
        <v>25</v>
      </c>
      <c r="C585" s="1" t="s">
        <v>77</v>
      </c>
      <c r="D585" s="7">
        <v>14</v>
      </c>
      <c r="E585" s="7">
        <v>11.4</v>
      </c>
      <c r="F585" s="7">
        <v>3.1</v>
      </c>
      <c r="G585" s="7">
        <v>0.318</v>
      </c>
      <c r="H585" s="7">
        <v>0.1</v>
      </c>
      <c r="I585" s="7">
        <v>1.2</v>
      </c>
      <c r="J585" s="7">
        <v>0.64700000000000002</v>
      </c>
      <c r="K585" s="7">
        <v>1.6</v>
      </c>
      <c r="L585" s="7">
        <v>0.9</v>
      </c>
      <c r="M585" s="7">
        <v>0.5</v>
      </c>
      <c r="N585" s="7">
        <v>0.1</v>
      </c>
      <c r="O585" s="7">
        <v>0.7</v>
      </c>
      <c r="P585" s="7">
        <v>2.9</v>
      </c>
    </row>
    <row r="586" spans="1:16" x14ac:dyDescent="0.35">
      <c r="A586" s="1" t="s">
        <v>555</v>
      </c>
      <c r="B586" s="1" t="s">
        <v>35</v>
      </c>
      <c r="C586" s="1" t="s">
        <v>30</v>
      </c>
      <c r="D586" s="7">
        <v>64</v>
      </c>
      <c r="E586" s="7">
        <v>29</v>
      </c>
      <c r="F586" s="7">
        <v>11.5</v>
      </c>
      <c r="G586" s="7">
        <v>0.376</v>
      </c>
      <c r="H586" s="7">
        <v>2.2999999999999998</v>
      </c>
      <c r="I586" s="7">
        <v>1.4</v>
      </c>
      <c r="J586" s="7">
        <v>0.79800000000000004</v>
      </c>
      <c r="K586" s="7">
        <v>6</v>
      </c>
      <c r="L586" s="7">
        <v>1.8</v>
      </c>
      <c r="M586" s="7">
        <v>0.9</v>
      </c>
      <c r="N586" s="7">
        <v>0.4</v>
      </c>
      <c r="O586" s="7">
        <v>2</v>
      </c>
      <c r="P586" s="7">
        <v>12.1</v>
      </c>
    </row>
    <row r="587" spans="1:16" x14ac:dyDescent="0.35">
      <c r="A587" s="1" t="s">
        <v>625</v>
      </c>
      <c r="B587" s="1" t="s">
        <v>47</v>
      </c>
      <c r="C587" s="1" t="s">
        <v>50</v>
      </c>
      <c r="D587" s="7">
        <v>26</v>
      </c>
      <c r="E587" s="7">
        <v>9.5</v>
      </c>
      <c r="F587" s="7">
        <v>1.5</v>
      </c>
      <c r="G587" s="7">
        <v>0.46200000000000002</v>
      </c>
      <c r="H587" s="7">
        <v>0.4</v>
      </c>
      <c r="I587" s="7">
        <v>0.3</v>
      </c>
      <c r="J587" s="7">
        <v>0.77800000000000002</v>
      </c>
      <c r="K587" s="7">
        <v>0.6</v>
      </c>
      <c r="L587" s="7">
        <v>1</v>
      </c>
      <c r="M587" s="7">
        <v>0.3</v>
      </c>
      <c r="N587" s="7">
        <v>0</v>
      </c>
      <c r="O587" s="7">
        <v>0.2</v>
      </c>
      <c r="P587" s="7">
        <v>2</v>
      </c>
    </row>
    <row r="588" spans="1:16" x14ac:dyDescent="0.35">
      <c r="A588" s="1" t="s">
        <v>625</v>
      </c>
      <c r="B588" s="1" t="s">
        <v>47</v>
      </c>
      <c r="C588" s="1" t="s">
        <v>80</v>
      </c>
      <c r="D588" s="7">
        <v>23</v>
      </c>
      <c r="E588" s="7">
        <v>9.6999999999999993</v>
      </c>
      <c r="F588" s="7">
        <v>1.6</v>
      </c>
      <c r="G588" s="7">
        <v>0.47199999999999998</v>
      </c>
      <c r="H588" s="7">
        <v>0.4</v>
      </c>
      <c r="I588" s="7">
        <v>0.4</v>
      </c>
      <c r="J588" s="7">
        <v>0.77800000000000002</v>
      </c>
      <c r="K588" s="7">
        <v>0.7</v>
      </c>
      <c r="L588" s="7">
        <v>1</v>
      </c>
      <c r="M588" s="7">
        <v>0.2</v>
      </c>
      <c r="N588" s="7">
        <v>0</v>
      </c>
      <c r="O588" s="7">
        <v>0.2</v>
      </c>
      <c r="P588" s="7">
        <v>2.2000000000000002</v>
      </c>
    </row>
    <row r="589" spans="1:16" x14ac:dyDescent="0.35">
      <c r="A589" s="1" t="s">
        <v>625</v>
      </c>
      <c r="B589" s="1" t="s">
        <v>47</v>
      </c>
      <c r="C589" s="1" t="s">
        <v>90</v>
      </c>
      <c r="D589" s="7">
        <v>3</v>
      </c>
      <c r="E589" s="7">
        <v>8.6999999999999993</v>
      </c>
      <c r="F589" s="7">
        <v>1</v>
      </c>
      <c r="G589" s="7">
        <v>0.33300000000000002</v>
      </c>
      <c r="H589" s="7">
        <v>0.3</v>
      </c>
      <c r="I589" s="7">
        <v>0</v>
      </c>
      <c r="K589" s="7">
        <v>0.3</v>
      </c>
      <c r="L589" s="7">
        <v>1.7</v>
      </c>
      <c r="M589" s="7">
        <v>1</v>
      </c>
      <c r="N589" s="7">
        <v>0</v>
      </c>
      <c r="O589" s="7">
        <v>0.3</v>
      </c>
      <c r="P589" s="7">
        <v>1</v>
      </c>
    </row>
    <row r="590" spans="1:16" x14ac:dyDescent="0.35">
      <c r="A590" s="1" t="s">
        <v>446</v>
      </c>
      <c r="B590" s="1" t="s">
        <v>47</v>
      </c>
      <c r="C590" s="1" t="s">
        <v>109</v>
      </c>
      <c r="D590" s="7">
        <v>63</v>
      </c>
      <c r="E590" s="7">
        <v>19.3</v>
      </c>
      <c r="F590" s="7">
        <v>5</v>
      </c>
      <c r="G590" s="7">
        <v>0.42799999999999999</v>
      </c>
      <c r="H590" s="7">
        <v>0.5</v>
      </c>
      <c r="I590" s="7">
        <v>1.8</v>
      </c>
      <c r="J590" s="7">
        <v>0.93100000000000005</v>
      </c>
      <c r="K590" s="7">
        <v>2</v>
      </c>
      <c r="L590" s="7">
        <v>2.5</v>
      </c>
      <c r="M590" s="7">
        <v>0.8</v>
      </c>
      <c r="N590" s="7">
        <v>0.2</v>
      </c>
      <c r="O590" s="7">
        <v>1.1000000000000001</v>
      </c>
      <c r="P590" s="7">
        <v>6.6</v>
      </c>
    </row>
    <row r="591" spans="1:16" x14ac:dyDescent="0.35">
      <c r="A591" s="1" t="s">
        <v>447</v>
      </c>
      <c r="B591" s="1" t="s">
        <v>35</v>
      </c>
      <c r="C591" s="1" t="s">
        <v>83</v>
      </c>
      <c r="D591" s="7">
        <v>61</v>
      </c>
      <c r="E591" s="7">
        <v>32.5</v>
      </c>
      <c r="F591" s="7">
        <v>14.2</v>
      </c>
      <c r="G591" s="7">
        <v>0.52900000000000003</v>
      </c>
      <c r="H591" s="7">
        <v>1.1000000000000001</v>
      </c>
      <c r="I591" s="7">
        <v>3</v>
      </c>
      <c r="J591" s="7">
        <v>0.81200000000000006</v>
      </c>
      <c r="K591" s="7">
        <v>4</v>
      </c>
      <c r="L591" s="7">
        <v>1.4</v>
      </c>
      <c r="M591" s="7">
        <v>1.1000000000000001</v>
      </c>
      <c r="N591" s="7">
        <v>0.4</v>
      </c>
      <c r="O591" s="7">
        <v>1.3</v>
      </c>
      <c r="P591" s="7">
        <v>18.7</v>
      </c>
    </row>
    <row r="592" spans="1:16" x14ac:dyDescent="0.35">
      <c r="A592" s="1" t="s">
        <v>487</v>
      </c>
      <c r="B592" s="1" t="s">
        <v>15</v>
      </c>
      <c r="C592" s="1" t="s">
        <v>56</v>
      </c>
      <c r="D592" s="7">
        <v>58</v>
      </c>
      <c r="E592" s="7">
        <v>30.3</v>
      </c>
      <c r="F592" s="7">
        <v>10.199999999999999</v>
      </c>
      <c r="G592" s="7">
        <v>0.45500000000000002</v>
      </c>
      <c r="H592" s="7">
        <v>1.5</v>
      </c>
      <c r="I592" s="7">
        <v>2.2999999999999998</v>
      </c>
      <c r="J592" s="7">
        <v>0.64700000000000002</v>
      </c>
      <c r="K592" s="7">
        <v>5.4</v>
      </c>
      <c r="L592" s="7">
        <v>2.1</v>
      </c>
      <c r="M592" s="7">
        <v>0.9</v>
      </c>
      <c r="N592" s="7">
        <v>0.8</v>
      </c>
      <c r="O592" s="7">
        <v>1.6</v>
      </c>
      <c r="P592" s="7">
        <v>12.2</v>
      </c>
    </row>
    <row r="593" spans="1:16" x14ac:dyDescent="0.35">
      <c r="A593" s="1" t="s">
        <v>448</v>
      </c>
      <c r="B593" s="1" t="s">
        <v>25</v>
      </c>
      <c r="C593" s="1" t="s">
        <v>28</v>
      </c>
      <c r="D593" s="7">
        <v>16</v>
      </c>
      <c r="E593" s="7">
        <v>6.2</v>
      </c>
      <c r="F593" s="7">
        <v>1.8</v>
      </c>
      <c r="G593" s="7">
        <v>0.41399999999999998</v>
      </c>
      <c r="H593" s="7">
        <v>0.2</v>
      </c>
      <c r="I593" s="7">
        <v>0.5</v>
      </c>
      <c r="J593" s="7">
        <v>0.375</v>
      </c>
      <c r="K593" s="7">
        <v>1.1000000000000001</v>
      </c>
      <c r="L593" s="7">
        <v>0.3</v>
      </c>
      <c r="M593" s="7">
        <v>0.3</v>
      </c>
      <c r="N593" s="7">
        <v>0.1</v>
      </c>
      <c r="O593" s="7">
        <v>0.1</v>
      </c>
      <c r="P593" s="7">
        <v>1.9</v>
      </c>
    </row>
    <row r="594" spans="1:16" x14ac:dyDescent="0.35">
      <c r="A594" s="1" t="s">
        <v>449</v>
      </c>
      <c r="B594" s="1" t="s">
        <v>47</v>
      </c>
      <c r="C594" s="1" t="s">
        <v>109</v>
      </c>
      <c r="D594" s="7">
        <v>10</v>
      </c>
      <c r="E594" s="7">
        <v>8.9</v>
      </c>
      <c r="F594" s="7">
        <v>3.5</v>
      </c>
      <c r="G594" s="7">
        <v>0.34300000000000003</v>
      </c>
      <c r="H594" s="7">
        <v>0.3</v>
      </c>
      <c r="I594" s="7">
        <v>0.6</v>
      </c>
      <c r="J594" s="7">
        <v>1</v>
      </c>
      <c r="K594" s="7">
        <v>0.9</v>
      </c>
      <c r="L594" s="7">
        <v>1.2</v>
      </c>
      <c r="M594" s="7">
        <v>0.5</v>
      </c>
      <c r="N594" s="7">
        <v>0.2</v>
      </c>
      <c r="O594" s="7">
        <v>1</v>
      </c>
      <c r="P594" s="7">
        <v>3.3</v>
      </c>
    </row>
    <row r="595" spans="1:16" x14ac:dyDescent="0.35">
      <c r="A595" s="1" t="s">
        <v>450</v>
      </c>
      <c r="B595" s="1" t="s">
        <v>69</v>
      </c>
      <c r="C595" s="1" t="s">
        <v>50</v>
      </c>
      <c r="D595" s="7">
        <v>5</v>
      </c>
      <c r="E595" s="7">
        <v>5</v>
      </c>
      <c r="F595" s="7">
        <v>1.6</v>
      </c>
      <c r="G595" s="7">
        <v>0</v>
      </c>
      <c r="H595" s="7">
        <v>0</v>
      </c>
      <c r="I595" s="7">
        <v>0.4</v>
      </c>
      <c r="J595" s="7">
        <v>0.5</v>
      </c>
      <c r="K595" s="7">
        <v>0.8</v>
      </c>
      <c r="L595" s="7">
        <v>1</v>
      </c>
      <c r="M595" s="7">
        <v>0.2</v>
      </c>
      <c r="N595" s="7">
        <v>0.2</v>
      </c>
      <c r="O595" s="7">
        <v>0</v>
      </c>
      <c r="P595" s="7">
        <v>0.2</v>
      </c>
    </row>
    <row r="596" spans="1:16" x14ac:dyDescent="0.35">
      <c r="A596" s="1" t="s">
        <v>450</v>
      </c>
      <c r="B596" s="1" t="s">
        <v>25</v>
      </c>
      <c r="C596" s="1" t="s">
        <v>77</v>
      </c>
      <c r="D596" s="7">
        <v>2</v>
      </c>
      <c r="E596" s="7">
        <v>8.5</v>
      </c>
      <c r="F596" s="7">
        <v>3.5</v>
      </c>
      <c r="G596" s="7">
        <v>0</v>
      </c>
      <c r="H596" s="7">
        <v>0</v>
      </c>
      <c r="I596" s="7">
        <v>0</v>
      </c>
      <c r="K596" s="7">
        <v>1</v>
      </c>
      <c r="L596" s="7">
        <v>1.5</v>
      </c>
      <c r="M596" s="7">
        <v>0.5</v>
      </c>
      <c r="N596" s="7">
        <v>0</v>
      </c>
      <c r="O596" s="7">
        <v>0</v>
      </c>
      <c r="P596" s="7">
        <v>0</v>
      </c>
    </row>
    <row r="597" spans="1:16" x14ac:dyDescent="0.35">
      <c r="A597" s="1" t="s">
        <v>450</v>
      </c>
      <c r="B597" s="1" t="s">
        <v>35</v>
      </c>
      <c r="C597" s="1" t="s">
        <v>45</v>
      </c>
      <c r="D597" s="7">
        <v>3</v>
      </c>
      <c r="E597" s="7">
        <v>2.7</v>
      </c>
      <c r="F597" s="7">
        <v>0.3</v>
      </c>
      <c r="G597" s="7">
        <v>0</v>
      </c>
      <c r="H597" s="7">
        <v>0</v>
      </c>
      <c r="I597" s="7">
        <v>0.7</v>
      </c>
      <c r="J597" s="7">
        <v>0.5</v>
      </c>
      <c r="K597" s="7">
        <v>0.7</v>
      </c>
      <c r="L597" s="7">
        <v>0.7</v>
      </c>
      <c r="M597" s="7">
        <v>0</v>
      </c>
      <c r="N597" s="7">
        <v>0.3</v>
      </c>
      <c r="O597" s="7">
        <v>0</v>
      </c>
      <c r="P597" s="7">
        <v>0.3</v>
      </c>
    </row>
    <row r="598" spans="1:16" x14ac:dyDescent="0.35">
      <c r="A598" s="1" t="s">
        <v>488</v>
      </c>
      <c r="B598" s="1" t="s">
        <v>25</v>
      </c>
      <c r="C598" s="1" t="s">
        <v>23</v>
      </c>
      <c r="D598" s="7">
        <v>3</v>
      </c>
      <c r="E598" s="7">
        <v>5</v>
      </c>
      <c r="F598" s="7">
        <v>1</v>
      </c>
      <c r="G598" s="7">
        <v>0</v>
      </c>
      <c r="H598" s="7">
        <v>0</v>
      </c>
      <c r="I598" s="7">
        <v>0</v>
      </c>
      <c r="K598" s="7">
        <v>0.3</v>
      </c>
      <c r="L598" s="7">
        <v>0.3</v>
      </c>
      <c r="M598" s="7">
        <v>0</v>
      </c>
      <c r="N598" s="7">
        <v>0</v>
      </c>
      <c r="O598" s="7">
        <v>0</v>
      </c>
      <c r="P598" s="7">
        <v>0</v>
      </c>
    </row>
    <row r="599" spans="1:16" x14ac:dyDescent="0.35">
      <c r="A599" s="1" t="s">
        <v>451</v>
      </c>
      <c r="B599" s="1" t="s">
        <v>47</v>
      </c>
      <c r="C599" s="1" t="s">
        <v>37</v>
      </c>
      <c r="D599" s="7">
        <v>53</v>
      </c>
      <c r="E599" s="7">
        <v>35.9</v>
      </c>
      <c r="F599" s="7">
        <v>22.6</v>
      </c>
      <c r="G599" s="7">
        <v>0.47399999999999998</v>
      </c>
      <c r="H599" s="7">
        <v>1</v>
      </c>
      <c r="I599" s="7">
        <v>6.5</v>
      </c>
      <c r="J599" s="7">
        <v>0.77700000000000002</v>
      </c>
      <c r="K599" s="7">
        <v>8</v>
      </c>
      <c r="L599" s="7">
        <v>7</v>
      </c>
      <c r="M599" s="7">
        <v>1.7</v>
      </c>
      <c r="N599" s="7">
        <v>0.3</v>
      </c>
      <c r="O599" s="7">
        <v>4.5</v>
      </c>
      <c r="P599" s="7">
        <v>27.5</v>
      </c>
    </row>
    <row r="600" spans="1:16" x14ac:dyDescent="0.35">
      <c r="A600" s="1" t="s">
        <v>452</v>
      </c>
      <c r="B600" s="1" t="s">
        <v>25</v>
      </c>
      <c r="C600" s="1" t="s">
        <v>48</v>
      </c>
      <c r="D600" s="7">
        <v>65</v>
      </c>
      <c r="E600" s="7">
        <v>25.8</v>
      </c>
      <c r="F600" s="7">
        <v>12.2</v>
      </c>
      <c r="G600" s="7">
        <v>0.39400000000000002</v>
      </c>
      <c r="H600" s="7">
        <v>2</v>
      </c>
      <c r="I600" s="7">
        <v>2</v>
      </c>
      <c r="J600" s="7">
        <v>0.79100000000000004</v>
      </c>
      <c r="K600" s="7">
        <v>3.5</v>
      </c>
      <c r="L600" s="7">
        <v>2.7</v>
      </c>
      <c r="M600" s="7">
        <v>0.8</v>
      </c>
      <c r="N600" s="7">
        <v>0.1</v>
      </c>
      <c r="O600" s="7">
        <v>1.7</v>
      </c>
      <c r="P600" s="7">
        <v>13.2</v>
      </c>
    </row>
    <row r="601" spans="1:16" x14ac:dyDescent="0.35">
      <c r="A601" s="1" t="s">
        <v>453</v>
      </c>
      <c r="B601" s="1" t="s">
        <v>25</v>
      </c>
      <c r="C601" s="1" t="s">
        <v>23</v>
      </c>
      <c r="D601" s="7">
        <v>61</v>
      </c>
      <c r="E601" s="7">
        <v>24.1</v>
      </c>
      <c r="F601" s="7">
        <v>7.6</v>
      </c>
      <c r="G601" s="7">
        <v>0.45900000000000002</v>
      </c>
      <c r="H601" s="7">
        <v>0.9</v>
      </c>
      <c r="I601" s="7">
        <v>2.9</v>
      </c>
      <c r="J601" s="7">
        <v>0.85699999999999998</v>
      </c>
      <c r="K601" s="7">
        <v>3.2</v>
      </c>
      <c r="L601" s="7">
        <v>3.4</v>
      </c>
      <c r="M601" s="7">
        <v>0.6</v>
      </c>
      <c r="N601" s="7">
        <v>0.9</v>
      </c>
      <c r="O601" s="7">
        <v>1.2</v>
      </c>
      <c r="P601" s="7">
        <v>10.4</v>
      </c>
    </row>
    <row r="602" spans="1:16" x14ac:dyDescent="0.35">
      <c r="A602" s="1" t="s">
        <v>454</v>
      </c>
      <c r="B602" s="1" t="s">
        <v>18</v>
      </c>
      <c r="C602" s="1" t="s">
        <v>44</v>
      </c>
      <c r="D602" s="7">
        <v>61</v>
      </c>
      <c r="E602" s="7">
        <v>31.3</v>
      </c>
      <c r="F602" s="7">
        <v>11.1</v>
      </c>
      <c r="G602" s="7">
        <v>0.61799999999999999</v>
      </c>
      <c r="H602" s="7">
        <v>0.1</v>
      </c>
      <c r="I602" s="7">
        <v>3.7</v>
      </c>
      <c r="J602" s="7">
        <v>0.68</v>
      </c>
      <c r="K602" s="7">
        <v>14.2</v>
      </c>
      <c r="L602" s="7">
        <v>1.2</v>
      </c>
      <c r="M602" s="7">
        <v>0.4</v>
      </c>
      <c r="N602" s="7">
        <v>3.1</v>
      </c>
      <c r="O602" s="7">
        <v>1.9</v>
      </c>
      <c r="P602" s="7">
        <v>16.3</v>
      </c>
    </row>
    <row r="603" spans="1:16" x14ac:dyDescent="0.35">
      <c r="A603" s="1" t="s">
        <v>455</v>
      </c>
      <c r="B603" s="1" t="s">
        <v>69</v>
      </c>
      <c r="C603" s="1" t="s">
        <v>50</v>
      </c>
      <c r="D603" s="7">
        <v>54</v>
      </c>
      <c r="E603" s="7">
        <v>34.4</v>
      </c>
      <c r="F603" s="7">
        <v>18.100000000000001</v>
      </c>
      <c r="G603" s="7">
        <v>0.44700000000000001</v>
      </c>
      <c r="H603" s="7">
        <v>2.1</v>
      </c>
      <c r="I603" s="7">
        <v>5</v>
      </c>
      <c r="J603" s="7">
        <v>0.70899999999999996</v>
      </c>
      <c r="K603" s="7">
        <v>5.0999999999999996</v>
      </c>
      <c r="L603" s="7">
        <v>3.7</v>
      </c>
      <c r="M603" s="7">
        <v>0.8</v>
      </c>
      <c r="N603" s="7">
        <v>1</v>
      </c>
      <c r="O603" s="7">
        <v>2.4</v>
      </c>
      <c r="P603" s="7">
        <v>21.8</v>
      </c>
    </row>
    <row r="604" spans="1:16" x14ac:dyDescent="0.35">
      <c r="A604" s="1" t="s">
        <v>455</v>
      </c>
      <c r="B604" s="1" t="s">
        <v>35</v>
      </c>
      <c r="C604" s="1" t="s">
        <v>65</v>
      </c>
      <c r="D604" s="7">
        <v>42</v>
      </c>
      <c r="E604" s="7">
        <v>34.6</v>
      </c>
      <c r="F604" s="7">
        <v>18.8</v>
      </c>
      <c r="G604" s="7">
        <v>0.44400000000000001</v>
      </c>
      <c r="H604" s="7">
        <v>2.2000000000000002</v>
      </c>
      <c r="I604" s="7">
        <v>4.9000000000000004</v>
      </c>
      <c r="J604" s="7">
        <v>0.72</v>
      </c>
      <c r="K604" s="7">
        <v>5.2</v>
      </c>
      <c r="L604" s="7">
        <v>3.7</v>
      </c>
      <c r="M604" s="7">
        <v>0.7</v>
      </c>
      <c r="N604" s="7">
        <v>0.9</v>
      </c>
      <c r="O604" s="7">
        <v>2.5</v>
      </c>
      <c r="P604" s="7">
        <v>22.4</v>
      </c>
    </row>
    <row r="605" spans="1:16" x14ac:dyDescent="0.35">
      <c r="A605" s="1" t="s">
        <v>455</v>
      </c>
      <c r="B605" s="1" t="s">
        <v>25</v>
      </c>
      <c r="C605" s="1" t="s">
        <v>96</v>
      </c>
      <c r="D605" s="7">
        <v>12</v>
      </c>
      <c r="E605" s="7">
        <v>33.6</v>
      </c>
      <c r="F605" s="7">
        <v>15.7</v>
      </c>
      <c r="G605" s="7">
        <v>0.45700000000000002</v>
      </c>
      <c r="H605" s="7">
        <v>1.7</v>
      </c>
      <c r="I605" s="7">
        <v>5.0999999999999996</v>
      </c>
      <c r="J605" s="7">
        <v>0.67200000000000004</v>
      </c>
      <c r="K605" s="7">
        <v>4.5999999999999996</v>
      </c>
      <c r="L605" s="7">
        <v>3.6</v>
      </c>
      <c r="M605" s="7">
        <v>1.3</v>
      </c>
      <c r="N605" s="7">
        <v>1.4</v>
      </c>
      <c r="O605" s="7">
        <v>2.1</v>
      </c>
      <c r="P605" s="7">
        <v>19.399999999999999</v>
      </c>
    </row>
    <row r="606" spans="1:16" x14ac:dyDescent="0.35">
      <c r="A606" s="1" t="s">
        <v>456</v>
      </c>
      <c r="B606" s="1" t="s">
        <v>15</v>
      </c>
      <c r="C606" s="1" t="s">
        <v>109</v>
      </c>
      <c r="D606" s="7">
        <v>62</v>
      </c>
      <c r="E606" s="7">
        <v>15.6</v>
      </c>
      <c r="F606" s="7">
        <v>3.1</v>
      </c>
      <c r="G606" s="7">
        <v>0.41699999999999998</v>
      </c>
      <c r="H606" s="7">
        <v>0.3</v>
      </c>
      <c r="I606" s="7">
        <v>0.8</v>
      </c>
      <c r="J606" s="7">
        <v>0.72499999999999998</v>
      </c>
      <c r="K606" s="7">
        <v>2.7</v>
      </c>
      <c r="L606" s="7">
        <v>1</v>
      </c>
      <c r="M606" s="7">
        <v>0.5</v>
      </c>
      <c r="N606" s="7">
        <v>0.5</v>
      </c>
      <c r="O606" s="7">
        <v>0.7</v>
      </c>
      <c r="P606" s="7">
        <v>3.5</v>
      </c>
    </row>
    <row r="607" spans="1:16" x14ac:dyDescent="0.35">
      <c r="A607" s="1" t="s">
        <v>457</v>
      </c>
      <c r="B607" s="1" t="s">
        <v>18</v>
      </c>
      <c r="C607" s="1" t="s">
        <v>72</v>
      </c>
      <c r="D607" s="7">
        <v>11</v>
      </c>
      <c r="E607" s="7">
        <v>12.3</v>
      </c>
      <c r="F607" s="7">
        <v>2.2999999999999998</v>
      </c>
      <c r="G607" s="7">
        <v>0.64</v>
      </c>
      <c r="H607" s="7">
        <v>0</v>
      </c>
      <c r="I607" s="7">
        <v>0.5</v>
      </c>
      <c r="J607" s="7">
        <v>0.6</v>
      </c>
      <c r="K607" s="7">
        <v>3.9</v>
      </c>
      <c r="L607" s="7">
        <v>0.5</v>
      </c>
      <c r="M607" s="7">
        <v>0.1</v>
      </c>
      <c r="N607" s="7">
        <v>0.5</v>
      </c>
      <c r="O607" s="7">
        <v>0.4</v>
      </c>
      <c r="P607" s="7">
        <v>3.2</v>
      </c>
    </row>
    <row r="608" spans="1:16" x14ac:dyDescent="0.35">
      <c r="A608" s="1" t="s">
        <v>458</v>
      </c>
      <c r="B608" s="1" t="s">
        <v>15</v>
      </c>
      <c r="C608" s="1" t="s">
        <v>26</v>
      </c>
      <c r="D608" s="7">
        <v>35</v>
      </c>
      <c r="E608" s="7">
        <v>22.3</v>
      </c>
      <c r="F608" s="7">
        <v>4.0999999999999996</v>
      </c>
      <c r="G608" s="7">
        <v>0.34300000000000003</v>
      </c>
      <c r="H608" s="7">
        <v>0.7</v>
      </c>
      <c r="I608" s="7">
        <v>0.7</v>
      </c>
      <c r="J608" s="7">
        <v>0.375</v>
      </c>
      <c r="K608" s="7">
        <v>5.0999999999999996</v>
      </c>
      <c r="L608" s="7">
        <v>1.5</v>
      </c>
      <c r="M608" s="7">
        <v>0.7</v>
      </c>
      <c r="N608" s="7">
        <v>0.6</v>
      </c>
      <c r="O608" s="7">
        <v>0.6</v>
      </c>
      <c r="P608" s="7">
        <v>3.8</v>
      </c>
    </row>
    <row r="609" spans="1:16" x14ac:dyDescent="0.35">
      <c r="A609" s="1" t="s">
        <v>459</v>
      </c>
      <c r="B609" s="1" t="s">
        <v>25</v>
      </c>
      <c r="C609" s="1" t="s">
        <v>80</v>
      </c>
      <c r="D609" s="7">
        <v>60</v>
      </c>
      <c r="E609" s="7">
        <v>29.3</v>
      </c>
      <c r="F609" s="7">
        <v>14.7</v>
      </c>
      <c r="G609" s="7">
        <v>0.41599999999999998</v>
      </c>
      <c r="H609" s="7">
        <v>1.8</v>
      </c>
      <c r="I609" s="7">
        <v>5.4</v>
      </c>
      <c r="J609" s="7">
        <v>0.86299999999999999</v>
      </c>
      <c r="K609" s="7">
        <v>3.1</v>
      </c>
      <c r="L609" s="7">
        <v>5.7</v>
      </c>
      <c r="M609" s="7">
        <v>0.7</v>
      </c>
      <c r="N609" s="7">
        <v>0.2</v>
      </c>
      <c r="O609" s="7">
        <v>2.9</v>
      </c>
      <c r="P609" s="7">
        <v>18.7</v>
      </c>
    </row>
    <row r="610" spans="1:16" x14ac:dyDescent="0.35">
      <c r="A610" s="1" t="s">
        <v>460</v>
      </c>
      <c r="B610" s="1" t="s">
        <v>15</v>
      </c>
      <c r="C610" s="1" t="s">
        <v>50</v>
      </c>
      <c r="D610" s="7">
        <v>52</v>
      </c>
      <c r="E610" s="7">
        <v>19.399999999999999</v>
      </c>
      <c r="F610" s="7">
        <v>4.8</v>
      </c>
      <c r="G610" s="7">
        <v>0.442</v>
      </c>
      <c r="H610" s="7">
        <v>1</v>
      </c>
      <c r="I610" s="7">
        <v>1</v>
      </c>
      <c r="J610" s="7">
        <v>0.87</v>
      </c>
      <c r="K610" s="7">
        <v>2.8</v>
      </c>
      <c r="L610" s="7">
        <v>1.1000000000000001</v>
      </c>
      <c r="M610" s="7">
        <v>0.7</v>
      </c>
      <c r="N610" s="7">
        <v>0.5</v>
      </c>
      <c r="O610" s="7">
        <v>0.5</v>
      </c>
      <c r="P610" s="7">
        <v>6.1</v>
      </c>
    </row>
    <row r="611" spans="1:16" x14ac:dyDescent="0.35">
      <c r="A611" s="1" t="s">
        <v>460</v>
      </c>
      <c r="B611" s="1" t="s">
        <v>15</v>
      </c>
      <c r="C611" s="1" t="s">
        <v>56</v>
      </c>
      <c r="D611" s="7">
        <v>41</v>
      </c>
      <c r="E611" s="7">
        <v>19.7</v>
      </c>
      <c r="F611" s="7">
        <v>5.0999999999999996</v>
      </c>
      <c r="G611" s="7">
        <v>0.44800000000000001</v>
      </c>
      <c r="H611" s="7">
        <v>1.1000000000000001</v>
      </c>
      <c r="I611" s="7">
        <v>1.2</v>
      </c>
      <c r="J611" s="7">
        <v>0.86</v>
      </c>
      <c r="K611" s="7">
        <v>2.7</v>
      </c>
      <c r="L611" s="7">
        <v>1</v>
      </c>
      <c r="M611" s="7">
        <v>0.6</v>
      </c>
      <c r="N611" s="7">
        <v>0.5</v>
      </c>
      <c r="O611" s="7">
        <v>0.6</v>
      </c>
      <c r="P611" s="7">
        <v>6.7</v>
      </c>
    </row>
    <row r="612" spans="1:16" x14ac:dyDescent="0.35">
      <c r="A612" s="1" t="s">
        <v>460</v>
      </c>
      <c r="B612" s="1" t="s">
        <v>15</v>
      </c>
      <c r="C612" s="1" t="s">
        <v>39</v>
      </c>
      <c r="D612" s="7">
        <v>11</v>
      </c>
      <c r="E612" s="7">
        <v>18.5</v>
      </c>
      <c r="F612" s="7">
        <v>3.5</v>
      </c>
      <c r="G612" s="7">
        <v>0.41</v>
      </c>
      <c r="H612" s="7">
        <v>0.7</v>
      </c>
      <c r="I612" s="7">
        <v>0.4</v>
      </c>
      <c r="J612" s="7">
        <v>1</v>
      </c>
      <c r="K612" s="7">
        <v>3.5</v>
      </c>
      <c r="L612" s="7">
        <v>1.4</v>
      </c>
      <c r="M612" s="7">
        <v>0.8</v>
      </c>
      <c r="N612" s="7">
        <v>0.4</v>
      </c>
      <c r="O612" s="7">
        <v>0.3</v>
      </c>
      <c r="P612" s="7">
        <v>4</v>
      </c>
    </row>
    <row r="613" spans="1:16" x14ac:dyDescent="0.35">
      <c r="A613" s="1" t="s">
        <v>461</v>
      </c>
      <c r="B613" s="1" t="s">
        <v>18</v>
      </c>
      <c r="C613" s="1" t="s">
        <v>109</v>
      </c>
      <c r="D613" s="7">
        <v>23</v>
      </c>
      <c r="E613" s="7">
        <v>14</v>
      </c>
      <c r="F613" s="7">
        <v>2.7</v>
      </c>
      <c r="G613" s="7">
        <v>0.67700000000000005</v>
      </c>
      <c r="H613" s="7">
        <v>0</v>
      </c>
      <c r="I613" s="7">
        <v>1.1000000000000001</v>
      </c>
      <c r="J613" s="7">
        <v>0.56000000000000005</v>
      </c>
      <c r="K613" s="7">
        <v>4.7</v>
      </c>
      <c r="L613" s="7">
        <v>1</v>
      </c>
      <c r="M613" s="7">
        <v>0.9</v>
      </c>
      <c r="N613" s="7">
        <v>1.2</v>
      </c>
      <c r="O613" s="7">
        <v>0.9</v>
      </c>
      <c r="P613" s="7">
        <v>4.3</v>
      </c>
    </row>
    <row r="614" spans="1:16" x14ac:dyDescent="0.35">
      <c r="A614" s="1" t="s">
        <v>462</v>
      </c>
      <c r="B614" s="1" t="s">
        <v>47</v>
      </c>
      <c r="C614" s="1" t="s">
        <v>87</v>
      </c>
      <c r="D614" s="7">
        <v>9</v>
      </c>
      <c r="E614" s="7">
        <v>3.1</v>
      </c>
      <c r="F614" s="7">
        <v>0.8</v>
      </c>
      <c r="G614" s="7">
        <v>0.14299999999999999</v>
      </c>
      <c r="H614" s="7">
        <v>0</v>
      </c>
      <c r="I614" s="7">
        <v>0.2</v>
      </c>
      <c r="J614" s="7">
        <v>1</v>
      </c>
      <c r="K614" s="7">
        <v>0.6</v>
      </c>
      <c r="L614" s="7">
        <v>0.6</v>
      </c>
      <c r="M614" s="7">
        <v>0.1</v>
      </c>
      <c r="N614" s="7">
        <v>0.1</v>
      </c>
      <c r="O614" s="7">
        <v>0.2</v>
      </c>
      <c r="P614" s="7">
        <v>0.4</v>
      </c>
    </row>
    <row r="615" spans="1:16" x14ac:dyDescent="0.35">
      <c r="A615" s="1" t="s">
        <v>463</v>
      </c>
      <c r="B615" s="1" t="s">
        <v>15</v>
      </c>
      <c r="C615" s="1" t="s">
        <v>26</v>
      </c>
      <c r="D615" s="7">
        <v>19</v>
      </c>
      <c r="E615" s="7">
        <v>29.7</v>
      </c>
      <c r="F615" s="7">
        <v>15.4</v>
      </c>
      <c r="G615" s="7">
        <v>0.58899999999999997</v>
      </c>
      <c r="H615" s="7">
        <v>0.3</v>
      </c>
      <c r="I615" s="7">
        <v>8</v>
      </c>
      <c r="J615" s="7">
        <v>0.64500000000000002</v>
      </c>
      <c r="K615" s="7">
        <v>6.8</v>
      </c>
      <c r="L615" s="7">
        <v>2.2000000000000002</v>
      </c>
      <c r="M615" s="7">
        <v>0.8</v>
      </c>
      <c r="N615" s="7">
        <v>0.5</v>
      </c>
      <c r="O615" s="7">
        <v>2.7</v>
      </c>
      <c r="P615" s="7">
        <v>23.6</v>
      </c>
    </row>
    <row r="616" spans="1:16" x14ac:dyDescent="0.35">
      <c r="A616" s="1" t="s">
        <v>464</v>
      </c>
      <c r="B616" s="1" t="s">
        <v>15</v>
      </c>
      <c r="C616" s="1" t="s">
        <v>39</v>
      </c>
      <c r="D616" s="7">
        <v>31</v>
      </c>
      <c r="E616" s="7">
        <v>9</v>
      </c>
      <c r="F616" s="7">
        <v>3.3</v>
      </c>
      <c r="G616" s="7">
        <v>0.39600000000000002</v>
      </c>
      <c r="H616" s="7">
        <v>0.5</v>
      </c>
      <c r="I616" s="7">
        <v>0.3</v>
      </c>
      <c r="J616" s="7">
        <v>0.66700000000000004</v>
      </c>
      <c r="K616" s="7">
        <v>2.2000000000000002</v>
      </c>
      <c r="L616" s="7">
        <v>0.7</v>
      </c>
      <c r="M616" s="7">
        <v>0.1</v>
      </c>
      <c r="N616" s="7">
        <v>0.2</v>
      </c>
      <c r="O616" s="7">
        <v>0.5</v>
      </c>
      <c r="P616" s="7">
        <v>3.2</v>
      </c>
    </row>
    <row r="617" spans="1:16" x14ac:dyDescent="0.35">
      <c r="A617" s="1" t="s">
        <v>465</v>
      </c>
      <c r="B617" s="1" t="s">
        <v>35</v>
      </c>
      <c r="C617" s="1" t="s">
        <v>21</v>
      </c>
      <c r="D617" s="7">
        <v>11</v>
      </c>
      <c r="E617" s="7">
        <v>32</v>
      </c>
      <c r="F617" s="7">
        <v>11.7</v>
      </c>
      <c r="G617" s="7">
        <v>0.38800000000000001</v>
      </c>
      <c r="H617" s="7">
        <v>0.5</v>
      </c>
      <c r="I617" s="7">
        <v>2.5</v>
      </c>
      <c r="J617" s="7">
        <v>0.66700000000000004</v>
      </c>
      <c r="K617" s="7">
        <v>6.6</v>
      </c>
      <c r="L617" s="7">
        <v>4</v>
      </c>
      <c r="M617" s="7">
        <v>0.6</v>
      </c>
      <c r="N617" s="7">
        <v>0.5</v>
      </c>
      <c r="O617" s="7">
        <v>2.2000000000000002</v>
      </c>
      <c r="P617" s="7">
        <v>11.3</v>
      </c>
    </row>
    <row r="618" spans="1:16" x14ac:dyDescent="0.35">
      <c r="A618" s="1" t="s">
        <v>466</v>
      </c>
      <c r="B618" s="1" t="s">
        <v>15</v>
      </c>
      <c r="C618" s="1" t="s">
        <v>90</v>
      </c>
      <c r="D618" s="7">
        <v>62</v>
      </c>
      <c r="E618" s="7">
        <v>21.4</v>
      </c>
      <c r="F618" s="7">
        <v>8.1999999999999993</v>
      </c>
      <c r="G618" s="7">
        <v>0.56699999999999995</v>
      </c>
      <c r="H618" s="7">
        <v>0.9</v>
      </c>
      <c r="I618" s="7">
        <v>3.9</v>
      </c>
      <c r="J618" s="7">
        <v>0.74399999999999999</v>
      </c>
      <c r="K618" s="7">
        <v>6.3</v>
      </c>
      <c r="L618" s="7">
        <v>1</v>
      </c>
      <c r="M618" s="7">
        <v>0.5</v>
      </c>
      <c r="N618" s="7">
        <v>0.9</v>
      </c>
      <c r="O618" s="7">
        <v>1.4</v>
      </c>
      <c r="P618" s="7">
        <v>13.1</v>
      </c>
    </row>
    <row r="619" spans="1:16" x14ac:dyDescent="0.35">
      <c r="A619" s="1" t="s">
        <v>467</v>
      </c>
      <c r="B619" s="1" t="s">
        <v>25</v>
      </c>
      <c r="C619" s="1" t="s">
        <v>60</v>
      </c>
      <c r="D619" s="7">
        <v>65</v>
      </c>
      <c r="E619" s="7">
        <v>21.7</v>
      </c>
      <c r="F619" s="7">
        <v>5.9</v>
      </c>
      <c r="G619" s="7">
        <v>0.47</v>
      </c>
      <c r="H619" s="7">
        <v>0.7</v>
      </c>
      <c r="I619" s="7">
        <v>1.4</v>
      </c>
      <c r="J619" s="7">
        <v>0.78900000000000003</v>
      </c>
      <c r="K619" s="7">
        <v>4</v>
      </c>
      <c r="L619" s="7">
        <v>3.4</v>
      </c>
      <c r="M619" s="7">
        <v>1.2</v>
      </c>
      <c r="N619" s="7">
        <v>0.3</v>
      </c>
      <c r="O619" s="7">
        <v>1</v>
      </c>
      <c r="P619" s="7">
        <v>7.3</v>
      </c>
    </row>
    <row r="620" spans="1:16" x14ac:dyDescent="0.35">
      <c r="A620" s="1" t="s">
        <v>489</v>
      </c>
      <c r="B620" s="1" t="s">
        <v>47</v>
      </c>
      <c r="C620" s="1" t="s">
        <v>87</v>
      </c>
      <c r="D620" s="7">
        <v>1</v>
      </c>
      <c r="E620" s="7">
        <v>2</v>
      </c>
      <c r="F620" s="7">
        <v>0</v>
      </c>
      <c r="H620" s="7">
        <v>0</v>
      </c>
      <c r="I620" s="7">
        <v>0</v>
      </c>
      <c r="K620" s="7">
        <v>0</v>
      </c>
      <c r="L620" s="7">
        <v>0</v>
      </c>
      <c r="M620" s="7">
        <v>0</v>
      </c>
      <c r="N620" s="7">
        <v>0</v>
      </c>
      <c r="O620" s="7">
        <v>0</v>
      </c>
      <c r="P620" s="7">
        <v>0</v>
      </c>
    </row>
    <row r="621" spans="1:16" x14ac:dyDescent="0.35">
      <c r="A621" s="1" t="s">
        <v>468</v>
      </c>
      <c r="B621" s="1" t="s">
        <v>15</v>
      </c>
      <c r="C621" s="1" t="s">
        <v>48</v>
      </c>
      <c r="D621" s="7">
        <v>64</v>
      </c>
      <c r="E621" s="7">
        <v>24.9</v>
      </c>
      <c r="F621" s="7">
        <v>9.4</v>
      </c>
      <c r="G621" s="7">
        <v>0.44800000000000001</v>
      </c>
      <c r="H621" s="7">
        <v>1.2</v>
      </c>
      <c r="I621" s="7">
        <v>1.1000000000000001</v>
      </c>
      <c r="J621" s="7">
        <v>0.58299999999999996</v>
      </c>
      <c r="K621" s="7">
        <v>4.9000000000000004</v>
      </c>
      <c r="L621" s="7">
        <v>1.8</v>
      </c>
      <c r="M621" s="7">
        <v>1.4</v>
      </c>
      <c r="N621" s="7">
        <v>0.4</v>
      </c>
      <c r="O621" s="7">
        <v>1.6</v>
      </c>
      <c r="P621" s="7">
        <v>10.3</v>
      </c>
    </row>
    <row r="622" spans="1:16" x14ac:dyDescent="0.35">
      <c r="A622" s="1" t="s">
        <v>469</v>
      </c>
      <c r="B622" s="1" t="s">
        <v>47</v>
      </c>
      <c r="C622" s="1" t="s">
        <v>77</v>
      </c>
      <c r="D622" s="7">
        <v>60</v>
      </c>
      <c r="E622" s="7">
        <v>35.299999999999997</v>
      </c>
      <c r="F622" s="7">
        <v>20.8</v>
      </c>
      <c r="G622" s="7">
        <v>0.437</v>
      </c>
      <c r="H622" s="7">
        <v>3.4</v>
      </c>
      <c r="I622" s="7">
        <v>9.3000000000000007</v>
      </c>
      <c r="J622" s="7">
        <v>0.86</v>
      </c>
      <c r="K622" s="7">
        <v>4.3</v>
      </c>
      <c r="L622" s="7">
        <v>9.3000000000000007</v>
      </c>
      <c r="M622" s="7">
        <v>1.1000000000000001</v>
      </c>
      <c r="N622" s="7">
        <v>0.1</v>
      </c>
      <c r="O622" s="7">
        <v>4.8</v>
      </c>
      <c r="P622" s="7">
        <v>29.6</v>
      </c>
    </row>
    <row r="623" spans="1:16" x14ac:dyDescent="0.35">
      <c r="A623" s="1" t="s">
        <v>470</v>
      </c>
      <c r="B623" s="1" t="s">
        <v>18</v>
      </c>
      <c r="C623" s="1" t="s">
        <v>56</v>
      </c>
      <c r="D623" s="7">
        <v>58</v>
      </c>
      <c r="E623" s="7">
        <v>23.1</v>
      </c>
      <c r="F623" s="7">
        <v>8.3000000000000007</v>
      </c>
      <c r="G623" s="7">
        <v>0.52400000000000002</v>
      </c>
      <c r="H623" s="7">
        <v>0.3</v>
      </c>
      <c r="I623" s="7">
        <v>3.1</v>
      </c>
      <c r="J623" s="7">
        <v>0.68200000000000005</v>
      </c>
      <c r="K623" s="7">
        <v>7.1</v>
      </c>
      <c r="L623" s="7">
        <v>1.5</v>
      </c>
      <c r="M623" s="7">
        <v>0.7</v>
      </c>
      <c r="N623" s="7">
        <v>0.4</v>
      </c>
      <c r="O623" s="7">
        <v>1.3</v>
      </c>
      <c r="P623" s="7">
        <v>11.1</v>
      </c>
    </row>
    <row r="624" spans="1:16" x14ac:dyDescent="0.35">
      <c r="A624" s="1" t="s">
        <v>678</v>
      </c>
      <c r="B624" s="1" t="s">
        <v>18</v>
      </c>
      <c r="C624" s="1" t="s">
        <v>137</v>
      </c>
      <c r="D624" s="7">
        <v>22</v>
      </c>
      <c r="E624" s="7">
        <v>10</v>
      </c>
      <c r="F624" s="7">
        <v>3.3</v>
      </c>
      <c r="G624" s="7">
        <v>0.56899999999999995</v>
      </c>
      <c r="H624" s="7">
        <v>0</v>
      </c>
      <c r="I624" s="7">
        <v>0.9</v>
      </c>
      <c r="J624" s="7">
        <v>0.73699999999999999</v>
      </c>
      <c r="K624" s="7">
        <v>3</v>
      </c>
      <c r="L624" s="7">
        <v>0.3</v>
      </c>
      <c r="M624" s="7">
        <v>0.3</v>
      </c>
      <c r="N624" s="7">
        <v>0.2</v>
      </c>
      <c r="O624" s="7">
        <v>0.5</v>
      </c>
      <c r="P624" s="7">
        <v>4.4000000000000004</v>
      </c>
    </row>
    <row r="625" spans="1:16" x14ac:dyDescent="0.35">
      <c r="A625" s="1" t="s">
        <v>471</v>
      </c>
      <c r="B625" s="1" t="s">
        <v>18</v>
      </c>
      <c r="C625" s="1" t="s">
        <v>80</v>
      </c>
      <c r="D625" s="7">
        <v>64</v>
      </c>
      <c r="E625" s="7">
        <v>18.100000000000001</v>
      </c>
      <c r="F625" s="7">
        <v>5.3</v>
      </c>
      <c r="G625" s="7">
        <v>0.60099999999999998</v>
      </c>
      <c r="H625" s="7">
        <v>0</v>
      </c>
      <c r="I625" s="7">
        <v>2.2000000000000002</v>
      </c>
      <c r="J625" s="7">
        <v>0.75900000000000001</v>
      </c>
      <c r="K625" s="7">
        <v>7.2</v>
      </c>
      <c r="L625" s="7">
        <v>1.1000000000000001</v>
      </c>
      <c r="M625" s="7">
        <v>0.2</v>
      </c>
      <c r="N625" s="7">
        <v>0.9</v>
      </c>
      <c r="O625" s="7">
        <v>0.8</v>
      </c>
      <c r="P625" s="7">
        <v>8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F6253A-930D-47F7-8A6C-340DCE4B4DEB}">
  <sheetPr codeName="Sheet3"/>
  <dimension ref="A1:B496"/>
  <sheetViews>
    <sheetView zoomScale="159" zoomScaleNormal="310" workbookViewId="0">
      <selection sqref="A1:B491"/>
    </sheetView>
  </sheetViews>
  <sheetFormatPr defaultRowHeight="14.5" x14ac:dyDescent="0.35"/>
  <cols>
    <col min="1" max="1" width="23.36328125" bestFit="1" customWidth="1"/>
    <col min="2" max="2" width="22.08984375" bestFit="1" customWidth="1"/>
    <col min="3" max="3" width="4.54296875" bestFit="1" customWidth="1"/>
    <col min="4" max="4" width="4" bestFit="1" customWidth="1"/>
    <col min="5" max="5" width="4.08984375" bestFit="1" customWidth="1"/>
    <col min="6" max="6" width="22.08984375" bestFit="1" customWidth="1"/>
    <col min="7" max="7" width="4.26953125" bestFit="1" customWidth="1"/>
    <col min="8" max="8" width="48.6328125" bestFit="1" customWidth="1"/>
    <col min="9" max="9" width="23.6328125" bestFit="1" customWidth="1"/>
    <col min="10" max="10" width="41.6328125" bestFit="1" customWidth="1"/>
  </cols>
  <sheetData>
    <row r="1" spans="1:2" x14ac:dyDescent="0.35">
      <c r="A1" t="s">
        <v>0</v>
      </c>
      <c r="B1" t="s">
        <v>492</v>
      </c>
    </row>
    <row r="2" spans="1:2" x14ac:dyDescent="0.35">
      <c r="A2" s="1" t="s">
        <v>17</v>
      </c>
      <c r="B2" s="1" t="s">
        <v>493</v>
      </c>
    </row>
    <row r="3" spans="1:2" x14ac:dyDescent="0.35">
      <c r="A3" s="1" t="s">
        <v>20</v>
      </c>
      <c r="B3" s="1" t="s">
        <v>494</v>
      </c>
    </row>
    <row r="4" spans="1:2" x14ac:dyDescent="0.35">
      <c r="A4" s="1" t="s">
        <v>22</v>
      </c>
      <c r="B4" s="1" t="s">
        <v>495</v>
      </c>
    </row>
    <row r="5" spans="1:2" x14ac:dyDescent="0.35">
      <c r="A5" s="1" t="s">
        <v>496</v>
      </c>
      <c r="B5" s="1" t="s">
        <v>494</v>
      </c>
    </row>
    <row r="6" spans="1:2" x14ac:dyDescent="0.35">
      <c r="A6" s="1" t="s">
        <v>24</v>
      </c>
      <c r="B6" s="1" t="s">
        <v>497</v>
      </c>
    </row>
    <row r="7" spans="1:2" x14ac:dyDescent="0.35">
      <c r="A7" s="1" t="s">
        <v>27</v>
      </c>
      <c r="B7" s="1" t="s">
        <v>498</v>
      </c>
    </row>
    <row r="8" spans="1:2" x14ac:dyDescent="0.35">
      <c r="A8" s="1" t="s">
        <v>29</v>
      </c>
      <c r="B8" s="1" t="s">
        <v>499</v>
      </c>
    </row>
    <row r="9" spans="1:2" x14ac:dyDescent="0.35">
      <c r="A9" s="1" t="s">
        <v>31</v>
      </c>
      <c r="B9" s="1" t="s">
        <v>500</v>
      </c>
    </row>
    <row r="10" spans="1:2" x14ac:dyDescent="0.35">
      <c r="A10" s="1" t="s">
        <v>33</v>
      </c>
      <c r="B10" s="1" t="s">
        <v>501</v>
      </c>
    </row>
    <row r="11" spans="1:2" x14ac:dyDescent="0.35">
      <c r="A11" s="1" t="s">
        <v>36</v>
      </c>
      <c r="B11" s="1" t="s">
        <v>498</v>
      </c>
    </row>
    <row r="12" spans="1:2" x14ac:dyDescent="0.35">
      <c r="A12" s="1" t="s">
        <v>38</v>
      </c>
      <c r="B12" s="1" t="s">
        <v>502</v>
      </c>
    </row>
    <row r="13" spans="1:2" x14ac:dyDescent="0.35">
      <c r="A13" s="1" t="s">
        <v>40</v>
      </c>
      <c r="B13" s="1" t="s">
        <v>503</v>
      </c>
    </row>
    <row r="14" spans="1:2" x14ac:dyDescent="0.35">
      <c r="A14" s="1" t="s">
        <v>42</v>
      </c>
      <c r="B14" s="1" t="s">
        <v>502</v>
      </c>
    </row>
    <row r="15" spans="1:2" x14ac:dyDescent="0.35">
      <c r="A15" s="1" t="s">
        <v>43</v>
      </c>
      <c r="B15" s="1" t="s">
        <v>504</v>
      </c>
    </row>
    <row r="16" spans="1:2" x14ac:dyDescent="0.35">
      <c r="A16" s="1" t="s">
        <v>505</v>
      </c>
      <c r="B16" s="1" t="s">
        <v>506</v>
      </c>
    </row>
    <row r="17" spans="1:2" x14ac:dyDescent="0.35">
      <c r="A17" s="1" t="s">
        <v>46</v>
      </c>
      <c r="B17" s="1" t="s">
        <v>507</v>
      </c>
    </row>
    <row r="18" spans="1:2" x14ac:dyDescent="0.35">
      <c r="A18" s="1" t="s">
        <v>49</v>
      </c>
      <c r="B18" s="1" t="s">
        <v>504</v>
      </c>
    </row>
    <row r="19" spans="1:2" x14ac:dyDescent="0.35">
      <c r="A19" s="1" t="s">
        <v>52</v>
      </c>
      <c r="B19" s="1" t="s">
        <v>501</v>
      </c>
    </row>
    <row r="20" spans="1:2" x14ac:dyDescent="0.35">
      <c r="A20" s="1" t="s">
        <v>53</v>
      </c>
      <c r="B20" s="1" t="s">
        <v>508</v>
      </c>
    </row>
    <row r="21" spans="1:2" x14ac:dyDescent="0.35">
      <c r="A21" s="1" t="s">
        <v>55</v>
      </c>
      <c r="B21" s="1" t="s">
        <v>509</v>
      </c>
    </row>
    <row r="22" spans="1:2" x14ac:dyDescent="0.35">
      <c r="A22" s="1" t="s">
        <v>627</v>
      </c>
      <c r="B22" s="1" t="s">
        <v>510</v>
      </c>
    </row>
    <row r="23" spans="1:2" x14ac:dyDescent="0.35">
      <c r="A23" s="1" t="s">
        <v>58</v>
      </c>
      <c r="B23" s="1" t="s">
        <v>497</v>
      </c>
    </row>
    <row r="24" spans="1:2" x14ac:dyDescent="0.35">
      <c r="A24" s="1" t="s">
        <v>511</v>
      </c>
      <c r="B24" s="1" t="s">
        <v>501</v>
      </c>
    </row>
    <row r="25" spans="1:2" x14ac:dyDescent="0.35">
      <c r="A25" s="1" t="s">
        <v>59</v>
      </c>
      <c r="B25" s="1" t="s">
        <v>512</v>
      </c>
    </row>
    <row r="26" spans="1:2" x14ac:dyDescent="0.35">
      <c r="A26" s="1" t="s">
        <v>61</v>
      </c>
      <c r="B26" s="1" t="s">
        <v>510</v>
      </c>
    </row>
    <row r="27" spans="1:2" x14ac:dyDescent="0.35">
      <c r="A27" s="1" t="s">
        <v>513</v>
      </c>
      <c r="B27" s="1" t="s">
        <v>500</v>
      </c>
    </row>
    <row r="28" spans="1:2" x14ac:dyDescent="0.35">
      <c r="A28" s="1" t="s">
        <v>62</v>
      </c>
      <c r="B28" s="1" t="s">
        <v>514</v>
      </c>
    </row>
    <row r="29" spans="1:2" x14ac:dyDescent="0.35">
      <c r="A29" s="1" t="s">
        <v>64</v>
      </c>
      <c r="B29" s="1" t="s">
        <v>514</v>
      </c>
    </row>
    <row r="30" spans="1:2" x14ac:dyDescent="0.35">
      <c r="A30" s="1" t="s">
        <v>66</v>
      </c>
      <c r="B30" s="1" t="s">
        <v>509</v>
      </c>
    </row>
    <row r="31" spans="1:2" x14ac:dyDescent="0.35">
      <c r="A31" s="1" t="s">
        <v>67</v>
      </c>
      <c r="B31" s="1" t="s">
        <v>508</v>
      </c>
    </row>
    <row r="32" spans="1:2" x14ac:dyDescent="0.35">
      <c r="A32" s="1" t="s">
        <v>68</v>
      </c>
      <c r="B32" s="1" t="s">
        <v>510</v>
      </c>
    </row>
    <row r="33" spans="1:2" x14ac:dyDescent="0.35">
      <c r="A33" s="1" t="s">
        <v>70</v>
      </c>
      <c r="B33" s="1" t="s">
        <v>493</v>
      </c>
    </row>
    <row r="34" spans="1:2" x14ac:dyDescent="0.35">
      <c r="A34" s="1" t="s">
        <v>71</v>
      </c>
      <c r="B34" s="1" t="s">
        <v>515</v>
      </c>
    </row>
    <row r="35" spans="1:2" x14ac:dyDescent="0.35">
      <c r="A35" s="1" t="s">
        <v>73</v>
      </c>
      <c r="B35" s="1" t="s">
        <v>516</v>
      </c>
    </row>
    <row r="36" spans="1:2" x14ac:dyDescent="0.35">
      <c r="A36" s="1" t="s">
        <v>74</v>
      </c>
      <c r="B36" s="1" t="s">
        <v>495</v>
      </c>
    </row>
    <row r="37" spans="1:2" x14ac:dyDescent="0.35">
      <c r="A37" s="1" t="s">
        <v>76</v>
      </c>
      <c r="B37" s="1" t="s">
        <v>517</v>
      </c>
    </row>
    <row r="38" spans="1:2" x14ac:dyDescent="0.35">
      <c r="A38" s="1" t="s">
        <v>519</v>
      </c>
      <c r="B38" s="1" t="s">
        <v>515</v>
      </c>
    </row>
    <row r="39" spans="1:2" x14ac:dyDescent="0.35">
      <c r="A39" s="1" t="s">
        <v>79</v>
      </c>
      <c r="B39" s="1" t="s">
        <v>520</v>
      </c>
    </row>
    <row r="40" spans="1:2" x14ac:dyDescent="0.35">
      <c r="A40" s="1" t="s">
        <v>81</v>
      </c>
      <c r="B40" s="1" t="s">
        <v>501</v>
      </c>
    </row>
    <row r="41" spans="1:2" x14ac:dyDescent="0.35">
      <c r="A41" s="1" t="s">
        <v>82</v>
      </c>
      <c r="B41" s="1" t="s">
        <v>521</v>
      </c>
    </row>
    <row r="42" spans="1:2" x14ac:dyDescent="0.35">
      <c r="A42" s="1" t="s">
        <v>84</v>
      </c>
      <c r="B42" s="1" t="s">
        <v>509</v>
      </c>
    </row>
    <row r="43" spans="1:2" x14ac:dyDescent="0.35">
      <c r="A43" s="1" t="s">
        <v>85</v>
      </c>
      <c r="B43" s="1" t="s">
        <v>510</v>
      </c>
    </row>
    <row r="44" spans="1:2" x14ac:dyDescent="0.35">
      <c r="A44" s="1" t="s">
        <v>86</v>
      </c>
      <c r="B44" s="1" t="s">
        <v>502</v>
      </c>
    </row>
    <row r="45" spans="1:2" x14ac:dyDescent="0.35">
      <c r="A45" s="1" t="s">
        <v>522</v>
      </c>
      <c r="B45" s="1" t="s">
        <v>510</v>
      </c>
    </row>
    <row r="46" spans="1:2" x14ac:dyDescent="0.35">
      <c r="A46" s="1" t="s">
        <v>523</v>
      </c>
      <c r="B46" s="1" t="s">
        <v>524</v>
      </c>
    </row>
    <row r="47" spans="1:2" x14ac:dyDescent="0.35">
      <c r="A47" s="1" t="s">
        <v>525</v>
      </c>
      <c r="B47" s="1" t="s">
        <v>514</v>
      </c>
    </row>
    <row r="48" spans="1:2" x14ac:dyDescent="0.35">
      <c r="A48" s="1" t="s">
        <v>89</v>
      </c>
      <c r="B48" s="1" t="s">
        <v>526</v>
      </c>
    </row>
    <row r="49" spans="1:2" x14ac:dyDescent="0.35">
      <c r="A49" s="1" t="s">
        <v>91</v>
      </c>
      <c r="B49" s="1" t="s">
        <v>515</v>
      </c>
    </row>
    <row r="50" spans="1:2" x14ac:dyDescent="0.35">
      <c r="A50" s="1" t="s">
        <v>92</v>
      </c>
      <c r="B50" s="1" t="s">
        <v>508</v>
      </c>
    </row>
    <row r="51" spans="1:2" x14ac:dyDescent="0.35">
      <c r="A51" s="1" t="s">
        <v>93</v>
      </c>
      <c r="B51" s="1" t="s">
        <v>506</v>
      </c>
    </row>
    <row r="52" spans="1:2" x14ac:dyDescent="0.35">
      <c r="A52" s="1" t="s">
        <v>628</v>
      </c>
      <c r="B52" s="1" t="s">
        <v>521</v>
      </c>
    </row>
    <row r="53" spans="1:2" x14ac:dyDescent="0.35">
      <c r="A53" s="1" t="s">
        <v>95</v>
      </c>
      <c r="B53" s="1" t="s">
        <v>518</v>
      </c>
    </row>
    <row r="54" spans="1:2" x14ac:dyDescent="0.35">
      <c r="A54" s="1" t="s">
        <v>97</v>
      </c>
      <c r="B54" s="1" t="s">
        <v>503</v>
      </c>
    </row>
    <row r="55" spans="1:2" x14ac:dyDescent="0.35">
      <c r="A55" s="1" t="s">
        <v>98</v>
      </c>
      <c r="B55" s="1" t="s">
        <v>524</v>
      </c>
    </row>
    <row r="56" spans="1:2" x14ac:dyDescent="0.35">
      <c r="A56" s="1" t="s">
        <v>99</v>
      </c>
      <c r="B56" s="1" t="s">
        <v>524</v>
      </c>
    </row>
    <row r="57" spans="1:2" x14ac:dyDescent="0.35">
      <c r="A57" s="1" t="s">
        <v>100</v>
      </c>
      <c r="B57" s="1" t="s">
        <v>500</v>
      </c>
    </row>
    <row r="58" spans="1:2" x14ac:dyDescent="0.35">
      <c r="A58" s="1" t="s">
        <v>101</v>
      </c>
      <c r="B58" s="1" t="s">
        <v>508</v>
      </c>
    </row>
    <row r="59" spans="1:2" x14ac:dyDescent="0.35">
      <c r="A59" s="1" t="s">
        <v>102</v>
      </c>
      <c r="B59" s="1" t="s">
        <v>509</v>
      </c>
    </row>
    <row r="60" spans="1:2" x14ac:dyDescent="0.35">
      <c r="A60" s="1" t="s">
        <v>527</v>
      </c>
      <c r="B60" s="1" t="s">
        <v>506</v>
      </c>
    </row>
    <row r="61" spans="1:2" x14ac:dyDescent="0.35">
      <c r="A61" s="1" t="s">
        <v>104</v>
      </c>
      <c r="B61" s="1" t="s">
        <v>521</v>
      </c>
    </row>
    <row r="62" spans="1:2" x14ac:dyDescent="0.35">
      <c r="A62" s="1" t="s">
        <v>105</v>
      </c>
      <c r="B62" s="1" t="s">
        <v>498</v>
      </c>
    </row>
    <row r="63" spans="1:2" x14ac:dyDescent="0.35">
      <c r="A63" s="1" t="s">
        <v>107</v>
      </c>
      <c r="B63" s="1" t="s">
        <v>517</v>
      </c>
    </row>
    <row r="64" spans="1:2" x14ac:dyDescent="0.35">
      <c r="A64" s="1" t="s">
        <v>108</v>
      </c>
      <c r="B64" s="1" t="s">
        <v>528</v>
      </c>
    </row>
    <row r="65" spans="1:2" x14ac:dyDescent="0.35">
      <c r="A65" s="1" t="s">
        <v>629</v>
      </c>
      <c r="B65" s="1" t="s">
        <v>526</v>
      </c>
    </row>
    <row r="66" spans="1:2" x14ac:dyDescent="0.35">
      <c r="A66" s="1" t="s">
        <v>630</v>
      </c>
      <c r="B66" s="1" t="s">
        <v>515</v>
      </c>
    </row>
    <row r="67" spans="1:2" x14ac:dyDescent="0.35">
      <c r="A67" s="1" t="s">
        <v>110</v>
      </c>
      <c r="B67" s="1" t="s">
        <v>504</v>
      </c>
    </row>
    <row r="68" spans="1:2" x14ac:dyDescent="0.35">
      <c r="A68" s="1" t="s">
        <v>111</v>
      </c>
      <c r="B68" s="1" t="s">
        <v>502</v>
      </c>
    </row>
    <row r="69" spans="1:2" x14ac:dyDescent="0.35">
      <c r="A69" s="1" t="s">
        <v>113</v>
      </c>
      <c r="B69" s="1" t="s">
        <v>512</v>
      </c>
    </row>
    <row r="70" spans="1:2" x14ac:dyDescent="0.35">
      <c r="A70" s="1" t="s">
        <v>114</v>
      </c>
      <c r="B70" s="1" t="s">
        <v>515</v>
      </c>
    </row>
    <row r="71" spans="1:2" x14ac:dyDescent="0.35">
      <c r="A71" s="1" t="s">
        <v>115</v>
      </c>
      <c r="B71" s="1" t="s">
        <v>500</v>
      </c>
    </row>
    <row r="72" spans="1:2" x14ac:dyDescent="0.35">
      <c r="A72" s="1" t="s">
        <v>116</v>
      </c>
      <c r="B72" s="1" t="s">
        <v>529</v>
      </c>
    </row>
    <row r="73" spans="1:2" x14ac:dyDescent="0.35">
      <c r="A73" s="1" t="s">
        <v>117</v>
      </c>
      <c r="B73" s="1" t="s">
        <v>493</v>
      </c>
    </row>
    <row r="74" spans="1:2" x14ac:dyDescent="0.35">
      <c r="A74" s="1" t="s">
        <v>118</v>
      </c>
      <c r="B74" s="1" t="s">
        <v>494</v>
      </c>
    </row>
    <row r="75" spans="1:2" x14ac:dyDescent="0.35">
      <c r="A75" s="1" t="s">
        <v>119</v>
      </c>
      <c r="B75" s="1" t="s">
        <v>530</v>
      </c>
    </row>
    <row r="76" spans="1:2" x14ac:dyDescent="0.35">
      <c r="A76" s="1" t="s">
        <v>531</v>
      </c>
      <c r="B76" s="1" t="s">
        <v>503</v>
      </c>
    </row>
    <row r="77" spans="1:2" x14ac:dyDescent="0.35">
      <c r="A77" s="1" t="s">
        <v>120</v>
      </c>
      <c r="B77" s="1" t="s">
        <v>503</v>
      </c>
    </row>
    <row r="78" spans="1:2" x14ac:dyDescent="0.35">
      <c r="A78" s="1" t="s">
        <v>532</v>
      </c>
      <c r="B78" s="1" t="s">
        <v>514</v>
      </c>
    </row>
    <row r="79" spans="1:2" x14ac:dyDescent="0.35">
      <c r="A79" s="1" t="s">
        <v>121</v>
      </c>
      <c r="B79" s="1" t="s">
        <v>517</v>
      </c>
    </row>
    <row r="80" spans="1:2" x14ac:dyDescent="0.35">
      <c r="A80" s="1" t="s">
        <v>122</v>
      </c>
      <c r="B80" s="1" t="s">
        <v>530</v>
      </c>
    </row>
    <row r="81" spans="1:2" x14ac:dyDescent="0.35">
      <c r="A81" s="1" t="s">
        <v>123</v>
      </c>
      <c r="B81" s="1" t="s">
        <v>508</v>
      </c>
    </row>
    <row r="82" spans="1:2" x14ac:dyDescent="0.35">
      <c r="A82" s="1" t="s">
        <v>631</v>
      </c>
      <c r="B82" s="1" t="s">
        <v>507</v>
      </c>
    </row>
    <row r="83" spans="1:2" x14ac:dyDescent="0.35">
      <c r="A83" s="1" t="s">
        <v>124</v>
      </c>
      <c r="B83" s="1" t="s">
        <v>517</v>
      </c>
    </row>
    <row r="84" spans="1:2" x14ac:dyDescent="0.35">
      <c r="A84" s="1" t="s">
        <v>126</v>
      </c>
      <c r="B84" s="1" t="s">
        <v>501</v>
      </c>
    </row>
    <row r="85" spans="1:2" x14ac:dyDescent="0.35">
      <c r="A85" s="1" t="s">
        <v>127</v>
      </c>
      <c r="B85" s="1" t="s">
        <v>503</v>
      </c>
    </row>
    <row r="86" spans="1:2" x14ac:dyDescent="0.35">
      <c r="A86" s="1" t="s">
        <v>128</v>
      </c>
      <c r="B86" s="1" t="s">
        <v>512</v>
      </c>
    </row>
    <row r="87" spans="1:2" x14ac:dyDescent="0.35">
      <c r="A87" s="1" t="s">
        <v>129</v>
      </c>
      <c r="B87" s="1" t="s">
        <v>530</v>
      </c>
    </row>
    <row r="88" spans="1:2" x14ac:dyDescent="0.35">
      <c r="A88" s="1" t="s">
        <v>130</v>
      </c>
      <c r="B88" s="1" t="s">
        <v>499</v>
      </c>
    </row>
    <row r="89" spans="1:2" x14ac:dyDescent="0.35">
      <c r="A89" s="1" t="s">
        <v>131</v>
      </c>
      <c r="B89" s="1" t="s">
        <v>497</v>
      </c>
    </row>
    <row r="90" spans="1:2" x14ac:dyDescent="0.35">
      <c r="A90" s="1" t="s">
        <v>132</v>
      </c>
      <c r="B90" s="1" t="s">
        <v>499</v>
      </c>
    </row>
    <row r="91" spans="1:2" x14ac:dyDescent="0.35">
      <c r="A91" s="1" t="s">
        <v>133</v>
      </c>
      <c r="B91" s="1" t="s">
        <v>518</v>
      </c>
    </row>
    <row r="92" spans="1:2" x14ac:dyDescent="0.35">
      <c r="A92" s="1" t="s">
        <v>134</v>
      </c>
      <c r="B92" s="1" t="s">
        <v>501</v>
      </c>
    </row>
    <row r="93" spans="1:2" x14ac:dyDescent="0.35">
      <c r="A93" s="1" t="s">
        <v>135</v>
      </c>
      <c r="B93" s="1" t="s">
        <v>498</v>
      </c>
    </row>
    <row r="94" spans="1:2" x14ac:dyDescent="0.35">
      <c r="A94" s="1" t="s">
        <v>136</v>
      </c>
      <c r="B94" s="1" t="s">
        <v>524</v>
      </c>
    </row>
    <row r="95" spans="1:2" x14ac:dyDescent="0.35">
      <c r="A95" s="1" t="s">
        <v>138</v>
      </c>
      <c r="B95" s="1" t="s">
        <v>499</v>
      </c>
    </row>
    <row r="96" spans="1:2" x14ac:dyDescent="0.35">
      <c r="A96" s="1" t="s">
        <v>139</v>
      </c>
      <c r="B96" s="1" t="s">
        <v>530</v>
      </c>
    </row>
    <row r="97" spans="1:2" x14ac:dyDescent="0.35">
      <c r="A97" s="1" t="s">
        <v>140</v>
      </c>
      <c r="B97" s="1" t="s">
        <v>512</v>
      </c>
    </row>
    <row r="98" spans="1:2" x14ac:dyDescent="0.35">
      <c r="A98" s="1" t="s">
        <v>141</v>
      </c>
      <c r="B98" s="1" t="s">
        <v>520</v>
      </c>
    </row>
    <row r="99" spans="1:2" x14ac:dyDescent="0.35">
      <c r="A99" s="1" t="s">
        <v>142</v>
      </c>
      <c r="B99" s="1" t="s">
        <v>517</v>
      </c>
    </row>
    <row r="100" spans="1:2" x14ac:dyDescent="0.35">
      <c r="A100" s="1" t="s">
        <v>143</v>
      </c>
      <c r="B100" s="1" t="s">
        <v>504</v>
      </c>
    </row>
    <row r="101" spans="1:2" x14ac:dyDescent="0.35">
      <c r="A101" s="1" t="s">
        <v>144</v>
      </c>
      <c r="B101" s="1" t="s">
        <v>524</v>
      </c>
    </row>
    <row r="102" spans="1:2" x14ac:dyDescent="0.35">
      <c r="A102" s="1" t="s">
        <v>145</v>
      </c>
      <c r="B102" s="1" t="s">
        <v>502</v>
      </c>
    </row>
    <row r="103" spans="1:2" x14ac:dyDescent="0.35">
      <c r="A103" s="1" t="s">
        <v>146</v>
      </c>
      <c r="B103" s="1" t="s">
        <v>503</v>
      </c>
    </row>
    <row r="104" spans="1:2" x14ac:dyDescent="0.35">
      <c r="A104" s="1" t="s">
        <v>147</v>
      </c>
      <c r="B104" s="1" t="s">
        <v>530</v>
      </c>
    </row>
    <row r="105" spans="1:2" x14ac:dyDescent="0.35">
      <c r="A105" s="1" t="s">
        <v>148</v>
      </c>
      <c r="B105" s="1" t="s">
        <v>514</v>
      </c>
    </row>
    <row r="106" spans="1:2" x14ac:dyDescent="0.35">
      <c r="A106" s="1" t="s">
        <v>149</v>
      </c>
      <c r="B106" s="1" t="s">
        <v>494</v>
      </c>
    </row>
    <row r="107" spans="1:2" x14ac:dyDescent="0.35">
      <c r="A107" s="1" t="s">
        <v>150</v>
      </c>
      <c r="B107" s="1" t="s">
        <v>516</v>
      </c>
    </row>
    <row r="108" spans="1:2" x14ac:dyDescent="0.35">
      <c r="A108" s="1" t="s">
        <v>151</v>
      </c>
      <c r="B108" s="1" t="s">
        <v>512</v>
      </c>
    </row>
    <row r="109" spans="1:2" x14ac:dyDescent="0.35">
      <c r="A109" s="1" t="s">
        <v>152</v>
      </c>
      <c r="B109" s="1" t="s">
        <v>518</v>
      </c>
    </row>
    <row r="110" spans="1:2" x14ac:dyDescent="0.35">
      <c r="A110" s="1" t="s">
        <v>591</v>
      </c>
      <c r="B110" s="1" t="s">
        <v>514</v>
      </c>
    </row>
    <row r="111" spans="1:2" x14ac:dyDescent="0.35">
      <c r="A111" s="1" t="s">
        <v>153</v>
      </c>
      <c r="B111" s="1" t="s">
        <v>503</v>
      </c>
    </row>
    <row r="112" spans="1:2" x14ac:dyDescent="0.35">
      <c r="A112" s="1" t="s">
        <v>154</v>
      </c>
      <c r="B112" s="1" t="s">
        <v>524</v>
      </c>
    </row>
    <row r="113" spans="1:2" x14ac:dyDescent="0.35">
      <c r="A113" s="1" t="s">
        <v>155</v>
      </c>
      <c r="B113" s="1" t="s">
        <v>506</v>
      </c>
    </row>
    <row r="114" spans="1:2" x14ac:dyDescent="0.35">
      <c r="A114" s="1" t="s">
        <v>157</v>
      </c>
      <c r="B114" s="1" t="s">
        <v>495</v>
      </c>
    </row>
    <row r="115" spans="1:2" x14ac:dyDescent="0.35">
      <c r="A115" s="1" t="s">
        <v>156</v>
      </c>
      <c r="B115" s="1" t="s">
        <v>517</v>
      </c>
    </row>
    <row r="116" spans="1:2" x14ac:dyDescent="0.35">
      <c r="A116" s="1" t="s">
        <v>632</v>
      </c>
      <c r="B116" s="1" t="s">
        <v>533</v>
      </c>
    </row>
    <row r="117" spans="1:2" x14ac:dyDescent="0.35">
      <c r="A117" s="1" t="s">
        <v>162</v>
      </c>
      <c r="B117" s="1" t="s">
        <v>502</v>
      </c>
    </row>
    <row r="118" spans="1:2" x14ac:dyDescent="0.35">
      <c r="A118" s="1" t="s">
        <v>158</v>
      </c>
      <c r="B118" s="1" t="s">
        <v>508</v>
      </c>
    </row>
    <row r="119" spans="1:2" x14ac:dyDescent="0.35">
      <c r="A119" s="1" t="s">
        <v>159</v>
      </c>
      <c r="B119" s="1" t="s">
        <v>493</v>
      </c>
    </row>
    <row r="120" spans="1:2" x14ac:dyDescent="0.35">
      <c r="A120" s="1" t="s">
        <v>160</v>
      </c>
      <c r="B120" s="1" t="s">
        <v>498</v>
      </c>
    </row>
    <row r="121" spans="1:2" x14ac:dyDescent="0.35">
      <c r="A121" s="1" t="s">
        <v>161</v>
      </c>
      <c r="B121" s="1" t="s">
        <v>499</v>
      </c>
    </row>
    <row r="122" spans="1:2" x14ac:dyDescent="0.35">
      <c r="A122" s="1" t="s">
        <v>534</v>
      </c>
      <c r="B122" s="1" t="s">
        <v>512</v>
      </c>
    </row>
    <row r="123" spans="1:2" x14ac:dyDescent="0.35">
      <c r="A123" s="1" t="s">
        <v>163</v>
      </c>
      <c r="B123" s="1" t="s">
        <v>493</v>
      </c>
    </row>
    <row r="124" spans="1:2" x14ac:dyDescent="0.35">
      <c r="A124" s="1" t="s">
        <v>164</v>
      </c>
      <c r="B124" s="1" t="s">
        <v>500</v>
      </c>
    </row>
    <row r="125" spans="1:2" x14ac:dyDescent="0.35">
      <c r="A125" s="1" t="s">
        <v>165</v>
      </c>
      <c r="B125" s="1" t="s">
        <v>526</v>
      </c>
    </row>
    <row r="126" spans="1:2" x14ac:dyDescent="0.35">
      <c r="A126" s="1" t="s">
        <v>535</v>
      </c>
      <c r="B126" s="1" t="s">
        <v>514</v>
      </c>
    </row>
    <row r="127" spans="1:2" x14ac:dyDescent="0.35">
      <c r="A127" s="1" t="s">
        <v>536</v>
      </c>
      <c r="B127" s="1" t="s">
        <v>494</v>
      </c>
    </row>
    <row r="128" spans="1:2" x14ac:dyDescent="0.35">
      <c r="A128" s="1" t="s">
        <v>166</v>
      </c>
      <c r="B128" s="1" t="s">
        <v>533</v>
      </c>
    </row>
    <row r="129" spans="1:2" x14ac:dyDescent="0.35">
      <c r="A129" s="1" t="s">
        <v>167</v>
      </c>
      <c r="B129" s="1" t="s">
        <v>503</v>
      </c>
    </row>
    <row r="130" spans="1:2" x14ac:dyDescent="0.35">
      <c r="A130" s="1" t="s">
        <v>168</v>
      </c>
      <c r="B130" s="1" t="s">
        <v>507</v>
      </c>
    </row>
    <row r="131" spans="1:2" x14ac:dyDescent="0.35">
      <c r="A131" s="1" t="s">
        <v>537</v>
      </c>
      <c r="B131" s="1" t="s">
        <v>499</v>
      </c>
    </row>
    <row r="132" spans="1:2" x14ac:dyDescent="0.35">
      <c r="A132" s="1" t="s">
        <v>169</v>
      </c>
      <c r="B132" s="1" t="s">
        <v>528</v>
      </c>
    </row>
    <row r="133" spans="1:2" x14ac:dyDescent="0.35">
      <c r="A133" s="1" t="s">
        <v>170</v>
      </c>
      <c r="B133" s="1" t="s">
        <v>500</v>
      </c>
    </row>
    <row r="134" spans="1:2" x14ac:dyDescent="0.35">
      <c r="A134" s="1" t="s">
        <v>171</v>
      </c>
      <c r="B134" s="1" t="s">
        <v>529</v>
      </c>
    </row>
    <row r="135" spans="1:2" x14ac:dyDescent="0.35">
      <c r="A135" s="1" t="s">
        <v>172</v>
      </c>
      <c r="B135" s="1" t="s">
        <v>501</v>
      </c>
    </row>
    <row r="136" spans="1:2" x14ac:dyDescent="0.35">
      <c r="A136" s="1" t="s">
        <v>173</v>
      </c>
      <c r="B136" s="1" t="s">
        <v>495</v>
      </c>
    </row>
    <row r="137" spans="1:2" x14ac:dyDescent="0.35">
      <c r="A137" s="1" t="s">
        <v>174</v>
      </c>
      <c r="B137" s="1" t="s">
        <v>516</v>
      </c>
    </row>
    <row r="138" spans="1:2" x14ac:dyDescent="0.35">
      <c r="A138" s="1" t="s">
        <v>175</v>
      </c>
      <c r="B138" s="1" t="s">
        <v>533</v>
      </c>
    </row>
    <row r="139" spans="1:2" x14ac:dyDescent="0.35">
      <c r="A139" s="1" t="s">
        <v>176</v>
      </c>
      <c r="B139" s="1" t="s">
        <v>528</v>
      </c>
    </row>
    <row r="140" spans="1:2" x14ac:dyDescent="0.35">
      <c r="A140" s="1" t="s">
        <v>177</v>
      </c>
      <c r="B140" s="1" t="s">
        <v>497</v>
      </c>
    </row>
    <row r="141" spans="1:2" x14ac:dyDescent="0.35">
      <c r="A141" s="1" t="s">
        <v>538</v>
      </c>
      <c r="B141" s="1" t="s">
        <v>507</v>
      </c>
    </row>
    <row r="142" spans="1:2" x14ac:dyDescent="0.35">
      <c r="A142" s="1" t="s">
        <v>178</v>
      </c>
      <c r="B142" s="1" t="s">
        <v>493</v>
      </c>
    </row>
    <row r="143" spans="1:2" x14ac:dyDescent="0.35">
      <c r="A143" s="1" t="s">
        <v>179</v>
      </c>
      <c r="B143" s="1" t="s">
        <v>517</v>
      </c>
    </row>
    <row r="144" spans="1:2" x14ac:dyDescent="0.35">
      <c r="A144" s="1" t="s">
        <v>180</v>
      </c>
      <c r="B144" s="1" t="s">
        <v>510</v>
      </c>
    </row>
    <row r="145" spans="1:2" x14ac:dyDescent="0.35">
      <c r="A145" s="1" t="s">
        <v>181</v>
      </c>
      <c r="B145" s="1" t="s">
        <v>512</v>
      </c>
    </row>
    <row r="146" spans="1:2" x14ac:dyDescent="0.35">
      <c r="A146" s="1" t="s">
        <v>182</v>
      </c>
      <c r="B146" s="1" t="s">
        <v>495</v>
      </c>
    </row>
    <row r="147" spans="1:2" x14ac:dyDescent="0.35">
      <c r="A147" s="1" t="s">
        <v>183</v>
      </c>
      <c r="B147" s="1" t="s">
        <v>501</v>
      </c>
    </row>
    <row r="148" spans="1:2" x14ac:dyDescent="0.35">
      <c r="A148" s="1" t="s">
        <v>184</v>
      </c>
      <c r="B148" s="1" t="s">
        <v>510</v>
      </c>
    </row>
    <row r="149" spans="1:2" x14ac:dyDescent="0.35">
      <c r="A149" s="1" t="s">
        <v>633</v>
      </c>
      <c r="B149" s="1" t="s">
        <v>501</v>
      </c>
    </row>
    <row r="150" spans="1:2" x14ac:dyDescent="0.35">
      <c r="A150" s="1" t="s">
        <v>186</v>
      </c>
      <c r="B150" s="1" t="s">
        <v>530</v>
      </c>
    </row>
    <row r="151" spans="1:2" x14ac:dyDescent="0.35">
      <c r="A151" s="1" t="s">
        <v>187</v>
      </c>
      <c r="B151" s="1" t="s">
        <v>501</v>
      </c>
    </row>
    <row r="152" spans="1:2" x14ac:dyDescent="0.35">
      <c r="A152" s="1" t="s">
        <v>188</v>
      </c>
      <c r="B152" s="1" t="s">
        <v>504</v>
      </c>
    </row>
    <row r="153" spans="1:2" x14ac:dyDescent="0.35">
      <c r="A153" s="1" t="s">
        <v>189</v>
      </c>
      <c r="B153" s="1" t="s">
        <v>507</v>
      </c>
    </row>
    <row r="154" spans="1:2" x14ac:dyDescent="0.35">
      <c r="A154" s="1" t="s">
        <v>190</v>
      </c>
      <c r="B154" s="1" t="s">
        <v>493</v>
      </c>
    </row>
    <row r="155" spans="1:2" x14ac:dyDescent="0.35">
      <c r="A155" s="1" t="s">
        <v>191</v>
      </c>
      <c r="B155" s="1" t="s">
        <v>526</v>
      </c>
    </row>
    <row r="156" spans="1:2" x14ac:dyDescent="0.35">
      <c r="A156" s="1" t="s">
        <v>192</v>
      </c>
      <c r="B156" s="1" t="s">
        <v>533</v>
      </c>
    </row>
    <row r="157" spans="1:2" x14ac:dyDescent="0.35">
      <c r="A157" s="1" t="s">
        <v>193</v>
      </c>
      <c r="B157" s="1" t="s">
        <v>506</v>
      </c>
    </row>
    <row r="158" spans="1:2" x14ac:dyDescent="0.35">
      <c r="A158" s="1" t="s">
        <v>194</v>
      </c>
      <c r="B158" s="1" t="s">
        <v>495</v>
      </c>
    </row>
    <row r="159" spans="1:2" x14ac:dyDescent="0.35">
      <c r="A159" s="1" t="s">
        <v>195</v>
      </c>
      <c r="B159" s="1" t="s">
        <v>520</v>
      </c>
    </row>
    <row r="160" spans="1:2" x14ac:dyDescent="0.35">
      <c r="A160" s="1" t="s">
        <v>196</v>
      </c>
      <c r="B160" s="1" t="s">
        <v>500</v>
      </c>
    </row>
    <row r="161" spans="1:2" x14ac:dyDescent="0.35">
      <c r="A161" s="1" t="s">
        <v>197</v>
      </c>
      <c r="B161" s="1" t="s">
        <v>510</v>
      </c>
    </row>
    <row r="162" spans="1:2" x14ac:dyDescent="0.35">
      <c r="A162" s="1" t="s">
        <v>198</v>
      </c>
      <c r="B162" s="1" t="s">
        <v>493</v>
      </c>
    </row>
    <row r="163" spans="1:2" x14ac:dyDescent="0.35">
      <c r="A163" s="1" t="s">
        <v>199</v>
      </c>
      <c r="B163" s="1" t="s">
        <v>524</v>
      </c>
    </row>
    <row r="164" spans="1:2" x14ac:dyDescent="0.35">
      <c r="A164" s="1" t="s">
        <v>200</v>
      </c>
      <c r="B164" s="1" t="s">
        <v>517</v>
      </c>
    </row>
    <row r="165" spans="1:2" x14ac:dyDescent="0.35">
      <c r="A165" s="1" t="s">
        <v>201</v>
      </c>
      <c r="B165" s="1" t="s">
        <v>501</v>
      </c>
    </row>
    <row r="166" spans="1:2" x14ac:dyDescent="0.35">
      <c r="A166" s="1" t="s">
        <v>202</v>
      </c>
      <c r="B166" s="1" t="s">
        <v>530</v>
      </c>
    </row>
    <row r="167" spans="1:2" x14ac:dyDescent="0.35">
      <c r="A167" s="1" t="s">
        <v>203</v>
      </c>
      <c r="B167" s="1" t="s">
        <v>509</v>
      </c>
    </row>
    <row r="168" spans="1:2" x14ac:dyDescent="0.35">
      <c r="A168" s="1" t="s">
        <v>204</v>
      </c>
      <c r="B168" s="1" t="s">
        <v>517</v>
      </c>
    </row>
    <row r="169" spans="1:2" x14ac:dyDescent="0.35">
      <c r="A169" s="1" t="s">
        <v>205</v>
      </c>
      <c r="B169" s="1" t="s">
        <v>514</v>
      </c>
    </row>
    <row r="170" spans="1:2" x14ac:dyDescent="0.35">
      <c r="A170" s="1" t="s">
        <v>539</v>
      </c>
      <c r="B170" s="1" t="s">
        <v>497</v>
      </c>
    </row>
    <row r="171" spans="1:2" x14ac:dyDescent="0.35">
      <c r="A171" s="1" t="s">
        <v>206</v>
      </c>
      <c r="B171" s="1" t="s">
        <v>503</v>
      </c>
    </row>
    <row r="172" spans="1:2" x14ac:dyDescent="0.35">
      <c r="A172" s="1" t="s">
        <v>207</v>
      </c>
      <c r="B172" s="1" t="s">
        <v>518</v>
      </c>
    </row>
    <row r="173" spans="1:2" x14ac:dyDescent="0.35">
      <c r="A173" s="1" t="s">
        <v>208</v>
      </c>
      <c r="B173" s="1" t="s">
        <v>520</v>
      </c>
    </row>
    <row r="174" spans="1:2" x14ac:dyDescent="0.35">
      <c r="A174" s="1" t="s">
        <v>209</v>
      </c>
      <c r="B174" s="1" t="s">
        <v>528</v>
      </c>
    </row>
    <row r="175" spans="1:2" x14ac:dyDescent="0.35">
      <c r="A175" s="1" t="s">
        <v>210</v>
      </c>
      <c r="B175" s="1" t="s">
        <v>530</v>
      </c>
    </row>
    <row r="176" spans="1:2" x14ac:dyDescent="0.35">
      <c r="A176" s="1" t="s">
        <v>211</v>
      </c>
      <c r="B176" s="1" t="s">
        <v>526</v>
      </c>
    </row>
    <row r="177" spans="1:2" x14ac:dyDescent="0.35">
      <c r="A177" s="1" t="s">
        <v>212</v>
      </c>
      <c r="B177" s="1" t="s">
        <v>498</v>
      </c>
    </row>
    <row r="178" spans="1:2" x14ac:dyDescent="0.35">
      <c r="A178" s="1" t="s">
        <v>213</v>
      </c>
      <c r="B178" s="1" t="s">
        <v>510</v>
      </c>
    </row>
    <row r="179" spans="1:2" x14ac:dyDescent="0.35">
      <c r="A179" s="1" t="s">
        <v>214</v>
      </c>
      <c r="B179" s="1" t="s">
        <v>515</v>
      </c>
    </row>
    <row r="180" spans="1:2" x14ac:dyDescent="0.35">
      <c r="A180" s="1" t="s">
        <v>634</v>
      </c>
      <c r="B180" s="1" t="s">
        <v>512</v>
      </c>
    </row>
    <row r="181" spans="1:2" x14ac:dyDescent="0.35">
      <c r="A181" s="1" t="s">
        <v>216</v>
      </c>
      <c r="B181" s="1" t="s">
        <v>530</v>
      </c>
    </row>
    <row r="182" spans="1:2" x14ac:dyDescent="0.35">
      <c r="A182" s="1" t="s">
        <v>217</v>
      </c>
      <c r="B182" s="1" t="s">
        <v>500</v>
      </c>
    </row>
    <row r="183" spans="1:2" x14ac:dyDescent="0.35">
      <c r="A183" s="1" t="s">
        <v>218</v>
      </c>
      <c r="B183" s="1" t="s">
        <v>508</v>
      </c>
    </row>
    <row r="184" spans="1:2" x14ac:dyDescent="0.35">
      <c r="A184" s="1" t="s">
        <v>219</v>
      </c>
      <c r="B184" s="1" t="s">
        <v>520</v>
      </c>
    </row>
    <row r="185" spans="1:2" x14ac:dyDescent="0.35">
      <c r="A185" s="1" t="s">
        <v>220</v>
      </c>
      <c r="B185" s="1" t="s">
        <v>514</v>
      </c>
    </row>
    <row r="186" spans="1:2" x14ac:dyDescent="0.35">
      <c r="A186" s="1" t="s">
        <v>221</v>
      </c>
      <c r="B186" s="1" t="s">
        <v>499</v>
      </c>
    </row>
    <row r="187" spans="1:2" x14ac:dyDescent="0.35">
      <c r="A187" s="1" t="s">
        <v>222</v>
      </c>
      <c r="B187" s="1" t="s">
        <v>529</v>
      </c>
    </row>
    <row r="188" spans="1:2" x14ac:dyDescent="0.35">
      <c r="A188" s="1" t="s">
        <v>223</v>
      </c>
      <c r="B188" s="1" t="s">
        <v>507</v>
      </c>
    </row>
    <row r="189" spans="1:2" x14ac:dyDescent="0.35">
      <c r="A189" s="1" t="s">
        <v>224</v>
      </c>
      <c r="B189" s="1" t="s">
        <v>497</v>
      </c>
    </row>
    <row r="190" spans="1:2" x14ac:dyDescent="0.35">
      <c r="A190" s="1" t="s">
        <v>225</v>
      </c>
      <c r="B190" s="1" t="s">
        <v>530</v>
      </c>
    </row>
    <row r="191" spans="1:2" x14ac:dyDescent="0.35">
      <c r="A191" s="1" t="s">
        <v>226</v>
      </c>
      <c r="B191" s="1" t="s">
        <v>494</v>
      </c>
    </row>
    <row r="192" spans="1:2" x14ac:dyDescent="0.35">
      <c r="A192" s="1" t="s">
        <v>227</v>
      </c>
      <c r="B192" s="1" t="s">
        <v>497</v>
      </c>
    </row>
    <row r="193" spans="1:2" x14ac:dyDescent="0.35">
      <c r="A193" s="1" t="s">
        <v>228</v>
      </c>
      <c r="B193" s="1" t="s">
        <v>528</v>
      </c>
    </row>
    <row r="194" spans="1:2" x14ac:dyDescent="0.35">
      <c r="A194" s="1" t="s">
        <v>229</v>
      </c>
      <c r="B194" s="1" t="s">
        <v>526</v>
      </c>
    </row>
    <row r="195" spans="1:2" x14ac:dyDescent="0.35">
      <c r="A195" s="1" t="s">
        <v>230</v>
      </c>
      <c r="B195" s="1" t="s">
        <v>506</v>
      </c>
    </row>
    <row r="196" spans="1:2" x14ac:dyDescent="0.35">
      <c r="A196" s="1" t="s">
        <v>540</v>
      </c>
      <c r="B196" s="1" t="s">
        <v>516</v>
      </c>
    </row>
    <row r="197" spans="1:2" x14ac:dyDescent="0.35">
      <c r="A197" s="1" t="s">
        <v>541</v>
      </c>
      <c r="B197" s="1" t="s">
        <v>509</v>
      </c>
    </row>
    <row r="198" spans="1:2" x14ac:dyDescent="0.35">
      <c r="A198" s="1" t="s">
        <v>231</v>
      </c>
      <c r="B198" s="1" t="s">
        <v>494</v>
      </c>
    </row>
    <row r="199" spans="1:2" x14ac:dyDescent="0.35">
      <c r="A199" s="1" t="s">
        <v>232</v>
      </c>
      <c r="B199" s="1" t="s">
        <v>493</v>
      </c>
    </row>
    <row r="200" spans="1:2" x14ac:dyDescent="0.35">
      <c r="A200" s="1" t="s">
        <v>233</v>
      </c>
      <c r="B200" s="1" t="s">
        <v>504</v>
      </c>
    </row>
    <row r="201" spans="1:2" x14ac:dyDescent="0.35">
      <c r="A201" s="1" t="s">
        <v>234</v>
      </c>
      <c r="B201" s="1" t="s">
        <v>510</v>
      </c>
    </row>
    <row r="202" spans="1:2" x14ac:dyDescent="0.35">
      <c r="A202" s="1" t="s">
        <v>235</v>
      </c>
      <c r="B202" s="1" t="s">
        <v>502</v>
      </c>
    </row>
    <row r="203" spans="1:2" x14ac:dyDescent="0.35">
      <c r="A203" s="1" t="s">
        <v>236</v>
      </c>
      <c r="B203" s="1" t="s">
        <v>494</v>
      </c>
    </row>
    <row r="204" spans="1:2" x14ac:dyDescent="0.35">
      <c r="A204" s="1" t="s">
        <v>237</v>
      </c>
      <c r="B204" s="1" t="s">
        <v>504</v>
      </c>
    </row>
    <row r="205" spans="1:2" x14ac:dyDescent="0.35">
      <c r="A205" s="1" t="s">
        <v>238</v>
      </c>
      <c r="B205" s="1" t="s">
        <v>521</v>
      </c>
    </row>
    <row r="206" spans="1:2" x14ac:dyDescent="0.35">
      <c r="A206" s="1" t="s">
        <v>239</v>
      </c>
      <c r="B206" s="1" t="s">
        <v>497</v>
      </c>
    </row>
    <row r="207" spans="1:2" x14ac:dyDescent="0.35">
      <c r="A207" s="1" t="s">
        <v>240</v>
      </c>
      <c r="B207" s="1" t="s">
        <v>521</v>
      </c>
    </row>
    <row r="208" spans="1:2" x14ac:dyDescent="0.35">
      <c r="A208" s="1" t="s">
        <v>241</v>
      </c>
      <c r="B208" s="1" t="s">
        <v>506</v>
      </c>
    </row>
    <row r="209" spans="1:2" x14ac:dyDescent="0.35">
      <c r="A209" s="1" t="s">
        <v>242</v>
      </c>
      <c r="B209" s="1" t="s">
        <v>510</v>
      </c>
    </row>
    <row r="210" spans="1:2" x14ac:dyDescent="0.35">
      <c r="A210" s="1" t="s">
        <v>243</v>
      </c>
      <c r="B210" s="1" t="s">
        <v>504</v>
      </c>
    </row>
    <row r="211" spans="1:2" x14ac:dyDescent="0.35">
      <c r="A211" s="1" t="s">
        <v>244</v>
      </c>
      <c r="B211" s="1" t="s">
        <v>529</v>
      </c>
    </row>
    <row r="212" spans="1:2" x14ac:dyDescent="0.35">
      <c r="A212" s="1" t="s">
        <v>245</v>
      </c>
      <c r="B212" s="1" t="s">
        <v>503</v>
      </c>
    </row>
    <row r="213" spans="1:2" x14ac:dyDescent="0.35">
      <c r="A213" s="1" t="s">
        <v>246</v>
      </c>
      <c r="B213" s="1" t="s">
        <v>530</v>
      </c>
    </row>
    <row r="214" spans="1:2" x14ac:dyDescent="0.35">
      <c r="A214" s="1" t="s">
        <v>247</v>
      </c>
      <c r="B214" s="1" t="s">
        <v>503</v>
      </c>
    </row>
    <row r="215" spans="1:2" x14ac:dyDescent="0.35">
      <c r="A215" s="1" t="s">
        <v>474</v>
      </c>
      <c r="B215" s="1" t="s">
        <v>530</v>
      </c>
    </row>
    <row r="216" spans="1:2" x14ac:dyDescent="0.35">
      <c r="A216" s="1" t="s">
        <v>248</v>
      </c>
      <c r="B216" s="1" t="s">
        <v>517</v>
      </c>
    </row>
    <row r="217" spans="1:2" x14ac:dyDescent="0.35">
      <c r="A217" s="1" t="s">
        <v>249</v>
      </c>
      <c r="B217" s="1" t="s">
        <v>517</v>
      </c>
    </row>
    <row r="218" spans="1:2" x14ac:dyDescent="0.35">
      <c r="A218" s="1" t="s">
        <v>250</v>
      </c>
      <c r="B218" s="1" t="s">
        <v>507</v>
      </c>
    </row>
    <row r="219" spans="1:2" x14ac:dyDescent="0.35">
      <c r="A219" s="1" t="s">
        <v>251</v>
      </c>
      <c r="B219" s="1" t="s">
        <v>506</v>
      </c>
    </row>
    <row r="220" spans="1:2" x14ac:dyDescent="0.35">
      <c r="A220" s="1" t="s">
        <v>475</v>
      </c>
      <c r="B220" s="1" t="s">
        <v>494</v>
      </c>
    </row>
    <row r="221" spans="1:2" x14ac:dyDescent="0.35">
      <c r="A221" s="1" t="s">
        <v>542</v>
      </c>
      <c r="B221" s="1" t="s">
        <v>502</v>
      </c>
    </row>
    <row r="222" spans="1:2" x14ac:dyDescent="0.35">
      <c r="A222" s="1" t="s">
        <v>252</v>
      </c>
      <c r="B222" s="1" t="s">
        <v>524</v>
      </c>
    </row>
    <row r="223" spans="1:2" x14ac:dyDescent="0.35">
      <c r="A223" s="1" t="s">
        <v>253</v>
      </c>
      <c r="B223" s="1" t="s">
        <v>497</v>
      </c>
    </row>
    <row r="224" spans="1:2" x14ac:dyDescent="0.35">
      <c r="A224" s="1" t="s">
        <v>254</v>
      </c>
      <c r="B224" s="1" t="s">
        <v>499</v>
      </c>
    </row>
    <row r="225" spans="1:2" x14ac:dyDescent="0.35">
      <c r="A225" s="1" t="s">
        <v>255</v>
      </c>
      <c r="B225" s="1" t="s">
        <v>501</v>
      </c>
    </row>
    <row r="226" spans="1:2" x14ac:dyDescent="0.35">
      <c r="A226" s="1" t="s">
        <v>256</v>
      </c>
      <c r="B226" s="1" t="s">
        <v>501</v>
      </c>
    </row>
    <row r="227" spans="1:2" x14ac:dyDescent="0.35">
      <c r="A227" s="1" t="s">
        <v>257</v>
      </c>
      <c r="B227" s="1" t="s">
        <v>497</v>
      </c>
    </row>
    <row r="228" spans="1:2" x14ac:dyDescent="0.35">
      <c r="A228" s="1" t="s">
        <v>476</v>
      </c>
      <c r="B228" s="1" t="s">
        <v>498</v>
      </c>
    </row>
    <row r="229" spans="1:2" x14ac:dyDescent="0.35">
      <c r="A229" s="1" t="s">
        <v>635</v>
      </c>
      <c r="B229" s="1" t="s">
        <v>498</v>
      </c>
    </row>
    <row r="230" spans="1:2" x14ac:dyDescent="0.35">
      <c r="A230" s="1" t="s">
        <v>259</v>
      </c>
      <c r="B230" s="1" t="s">
        <v>512</v>
      </c>
    </row>
    <row r="231" spans="1:2" x14ac:dyDescent="0.35">
      <c r="A231" s="1" t="s">
        <v>260</v>
      </c>
      <c r="B231" s="1" t="s">
        <v>520</v>
      </c>
    </row>
    <row r="232" spans="1:2" x14ac:dyDescent="0.35">
      <c r="A232" s="1" t="s">
        <v>261</v>
      </c>
      <c r="B232" s="1" t="s">
        <v>510</v>
      </c>
    </row>
    <row r="233" spans="1:2" x14ac:dyDescent="0.35">
      <c r="A233" s="1" t="s">
        <v>262</v>
      </c>
      <c r="B233" s="1" t="s">
        <v>503</v>
      </c>
    </row>
    <row r="234" spans="1:2" x14ac:dyDescent="0.35">
      <c r="A234" s="1" t="s">
        <v>263</v>
      </c>
      <c r="B234" s="1" t="s">
        <v>510</v>
      </c>
    </row>
    <row r="235" spans="1:2" x14ac:dyDescent="0.35">
      <c r="A235" s="1" t="s">
        <v>264</v>
      </c>
      <c r="B235" s="1" t="s">
        <v>508</v>
      </c>
    </row>
    <row r="236" spans="1:2" x14ac:dyDescent="0.35">
      <c r="A236" s="1" t="s">
        <v>265</v>
      </c>
      <c r="B236" s="1" t="s">
        <v>521</v>
      </c>
    </row>
    <row r="237" spans="1:2" x14ac:dyDescent="0.35">
      <c r="A237" s="1" t="s">
        <v>266</v>
      </c>
      <c r="B237" s="1" t="s">
        <v>501</v>
      </c>
    </row>
    <row r="238" spans="1:2" x14ac:dyDescent="0.35">
      <c r="A238" s="1" t="s">
        <v>267</v>
      </c>
      <c r="B238" s="1" t="s">
        <v>508</v>
      </c>
    </row>
    <row r="239" spans="1:2" x14ac:dyDescent="0.35">
      <c r="A239" s="1" t="s">
        <v>268</v>
      </c>
      <c r="B239" s="1" t="s">
        <v>516</v>
      </c>
    </row>
    <row r="240" spans="1:2" x14ac:dyDescent="0.35">
      <c r="A240" s="1" t="s">
        <v>269</v>
      </c>
      <c r="B240" s="1" t="s">
        <v>495</v>
      </c>
    </row>
    <row r="241" spans="1:2" x14ac:dyDescent="0.35">
      <c r="A241" s="1" t="s">
        <v>270</v>
      </c>
      <c r="B241" s="1" t="s">
        <v>506</v>
      </c>
    </row>
    <row r="242" spans="1:2" x14ac:dyDescent="0.35">
      <c r="A242" s="1" t="s">
        <v>543</v>
      </c>
      <c r="B242" s="1" t="s">
        <v>514</v>
      </c>
    </row>
    <row r="243" spans="1:2" x14ac:dyDescent="0.35">
      <c r="A243" s="1" t="s">
        <v>271</v>
      </c>
      <c r="B243" s="1" t="s">
        <v>517</v>
      </c>
    </row>
    <row r="244" spans="1:2" x14ac:dyDescent="0.35">
      <c r="A244" s="1" t="s">
        <v>272</v>
      </c>
      <c r="B244" s="1" t="s">
        <v>494</v>
      </c>
    </row>
    <row r="245" spans="1:2" x14ac:dyDescent="0.35">
      <c r="A245" s="1" t="s">
        <v>273</v>
      </c>
      <c r="B245" s="1" t="s">
        <v>498</v>
      </c>
    </row>
    <row r="246" spans="1:2" x14ac:dyDescent="0.35">
      <c r="A246" s="1" t="s">
        <v>274</v>
      </c>
      <c r="B246" s="1" t="s">
        <v>499</v>
      </c>
    </row>
    <row r="247" spans="1:2" x14ac:dyDescent="0.35">
      <c r="A247" s="1" t="s">
        <v>275</v>
      </c>
      <c r="B247" s="1" t="s">
        <v>510</v>
      </c>
    </row>
    <row r="248" spans="1:2" x14ac:dyDescent="0.35">
      <c r="A248" s="1" t="s">
        <v>276</v>
      </c>
      <c r="B248" s="1" t="s">
        <v>520</v>
      </c>
    </row>
    <row r="249" spans="1:2" x14ac:dyDescent="0.35">
      <c r="A249" s="1" t="s">
        <v>277</v>
      </c>
      <c r="B249" s="1" t="s">
        <v>508</v>
      </c>
    </row>
    <row r="250" spans="1:2" x14ac:dyDescent="0.35">
      <c r="A250" s="1" t="s">
        <v>278</v>
      </c>
      <c r="B250" s="1" t="s">
        <v>528</v>
      </c>
    </row>
    <row r="251" spans="1:2" x14ac:dyDescent="0.35">
      <c r="A251" s="1" t="s">
        <v>279</v>
      </c>
      <c r="B251" s="1" t="s">
        <v>526</v>
      </c>
    </row>
    <row r="252" spans="1:2" x14ac:dyDescent="0.35">
      <c r="A252" s="1" t="s">
        <v>280</v>
      </c>
      <c r="B252" s="1" t="s">
        <v>512</v>
      </c>
    </row>
    <row r="253" spans="1:2" x14ac:dyDescent="0.35">
      <c r="A253" s="1" t="s">
        <v>281</v>
      </c>
      <c r="B253" s="1" t="s">
        <v>526</v>
      </c>
    </row>
    <row r="254" spans="1:2" x14ac:dyDescent="0.35">
      <c r="A254" s="1" t="s">
        <v>282</v>
      </c>
      <c r="B254" s="1" t="s">
        <v>512</v>
      </c>
    </row>
    <row r="255" spans="1:2" x14ac:dyDescent="0.35">
      <c r="A255" s="1" t="s">
        <v>283</v>
      </c>
      <c r="B255" s="1" t="s">
        <v>526</v>
      </c>
    </row>
    <row r="256" spans="1:2" x14ac:dyDescent="0.35">
      <c r="A256" s="1" t="s">
        <v>284</v>
      </c>
      <c r="B256" s="1" t="s">
        <v>500</v>
      </c>
    </row>
    <row r="257" spans="1:2" x14ac:dyDescent="0.35">
      <c r="A257" s="1" t="s">
        <v>285</v>
      </c>
      <c r="B257" s="1" t="s">
        <v>498</v>
      </c>
    </row>
    <row r="258" spans="1:2" x14ac:dyDescent="0.35">
      <c r="A258" s="1" t="s">
        <v>286</v>
      </c>
      <c r="B258" s="1" t="s">
        <v>529</v>
      </c>
    </row>
    <row r="259" spans="1:2" x14ac:dyDescent="0.35">
      <c r="A259" s="1" t="s">
        <v>287</v>
      </c>
      <c r="B259" s="1" t="s">
        <v>507</v>
      </c>
    </row>
    <row r="260" spans="1:2" x14ac:dyDescent="0.35">
      <c r="A260" s="1" t="s">
        <v>288</v>
      </c>
      <c r="B260" s="1" t="s">
        <v>502</v>
      </c>
    </row>
    <row r="261" spans="1:2" x14ac:dyDescent="0.35">
      <c r="A261" s="1" t="s">
        <v>289</v>
      </c>
      <c r="B261" s="1" t="s">
        <v>499</v>
      </c>
    </row>
    <row r="262" spans="1:2" x14ac:dyDescent="0.35">
      <c r="A262" s="1" t="s">
        <v>290</v>
      </c>
      <c r="B262" s="1" t="s">
        <v>503</v>
      </c>
    </row>
    <row r="263" spans="1:2" x14ac:dyDescent="0.35">
      <c r="A263" s="1" t="s">
        <v>293</v>
      </c>
      <c r="B263" s="1" t="s">
        <v>507</v>
      </c>
    </row>
    <row r="264" spans="1:2" x14ac:dyDescent="0.35">
      <c r="A264" s="1" t="s">
        <v>544</v>
      </c>
      <c r="B264" s="1" t="s">
        <v>517</v>
      </c>
    </row>
    <row r="265" spans="1:2" x14ac:dyDescent="0.35">
      <c r="A265" s="1" t="s">
        <v>291</v>
      </c>
      <c r="B265" s="1" t="s">
        <v>521</v>
      </c>
    </row>
    <row r="266" spans="1:2" x14ac:dyDescent="0.35">
      <c r="A266" s="1" t="s">
        <v>292</v>
      </c>
      <c r="B266" s="1" t="s">
        <v>528</v>
      </c>
    </row>
    <row r="267" spans="1:2" x14ac:dyDescent="0.35">
      <c r="A267" s="1" t="s">
        <v>473</v>
      </c>
      <c r="B267" s="1" t="s">
        <v>501</v>
      </c>
    </row>
    <row r="268" spans="1:2" x14ac:dyDescent="0.35">
      <c r="A268" s="1" t="s">
        <v>294</v>
      </c>
      <c r="B268" s="1" t="s">
        <v>516</v>
      </c>
    </row>
    <row r="269" spans="1:2" x14ac:dyDescent="0.35">
      <c r="A269" s="1" t="s">
        <v>302</v>
      </c>
      <c r="B269" s="1" t="s">
        <v>499</v>
      </c>
    </row>
    <row r="270" spans="1:2" x14ac:dyDescent="0.35">
      <c r="A270" s="1" t="s">
        <v>295</v>
      </c>
      <c r="B270" s="1" t="s">
        <v>521</v>
      </c>
    </row>
    <row r="271" spans="1:2" x14ac:dyDescent="0.35">
      <c r="A271" s="1" t="s">
        <v>296</v>
      </c>
      <c r="B271" s="1" t="s">
        <v>508</v>
      </c>
    </row>
    <row r="272" spans="1:2" x14ac:dyDescent="0.35">
      <c r="A272" s="1" t="s">
        <v>297</v>
      </c>
      <c r="B272" s="1" t="s">
        <v>512</v>
      </c>
    </row>
    <row r="273" spans="1:2" x14ac:dyDescent="0.35">
      <c r="A273" s="1" t="s">
        <v>298</v>
      </c>
      <c r="B273" s="1" t="s">
        <v>518</v>
      </c>
    </row>
    <row r="274" spans="1:2" x14ac:dyDescent="0.35">
      <c r="A274" s="1" t="s">
        <v>299</v>
      </c>
      <c r="B274" s="1" t="s">
        <v>510</v>
      </c>
    </row>
    <row r="275" spans="1:2" x14ac:dyDescent="0.35">
      <c r="A275" s="1" t="s">
        <v>300</v>
      </c>
      <c r="B275" s="1" t="s">
        <v>520</v>
      </c>
    </row>
    <row r="276" spans="1:2" x14ac:dyDescent="0.35">
      <c r="A276" s="1" t="s">
        <v>301</v>
      </c>
      <c r="B276" s="1" t="s">
        <v>494</v>
      </c>
    </row>
    <row r="277" spans="1:2" x14ac:dyDescent="0.35">
      <c r="A277" s="1" t="s">
        <v>303</v>
      </c>
      <c r="B277" s="1" t="s">
        <v>504</v>
      </c>
    </row>
    <row r="278" spans="1:2" x14ac:dyDescent="0.35">
      <c r="A278" s="1" t="s">
        <v>304</v>
      </c>
      <c r="B278" s="1" t="s">
        <v>504</v>
      </c>
    </row>
    <row r="279" spans="1:2" x14ac:dyDescent="0.35">
      <c r="A279" s="1" t="s">
        <v>636</v>
      </c>
      <c r="B279" s="1" t="s">
        <v>521</v>
      </c>
    </row>
    <row r="280" spans="1:2" x14ac:dyDescent="0.35">
      <c r="A280" s="1" t="s">
        <v>305</v>
      </c>
      <c r="B280" s="1" t="s">
        <v>518</v>
      </c>
    </row>
    <row r="281" spans="1:2" x14ac:dyDescent="0.35">
      <c r="A281" s="1" t="s">
        <v>306</v>
      </c>
      <c r="B281" s="1" t="s">
        <v>502</v>
      </c>
    </row>
    <row r="282" spans="1:2" x14ac:dyDescent="0.35">
      <c r="A282" s="1" t="s">
        <v>307</v>
      </c>
      <c r="B282" s="1" t="s">
        <v>502</v>
      </c>
    </row>
    <row r="283" spans="1:2" x14ac:dyDescent="0.35">
      <c r="A283" s="1" t="s">
        <v>308</v>
      </c>
      <c r="B283" s="1" t="s">
        <v>533</v>
      </c>
    </row>
    <row r="284" spans="1:2" x14ac:dyDescent="0.35">
      <c r="A284" s="1" t="s">
        <v>309</v>
      </c>
      <c r="B284" s="1" t="s">
        <v>506</v>
      </c>
    </row>
    <row r="285" spans="1:2" x14ac:dyDescent="0.35">
      <c r="A285" s="1" t="s">
        <v>545</v>
      </c>
      <c r="B285" s="1" t="s">
        <v>499</v>
      </c>
    </row>
    <row r="286" spans="1:2" x14ac:dyDescent="0.35">
      <c r="A286" s="1" t="s">
        <v>310</v>
      </c>
      <c r="B286" s="1" t="s">
        <v>495</v>
      </c>
    </row>
    <row r="287" spans="1:2" x14ac:dyDescent="0.35">
      <c r="A287" s="1" t="s">
        <v>311</v>
      </c>
      <c r="B287" s="1" t="s">
        <v>515</v>
      </c>
    </row>
    <row r="288" spans="1:2" x14ac:dyDescent="0.35">
      <c r="A288" s="1" t="s">
        <v>312</v>
      </c>
      <c r="B288" s="1" t="s">
        <v>526</v>
      </c>
    </row>
    <row r="289" spans="1:2" x14ac:dyDescent="0.35">
      <c r="A289" s="1" t="s">
        <v>313</v>
      </c>
      <c r="B289" s="1" t="s">
        <v>520</v>
      </c>
    </row>
    <row r="290" spans="1:2" x14ac:dyDescent="0.35">
      <c r="A290" s="1" t="s">
        <v>546</v>
      </c>
      <c r="B290" s="1" t="s">
        <v>512</v>
      </c>
    </row>
    <row r="291" spans="1:2" x14ac:dyDescent="0.35">
      <c r="A291" s="1" t="s">
        <v>314</v>
      </c>
      <c r="B291" s="1" t="s">
        <v>507</v>
      </c>
    </row>
    <row r="292" spans="1:2" x14ac:dyDescent="0.35">
      <c r="A292" s="1" t="s">
        <v>315</v>
      </c>
      <c r="B292" s="1" t="s">
        <v>509</v>
      </c>
    </row>
    <row r="293" spans="1:2" x14ac:dyDescent="0.35">
      <c r="A293" s="1" t="s">
        <v>316</v>
      </c>
      <c r="B293" s="1" t="s">
        <v>509</v>
      </c>
    </row>
    <row r="294" spans="1:2" x14ac:dyDescent="0.35">
      <c r="A294" s="1" t="s">
        <v>478</v>
      </c>
      <c r="B294" s="1" t="s">
        <v>499</v>
      </c>
    </row>
    <row r="295" spans="1:2" x14ac:dyDescent="0.35">
      <c r="A295" s="1" t="s">
        <v>317</v>
      </c>
      <c r="B295" s="1" t="s">
        <v>516</v>
      </c>
    </row>
    <row r="296" spans="1:2" x14ac:dyDescent="0.35">
      <c r="A296" s="1" t="s">
        <v>318</v>
      </c>
      <c r="B296" s="1" t="s">
        <v>502</v>
      </c>
    </row>
    <row r="297" spans="1:2" x14ac:dyDescent="0.35">
      <c r="A297" s="1" t="s">
        <v>319</v>
      </c>
      <c r="B297" s="1" t="s">
        <v>515</v>
      </c>
    </row>
    <row r="298" spans="1:2" x14ac:dyDescent="0.35">
      <c r="A298" s="1" t="s">
        <v>320</v>
      </c>
      <c r="B298" s="1" t="s">
        <v>502</v>
      </c>
    </row>
    <row r="299" spans="1:2" x14ac:dyDescent="0.35">
      <c r="A299" s="1" t="s">
        <v>321</v>
      </c>
      <c r="B299" s="1" t="s">
        <v>506</v>
      </c>
    </row>
    <row r="300" spans="1:2" x14ac:dyDescent="0.35">
      <c r="A300" s="1" t="s">
        <v>547</v>
      </c>
      <c r="B300" s="1" t="s">
        <v>504</v>
      </c>
    </row>
    <row r="301" spans="1:2" x14ac:dyDescent="0.35">
      <c r="A301" s="1" t="s">
        <v>322</v>
      </c>
      <c r="B301" s="1" t="s">
        <v>521</v>
      </c>
    </row>
    <row r="302" spans="1:2" x14ac:dyDescent="0.35">
      <c r="A302" s="1" t="s">
        <v>323</v>
      </c>
      <c r="B302" s="1" t="s">
        <v>509</v>
      </c>
    </row>
    <row r="303" spans="1:2" x14ac:dyDescent="0.35">
      <c r="A303" s="1" t="s">
        <v>324</v>
      </c>
      <c r="B303" s="1" t="s">
        <v>521</v>
      </c>
    </row>
    <row r="304" spans="1:2" x14ac:dyDescent="0.35">
      <c r="A304" s="1" t="s">
        <v>325</v>
      </c>
      <c r="B304" s="1" t="s">
        <v>503</v>
      </c>
    </row>
    <row r="305" spans="1:2" x14ac:dyDescent="0.35">
      <c r="A305" s="1" t="s">
        <v>326</v>
      </c>
      <c r="B305" s="1" t="s">
        <v>520</v>
      </c>
    </row>
    <row r="306" spans="1:2" x14ac:dyDescent="0.35">
      <c r="A306" s="1" t="s">
        <v>327</v>
      </c>
      <c r="B306" s="1" t="s">
        <v>533</v>
      </c>
    </row>
    <row r="307" spans="1:2" x14ac:dyDescent="0.35">
      <c r="A307" s="1" t="s">
        <v>328</v>
      </c>
      <c r="B307" s="1" t="s">
        <v>516</v>
      </c>
    </row>
    <row r="308" spans="1:2" x14ac:dyDescent="0.35">
      <c r="A308" s="1" t="s">
        <v>329</v>
      </c>
      <c r="B308" s="1" t="s">
        <v>530</v>
      </c>
    </row>
    <row r="309" spans="1:2" x14ac:dyDescent="0.35">
      <c r="A309" s="1" t="s">
        <v>604</v>
      </c>
      <c r="B309" s="1" t="s">
        <v>526</v>
      </c>
    </row>
    <row r="310" spans="1:2" x14ac:dyDescent="0.35">
      <c r="A310" s="1" t="s">
        <v>548</v>
      </c>
      <c r="B310" s="1" t="s">
        <v>497</v>
      </c>
    </row>
    <row r="311" spans="1:2" x14ac:dyDescent="0.35">
      <c r="A311" s="1" t="s">
        <v>330</v>
      </c>
      <c r="B311" s="1" t="s">
        <v>498</v>
      </c>
    </row>
    <row r="312" spans="1:2" x14ac:dyDescent="0.35">
      <c r="A312" s="1" t="s">
        <v>331</v>
      </c>
      <c r="B312" s="1" t="s">
        <v>495</v>
      </c>
    </row>
    <row r="313" spans="1:2" x14ac:dyDescent="0.35">
      <c r="A313" s="1" t="s">
        <v>332</v>
      </c>
      <c r="B313" s="1" t="s">
        <v>502</v>
      </c>
    </row>
    <row r="314" spans="1:2" x14ac:dyDescent="0.35">
      <c r="A314" s="1" t="s">
        <v>549</v>
      </c>
      <c r="B314" s="1" t="s">
        <v>497</v>
      </c>
    </row>
    <row r="315" spans="1:2" x14ac:dyDescent="0.35">
      <c r="A315" s="1" t="s">
        <v>333</v>
      </c>
      <c r="B315" s="1" t="s">
        <v>506</v>
      </c>
    </row>
    <row r="316" spans="1:2" x14ac:dyDescent="0.35">
      <c r="A316" s="1" t="s">
        <v>334</v>
      </c>
      <c r="B316" s="1" t="s">
        <v>495</v>
      </c>
    </row>
    <row r="317" spans="1:2" x14ac:dyDescent="0.35">
      <c r="A317" s="1" t="s">
        <v>335</v>
      </c>
      <c r="B317" s="1" t="s">
        <v>514</v>
      </c>
    </row>
    <row r="318" spans="1:2" x14ac:dyDescent="0.35">
      <c r="A318" s="1" t="s">
        <v>336</v>
      </c>
      <c r="B318" s="1" t="s">
        <v>529</v>
      </c>
    </row>
    <row r="319" spans="1:2" x14ac:dyDescent="0.35">
      <c r="A319" s="1" t="s">
        <v>337</v>
      </c>
      <c r="B319" s="1" t="s">
        <v>524</v>
      </c>
    </row>
    <row r="320" spans="1:2" x14ac:dyDescent="0.35">
      <c r="A320" s="1" t="s">
        <v>338</v>
      </c>
      <c r="B320" s="1" t="s">
        <v>507</v>
      </c>
    </row>
    <row r="321" spans="1:2" x14ac:dyDescent="0.35">
      <c r="A321" s="1" t="s">
        <v>339</v>
      </c>
      <c r="B321" s="1" t="s">
        <v>509</v>
      </c>
    </row>
    <row r="322" spans="1:2" x14ac:dyDescent="0.35">
      <c r="A322" s="1" t="s">
        <v>340</v>
      </c>
      <c r="B322" s="1" t="s">
        <v>533</v>
      </c>
    </row>
    <row r="323" spans="1:2" x14ac:dyDescent="0.35">
      <c r="A323" s="1" t="s">
        <v>341</v>
      </c>
      <c r="B323" s="1" t="s">
        <v>497</v>
      </c>
    </row>
    <row r="324" spans="1:2" x14ac:dyDescent="0.35">
      <c r="A324" s="1" t="s">
        <v>342</v>
      </c>
      <c r="B324" s="1" t="s">
        <v>498</v>
      </c>
    </row>
    <row r="325" spans="1:2" x14ac:dyDescent="0.35">
      <c r="A325" s="1" t="s">
        <v>343</v>
      </c>
      <c r="B325" s="1" t="s">
        <v>524</v>
      </c>
    </row>
    <row r="326" spans="1:2" x14ac:dyDescent="0.35">
      <c r="A326" s="1" t="s">
        <v>344</v>
      </c>
      <c r="B326" s="1" t="s">
        <v>520</v>
      </c>
    </row>
    <row r="327" spans="1:2" x14ac:dyDescent="0.35">
      <c r="A327" s="1" t="s">
        <v>345</v>
      </c>
      <c r="B327" s="1" t="s">
        <v>503</v>
      </c>
    </row>
    <row r="328" spans="1:2" x14ac:dyDescent="0.35">
      <c r="A328" s="1" t="s">
        <v>346</v>
      </c>
      <c r="B328" s="1" t="s">
        <v>514</v>
      </c>
    </row>
    <row r="329" spans="1:2" x14ac:dyDescent="0.35">
      <c r="A329" s="1" t="s">
        <v>347</v>
      </c>
      <c r="B329" s="1" t="s">
        <v>520</v>
      </c>
    </row>
    <row r="330" spans="1:2" x14ac:dyDescent="0.35">
      <c r="A330" s="1" t="s">
        <v>348</v>
      </c>
      <c r="B330" s="1" t="s">
        <v>524</v>
      </c>
    </row>
    <row r="331" spans="1:2" x14ac:dyDescent="0.35">
      <c r="A331" s="1" t="s">
        <v>491</v>
      </c>
      <c r="B331" s="1" t="s">
        <v>518</v>
      </c>
    </row>
    <row r="332" spans="1:2" x14ac:dyDescent="0.35">
      <c r="A332" s="1" t="s">
        <v>349</v>
      </c>
      <c r="B332" s="1" t="s">
        <v>495</v>
      </c>
    </row>
    <row r="333" spans="1:2" x14ac:dyDescent="0.35">
      <c r="A333" s="1" t="s">
        <v>350</v>
      </c>
      <c r="B333" s="1" t="s">
        <v>514</v>
      </c>
    </row>
    <row r="334" spans="1:2" x14ac:dyDescent="0.35">
      <c r="A334" s="1" t="s">
        <v>550</v>
      </c>
      <c r="B334" s="1" t="s">
        <v>499</v>
      </c>
    </row>
    <row r="335" spans="1:2" x14ac:dyDescent="0.35">
      <c r="A335" s="1" t="s">
        <v>351</v>
      </c>
      <c r="B335" s="1" t="s">
        <v>493</v>
      </c>
    </row>
    <row r="336" spans="1:2" x14ac:dyDescent="0.35">
      <c r="A336" s="1" t="s">
        <v>637</v>
      </c>
      <c r="B336" s="1" t="s">
        <v>526</v>
      </c>
    </row>
    <row r="337" spans="1:2" x14ac:dyDescent="0.35">
      <c r="A337" s="1" t="s">
        <v>352</v>
      </c>
      <c r="B337" s="1" t="s">
        <v>493</v>
      </c>
    </row>
    <row r="338" spans="1:2" x14ac:dyDescent="0.35">
      <c r="A338" s="1" t="s">
        <v>638</v>
      </c>
      <c r="B338" s="1" t="s">
        <v>533</v>
      </c>
    </row>
    <row r="339" spans="1:2" x14ac:dyDescent="0.35">
      <c r="A339" s="1" t="s">
        <v>354</v>
      </c>
      <c r="B339" s="1" t="s">
        <v>515</v>
      </c>
    </row>
    <row r="340" spans="1:2" x14ac:dyDescent="0.35">
      <c r="A340" s="1" t="s">
        <v>639</v>
      </c>
      <c r="B340" s="1" t="s">
        <v>529</v>
      </c>
    </row>
    <row r="341" spans="1:2" x14ac:dyDescent="0.35">
      <c r="A341" s="1" t="s">
        <v>355</v>
      </c>
      <c r="B341" s="1" t="s">
        <v>524</v>
      </c>
    </row>
    <row r="342" spans="1:2" x14ac:dyDescent="0.35">
      <c r="A342" s="1" t="s">
        <v>356</v>
      </c>
      <c r="B342" s="1" t="s">
        <v>493</v>
      </c>
    </row>
    <row r="343" spans="1:2" x14ac:dyDescent="0.35">
      <c r="A343" s="1" t="s">
        <v>357</v>
      </c>
      <c r="B343" s="1" t="s">
        <v>516</v>
      </c>
    </row>
    <row r="344" spans="1:2" x14ac:dyDescent="0.35">
      <c r="A344" s="1" t="s">
        <v>358</v>
      </c>
      <c r="B344" s="1" t="s">
        <v>500</v>
      </c>
    </row>
    <row r="345" spans="1:2" x14ac:dyDescent="0.35">
      <c r="A345" s="1" t="s">
        <v>359</v>
      </c>
      <c r="B345" s="1" t="s">
        <v>494</v>
      </c>
    </row>
    <row r="346" spans="1:2" x14ac:dyDescent="0.35">
      <c r="A346" s="1" t="s">
        <v>551</v>
      </c>
      <c r="B346" s="1" t="s">
        <v>504</v>
      </c>
    </row>
    <row r="347" spans="1:2" x14ac:dyDescent="0.35">
      <c r="A347" s="1" t="s">
        <v>360</v>
      </c>
      <c r="B347" s="1" t="s">
        <v>524</v>
      </c>
    </row>
    <row r="348" spans="1:2" x14ac:dyDescent="0.35">
      <c r="A348" s="1" t="s">
        <v>361</v>
      </c>
      <c r="B348" s="1" t="s">
        <v>529</v>
      </c>
    </row>
    <row r="349" spans="1:2" x14ac:dyDescent="0.35">
      <c r="A349" s="1" t="s">
        <v>362</v>
      </c>
      <c r="B349" s="1" t="s">
        <v>528</v>
      </c>
    </row>
    <row r="350" spans="1:2" x14ac:dyDescent="0.35">
      <c r="A350" s="1" t="s">
        <v>363</v>
      </c>
      <c r="B350" s="1" t="s">
        <v>497</v>
      </c>
    </row>
    <row r="351" spans="1:2" x14ac:dyDescent="0.35">
      <c r="A351" s="1" t="s">
        <v>364</v>
      </c>
      <c r="B351" s="1" t="s">
        <v>508</v>
      </c>
    </row>
    <row r="352" spans="1:2" x14ac:dyDescent="0.35">
      <c r="A352" s="1" t="s">
        <v>365</v>
      </c>
      <c r="B352" s="1" t="s">
        <v>516</v>
      </c>
    </row>
    <row r="353" spans="1:2" x14ac:dyDescent="0.35">
      <c r="A353" s="1" t="s">
        <v>366</v>
      </c>
      <c r="B353" s="1" t="s">
        <v>494</v>
      </c>
    </row>
    <row r="354" spans="1:2" x14ac:dyDescent="0.35">
      <c r="A354" s="1" t="s">
        <v>480</v>
      </c>
      <c r="B354" s="1" t="s">
        <v>521</v>
      </c>
    </row>
    <row r="355" spans="1:2" x14ac:dyDescent="0.35">
      <c r="A355" s="1" t="s">
        <v>367</v>
      </c>
      <c r="B355" s="1" t="s">
        <v>494</v>
      </c>
    </row>
    <row r="356" spans="1:2" x14ac:dyDescent="0.35">
      <c r="A356" s="1" t="s">
        <v>368</v>
      </c>
      <c r="B356" s="1" t="s">
        <v>524</v>
      </c>
    </row>
    <row r="357" spans="1:2" x14ac:dyDescent="0.35">
      <c r="A357" s="1" t="s">
        <v>369</v>
      </c>
      <c r="B357" s="1" t="s">
        <v>533</v>
      </c>
    </row>
    <row r="358" spans="1:2" x14ac:dyDescent="0.35">
      <c r="A358" s="1" t="s">
        <v>640</v>
      </c>
      <c r="B358" s="1" t="s">
        <v>508</v>
      </c>
    </row>
    <row r="359" spans="1:2" x14ac:dyDescent="0.35">
      <c r="A359" s="1" t="s">
        <v>481</v>
      </c>
      <c r="B359" s="1" t="s">
        <v>508</v>
      </c>
    </row>
    <row r="360" spans="1:2" x14ac:dyDescent="0.35">
      <c r="A360" s="1" t="s">
        <v>371</v>
      </c>
      <c r="B360" s="1" t="s">
        <v>510</v>
      </c>
    </row>
    <row r="361" spans="1:2" x14ac:dyDescent="0.35">
      <c r="A361" s="1" t="s">
        <v>372</v>
      </c>
      <c r="B361" s="1" t="s">
        <v>518</v>
      </c>
    </row>
    <row r="362" spans="1:2" x14ac:dyDescent="0.35">
      <c r="A362" s="1" t="s">
        <v>552</v>
      </c>
      <c r="B362" s="1" t="s">
        <v>515</v>
      </c>
    </row>
    <row r="363" spans="1:2" x14ac:dyDescent="0.35">
      <c r="A363" s="1" t="s">
        <v>373</v>
      </c>
      <c r="B363" s="1" t="s">
        <v>520</v>
      </c>
    </row>
    <row r="364" spans="1:2" x14ac:dyDescent="0.35">
      <c r="A364" s="1" t="s">
        <v>374</v>
      </c>
      <c r="B364" s="1" t="s">
        <v>493</v>
      </c>
    </row>
    <row r="365" spans="1:2" x14ac:dyDescent="0.35">
      <c r="A365" s="1" t="s">
        <v>641</v>
      </c>
      <c r="B365" s="1" t="s">
        <v>515</v>
      </c>
    </row>
    <row r="366" spans="1:2" x14ac:dyDescent="0.35">
      <c r="A366" s="1" t="s">
        <v>375</v>
      </c>
      <c r="B366" s="1" t="s">
        <v>500</v>
      </c>
    </row>
    <row r="367" spans="1:2" x14ac:dyDescent="0.35">
      <c r="A367" s="1" t="s">
        <v>377</v>
      </c>
      <c r="B367" s="1" t="s">
        <v>529</v>
      </c>
    </row>
    <row r="368" spans="1:2" x14ac:dyDescent="0.35">
      <c r="A368" s="1" t="s">
        <v>378</v>
      </c>
      <c r="B368" s="1" t="s">
        <v>499</v>
      </c>
    </row>
    <row r="369" spans="1:2" x14ac:dyDescent="0.35">
      <c r="A369" s="1" t="s">
        <v>379</v>
      </c>
      <c r="B369" s="1" t="s">
        <v>514</v>
      </c>
    </row>
    <row r="370" spans="1:2" x14ac:dyDescent="0.35">
      <c r="A370" s="1" t="s">
        <v>553</v>
      </c>
      <c r="B370" s="1" t="s">
        <v>495</v>
      </c>
    </row>
    <row r="371" spans="1:2" x14ac:dyDescent="0.35">
      <c r="A371" s="1" t="s">
        <v>380</v>
      </c>
      <c r="B371" s="1" t="s">
        <v>528</v>
      </c>
    </row>
    <row r="372" spans="1:2" x14ac:dyDescent="0.35">
      <c r="A372" s="1" t="s">
        <v>381</v>
      </c>
      <c r="B372" s="1" t="s">
        <v>518</v>
      </c>
    </row>
    <row r="373" spans="1:2" x14ac:dyDescent="0.35">
      <c r="A373" s="1" t="s">
        <v>685</v>
      </c>
      <c r="B373" s="1" t="s">
        <v>498</v>
      </c>
    </row>
    <row r="374" spans="1:2" x14ac:dyDescent="0.35">
      <c r="A374" s="1" t="s">
        <v>642</v>
      </c>
      <c r="B374" s="1" t="s">
        <v>533</v>
      </c>
    </row>
    <row r="375" spans="1:2" x14ac:dyDescent="0.35">
      <c r="A375" s="1" t="s">
        <v>643</v>
      </c>
      <c r="B375" s="1" t="s">
        <v>514</v>
      </c>
    </row>
    <row r="376" spans="1:2" x14ac:dyDescent="0.35">
      <c r="A376" s="1" t="s">
        <v>384</v>
      </c>
      <c r="B376" s="1" t="s">
        <v>507</v>
      </c>
    </row>
    <row r="377" spans="1:2" x14ac:dyDescent="0.35">
      <c r="A377" s="1" t="s">
        <v>385</v>
      </c>
      <c r="B377" s="1" t="s">
        <v>500</v>
      </c>
    </row>
    <row r="378" spans="1:2" x14ac:dyDescent="0.35">
      <c r="A378" s="1" t="s">
        <v>554</v>
      </c>
      <c r="B378" s="1" t="s">
        <v>512</v>
      </c>
    </row>
    <row r="379" spans="1:2" x14ac:dyDescent="0.35">
      <c r="A379" s="1" t="s">
        <v>386</v>
      </c>
      <c r="B379" s="1" t="s">
        <v>512</v>
      </c>
    </row>
    <row r="380" spans="1:2" x14ac:dyDescent="0.35">
      <c r="A380" s="1" t="s">
        <v>387</v>
      </c>
      <c r="B380" s="1" t="s">
        <v>506</v>
      </c>
    </row>
    <row r="381" spans="1:2" x14ac:dyDescent="0.35">
      <c r="A381" s="1" t="s">
        <v>555</v>
      </c>
      <c r="B381" s="1" t="s">
        <v>499</v>
      </c>
    </row>
    <row r="382" spans="1:2" x14ac:dyDescent="0.35">
      <c r="A382" s="1" t="s">
        <v>388</v>
      </c>
      <c r="B382" s="1" t="s">
        <v>500</v>
      </c>
    </row>
    <row r="383" spans="1:2" x14ac:dyDescent="0.35">
      <c r="A383" s="1" t="s">
        <v>389</v>
      </c>
      <c r="B383" s="1" t="s">
        <v>512</v>
      </c>
    </row>
    <row r="384" spans="1:2" x14ac:dyDescent="0.35">
      <c r="A384" s="1" t="s">
        <v>390</v>
      </c>
      <c r="B384" s="1" t="s">
        <v>517</v>
      </c>
    </row>
    <row r="385" spans="1:2" x14ac:dyDescent="0.35">
      <c r="A385" s="1" t="s">
        <v>391</v>
      </c>
      <c r="B385" s="1" t="s">
        <v>497</v>
      </c>
    </row>
    <row r="386" spans="1:2" x14ac:dyDescent="0.35">
      <c r="A386" s="1" t="s">
        <v>392</v>
      </c>
      <c r="B386" s="1" t="s">
        <v>516</v>
      </c>
    </row>
    <row r="387" spans="1:2" x14ac:dyDescent="0.35">
      <c r="A387" s="1" t="s">
        <v>556</v>
      </c>
      <c r="B387" s="1" t="s">
        <v>502</v>
      </c>
    </row>
    <row r="388" spans="1:2" x14ac:dyDescent="0.35">
      <c r="A388" s="1" t="s">
        <v>393</v>
      </c>
      <c r="B388" s="1" t="s">
        <v>529</v>
      </c>
    </row>
    <row r="389" spans="1:2" x14ac:dyDescent="0.35">
      <c r="A389" s="1" t="s">
        <v>394</v>
      </c>
      <c r="B389" s="1" t="s">
        <v>530</v>
      </c>
    </row>
    <row r="390" spans="1:2" x14ac:dyDescent="0.35">
      <c r="A390" s="1" t="s">
        <v>557</v>
      </c>
      <c r="B390" s="1" t="s">
        <v>493</v>
      </c>
    </row>
    <row r="391" spans="1:2" x14ac:dyDescent="0.35">
      <c r="A391" s="1" t="s">
        <v>395</v>
      </c>
      <c r="B391" s="1" t="s">
        <v>494</v>
      </c>
    </row>
    <row r="392" spans="1:2" x14ac:dyDescent="0.35">
      <c r="A392" s="1" t="s">
        <v>396</v>
      </c>
      <c r="B392" s="1" t="s">
        <v>529</v>
      </c>
    </row>
    <row r="393" spans="1:2" x14ac:dyDescent="0.35">
      <c r="A393" s="1" t="s">
        <v>397</v>
      </c>
      <c r="B393" s="1" t="s">
        <v>515</v>
      </c>
    </row>
    <row r="394" spans="1:2" x14ac:dyDescent="0.35">
      <c r="A394" s="1" t="s">
        <v>398</v>
      </c>
      <c r="B394" s="1" t="s">
        <v>500</v>
      </c>
    </row>
    <row r="395" spans="1:2" x14ac:dyDescent="0.35">
      <c r="A395" s="1" t="s">
        <v>482</v>
      </c>
      <c r="B395" s="1" t="s">
        <v>493</v>
      </c>
    </row>
    <row r="396" spans="1:2" x14ac:dyDescent="0.35">
      <c r="A396" s="1" t="s">
        <v>399</v>
      </c>
      <c r="B396" s="1" t="s">
        <v>503</v>
      </c>
    </row>
    <row r="397" spans="1:2" x14ac:dyDescent="0.35">
      <c r="A397" s="1" t="s">
        <v>400</v>
      </c>
      <c r="B397" s="1" t="s">
        <v>526</v>
      </c>
    </row>
    <row r="398" spans="1:2" x14ac:dyDescent="0.35">
      <c r="A398" s="1" t="s">
        <v>401</v>
      </c>
      <c r="B398" s="1" t="s">
        <v>501</v>
      </c>
    </row>
    <row r="399" spans="1:2" x14ac:dyDescent="0.35">
      <c r="A399" s="1" t="s">
        <v>402</v>
      </c>
      <c r="B399" s="1" t="s">
        <v>509</v>
      </c>
    </row>
    <row r="400" spans="1:2" x14ac:dyDescent="0.35">
      <c r="A400" s="1" t="s">
        <v>403</v>
      </c>
      <c r="B400" s="1" t="s">
        <v>508</v>
      </c>
    </row>
    <row r="401" spans="1:2" x14ac:dyDescent="0.35">
      <c r="A401" s="1" t="s">
        <v>404</v>
      </c>
      <c r="B401" s="1" t="s">
        <v>516</v>
      </c>
    </row>
    <row r="402" spans="1:2" x14ac:dyDescent="0.35">
      <c r="A402" s="1" t="s">
        <v>405</v>
      </c>
      <c r="B402" s="1" t="s">
        <v>521</v>
      </c>
    </row>
    <row r="403" spans="1:2" x14ac:dyDescent="0.35">
      <c r="A403" s="1" t="s">
        <v>558</v>
      </c>
      <c r="B403" s="1" t="s">
        <v>495</v>
      </c>
    </row>
    <row r="404" spans="1:2" x14ac:dyDescent="0.35">
      <c r="A404" s="1" t="s">
        <v>406</v>
      </c>
      <c r="B404" s="1" t="s">
        <v>521</v>
      </c>
    </row>
    <row r="405" spans="1:2" x14ac:dyDescent="0.35">
      <c r="A405" s="1" t="s">
        <v>559</v>
      </c>
      <c r="B405" s="1" t="s">
        <v>508</v>
      </c>
    </row>
    <row r="406" spans="1:2" x14ac:dyDescent="0.35">
      <c r="A406" s="1" t="s">
        <v>560</v>
      </c>
      <c r="B406" s="1" t="s">
        <v>507</v>
      </c>
    </row>
    <row r="407" spans="1:2" x14ac:dyDescent="0.35">
      <c r="A407" s="1" t="s">
        <v>407</v>
      </c>
      <c r="B407" s="1" t="s">
        <v>515</v>
      </c>
    </row>
    <row r="408" spans="1:2" x14ac:dyDescent="0.35">
      <c r="A408" s="1" t="s">
        <v>561</v>
      </c>
      <c r="B408" s="1" t="s">
        <v>493</v>
      </c>
    </row>
    <row r="409" spans="1:2" x14ac:dyDescent="0.35">
      <c r="A409" s="1" t="s">
        <v>408</v>
      </c>
      <c r="B409" s="1" t="s">
        <v>529</v>
      </c>
    </row>
    <row r="410" spans="1:2" x14ac:dyDescent="0.35">
      <c r="A410" s="1" t="s">
        <v>409</v>
      </c>
      <c r="B410" s="1" t="s">
        <v>530</v>
      </c>
    </row>
    <row r="411" spans="1:2" x14ac:dyDescent="0.35">
      <c r="A411" s="1" t="s">
        <v>410</v>
      </c>
      <c r="B411" s="1" t="s">
        <v>533</v>
      </c>
    </row>
    <row r="412" spans="1:2" x14ac:dyDescent="0.35">
      <c r="A412" s="1" t="s">
        <v>411</v>
      </c>
      <c r="B412" s="1" t="s">
        <v>520</v>
      </c>
    </row>
    <row r="413" spans="1:2" x14ac:dyDescent="0.35">
      <c r="A413" s="1" t="s">
        <v>483</v>
      </c>
      <c r="B413" s="1" t="s">
        <v>529</v>
      </c>
    </row>
    <row r="414" spans="1:2" x14ac:dyDescent="0.35">
      <c r="A414" s="1" t="s">
        <v>412</v>
      </c>
      <c r="B414" s="1" t="s">
        <v>506</v>
      </c>
    </row>
    <row r="415" spans="1:2" x14ac:dyDescent="0.35">
      <c r="A415" s="1" t="s">
        <v>413</v>
      </c>
      <c r="B415" s="1" t="s">
        <v>494</v>
      </c>
    </row>
    <row r="416" spans="1:2" x14ac:dyDescent="0.35">
      <c r="A416" s="1" t="s">
        <v>414</v>
      </c>
      <c r="B416" s="1" t="s">
        <v>529</v>
      </c>
    </row>
    <row r="417" spans="1:2" x14ac:dyDescent="0.35">
      <c r="A417" s="1" t="s">
        <v>562</v>
      </c>
      <c r="B417" s="1" t="s">
        <v>509</v>
      </c>
    </row>
    <row r="418" spans="1:2" x14ac:dyDescent="0.35">
      <c r="A418" s="1" t="s">
        <v>415</v>
      </c>
      <c r="B418" s="1" t="s">
        <v>504</v>
      </c>
    </row>
    <row r="419" spans="1:2" x14ac:dyDescent="0.35">
      <c r="A419" s="1" t="s">
        <v>563</v>
      </c>
      <c r="B419" s="1" t="s">
        <v>518</v>
      </c>
    </row>
    <row r="420" spans="1:2" x14ac:dyDescent="0.35">
      <c r="A420" s="1" t="s">
        <v>416</v>
      </c>
      <c r="B420" s="1" t="s">
        <v>528</v>
      </c>
    </row>
    <row r="421" spans="1:2" x14ac:dyDescent="0.35">
      <c r="A421" s="1" t="s">
        <v>417</v>
      </c>
      <c r="B421" s="1" t="s">
        <v>500</v>
      </c>
    </row>
    <row r="422" spans="1:2" x14ac:dyDescent="0.35">
      <c r="A422" s="1" t="s">
        <v>418</v>
      </c>
      <c r="B422" s="1" t="s">
        <v>515</v>
      </c>
    </row>
    <row r="423" spans="1:2" x14ac:dyDescent="0.35">
      <c r="A423" s="1" t="s">
        <v>472</v>
      </c>
      <c r="B423" s="1" t="s">
        <v>529</v>
      </c>
    </row>
    <row r="424" spans="1:2" x14ac:dyDescent="0.35">
      <c r="A424" s="1" t="s">
        <v>419</v>
      </c>
      <c r="B424" s="1" t="s">
        <v>526</v>
      </c>
    </row>
    <row r="425" spans="1:2" x14ac:dyDescent="0.35">
      <c r="A425" s="1" t="s">
        <v>564</v>
      </c>
      <c r="B425" s="1" t="s">
        <v>509</v>
      </c>
    </row>
    <row r="426" spans="1:2" x14ac:dyDescent="0.35">
      <c r="A426" s="1" t="s">
        <v>420</v>
      </c>
      <c r="B426" s="1" t="s">
        <v>516</v>
      </c>
    </row>
    <row r="427" spans="1:2" x14ac:dyDescent="0.35">
      <c r="A427" s="1" t="s">
        <v>421</v>
      </c>
      <c r="B427" s="1" t="s">
        <v>507</v>
      </c>
    </row>
    <row r="428" spans="1:2" x14ac:dyDescent="0.35">
      <c r="A428" s="1" t="s">
        <v>422</v>
      </c>
      <c r="B428" s="1" t="s">
        <v>521</v>
      </c>
    </row>
    <row r="429" spans="1:2" x14ac:dyDescent="0.35">
      <c r="A429" s="1" t="s">
        <v>423</v>
      </c>
      <c r="B429" s="1" t="s">
        <v>504</v>
      </c>
    </row>
    <row r="430" spans="1:2" x14ac:dyDescent="0.35">
      <c r="A430" s="1" t="s">
        <v>424</v>
      </c>
      <c r="B430" s="1" t="s">
        <v>528</v>
      </c>
    </row>
    <row r="431" spans="1:2" x14ac:dyDescent="0.35">
      <c r="A431" s="1" t="s">
        <v>425</v>
      </c>
      <c r="B431" s="1" t="s">
        <v>517</v>
      </c>
    </row>
    <row r="432" spans="1:2" x14ac:dyDescent="0.35">
      <c r="A432" s="1" t="s">
        <v>426</v>
      </c>
      <c r="B432" s="1" t="s">
        <v>499</v>
      </c>
    </row>
    <row r="433" spans="1:2" x14ac:dyDescent="0.35">
      <c r="A433" s="1" t="s">
        <v>427</v>
      </c>
      <c r="B433" s="1" t="s">
        <v>528</v>
      </c>
    </row>
    <row r="434" spans="1:2" x14ac:dyDescent="0.35">
      <c r="A434" s="1" t="s">
        <v>428</v>
      </c>
      <c r="B434" s="1" t="s">
        <v>526</v>
      </c>
    </row>
    <row r="435" spans="1:2" x14ac:dyDescent="0.35">
      <c r="A435" s="1" t="s">
        <v>429</v>
      </c>
      <c r="B435" s="1" t="s">
        <v>506</v>
      </c>
    </row>
    <row r="436" spans="1:2" x14ac:dyDescent="0.35">
      <c r="A436" s="1" t="s">
        <v>565</v>
      </c>
      <c r="B436" s="1" t="s">
        <v>518</v>
      </c>
    </row>
    <row r="437" spans="1:2" x14ac:dyDescent="0.35">
      <c r="A437" s="1" t="s">
        <v>430</v>
      </c>
      <c r="B437" s="1" t="s">
        <v>533</v>
      </c>
    </row>
    <row r="438" spans="1:2" x14ac:dyDescent="0.35">
      <c r="A438" s="1" t="s">
        <v>431</v>
      </c>
      <c r="B438" s="1" t="s">
        <v>529</v>
      </c>
    </row>
    <row r="439" spans="1:2" x14ac:dyDescent="0.35">
      <c r="A439" s="1" t="s">
        <v>484</v>
      </c>
      <c r="B439" s="1" t="s">
        <v>518</v>
      </c>
    </row>
    <row r="440" spans="1:2" x14ac:dyDescent="0.35">
      <c r="A440" s="1" t="s">
        <v>432</v>
      </c>
      <c r="B440" s="1" t="s">
        <v>516</v>
      </c>
    </row>
    <row r="441" spans="1:2" x14ac:dyDescent="0.35">
      <c r="A441" s="1" t="s">
        <v>644</v>
      </c>
      <c r="B441" s="1" t="s">
        <v>504</v>
      </c>
    </row>
    <row r="442" spans="1:2" x14ac:dyDescent="0.35">
      <c r="A442" s="1" t="s">
        <v>434</v>
      </c>
      <c r="B442" s="1" t="s">
        <v>500</v>
      </c>
    </row>
    <row r="443" spans="1:2" x14ac:dyDescent="0.35">
      <c r="A443" s="1" t="s">
        <v>435</v>
      </c>
      <c r="B443" s="1" t="s">
        <v>530</v>
      </c>
    </row>
    <row r="444" spans="1:2" x14ac:dyDescent="0.35">
      <c r="A444" s="1" t="s">
        <v>436</v>
      </c>
      <c r="B444" s="1" t="s">
        <v>524</v>
      </c>
    </row>
    <row r="445" spans="1:2" x14ac:dyDescent="0.35">
      <c r="A445" s="1" t="s">
        <v>437</v>
      </c>
      <c r="B445" s="1" t="s">
        <v>516</v>
      </c>
    </row>
    <row r="446" spans="1:2" x14ac:dyDescent="0.35">
      <c r="A446" s="1" t="s">
        <v>438</v>
      </c>
      <c r="B446" s="1" t="s">
        <v>521</v>
      </c>
    </row>
    <row r="447" spans="1:2" x14ac:dyDescent="0.35">
      <c r="A447" s="1" t="s">
        <v>567</v>
      </c>
      <c r="B447" s="1" t="s">
        <v>498</v>
      </c>
    </row>
    <row r="448" spans="1:2" x14ac:dyDescent="0.35">
      <c r="A448" s="1" t="s">
        <v>439</v>
      </c>
      <c r="B448" s="1" t="s">
        <v>507</v>
      </c>
    </row>
    <row r="449" spans="1:2" x14ac:dyDescent="0.35">
      <c r="A449" s="1" t="s">
        <v>441</v>
      </c>
      <c r="B449" s="1" t="s">
        <v>506</v>
      </c>
    </row>
    <row r="450" spans="1:2" x14ac:dyDescent="0.35">
      <c r="A450" s="1" t="s">
        <v>440</v>
      </c>
      <c r="B450" s="1" t="s">
        <v>516</v>
      </c>
    </row>
    <row r="451" spans="1:2" x14ac:dyDescent="0.35">
      <c r="A451" s="1" t="s">
        <v>485</v>
      </c>
      <c r="B451" s="1" t="s">
        <v>494</v>
      </c>
    </row>
    <row r="452" spans="1:2" x14ac:dyDescent="0.35">
      <c r="A452" s="1" t="s">
        <v>442</v>
      </c>
      <c r="B452" s="1" t="s">
        <v>514</v>
      </c>
    </row>
    <row r="453" spans="1:2" x14ac:dyDescent="0.35">
      <c r="A453" s="1" t="s">
        <v>568</v>
      </c>
      <c r="B453" s="1" t="s">
        <v>501</v>
      </c>
    </row>
    <row r="454" spans="1:2" x14ac:dyDescent="0.35">
      <c r="A454" s="1" t="s">
        <v>443</v>
      </c>
      <c r="B454" s="1" t="s">
        <v>533</v>
      </c>
    </row>
    <row r="455" spans="1:2" x14ac:dyDescent="0.35">
      <c r="A455" s="1" t="s">
        <v>645</v>
      </c>
      <c r="B455" s="1" t="s">
        <v>515</v>
      </c>
    </row>
    <row r="456" spans="1:2" x14ac:dyDescent="0.35">
      <c r="A456" s="1" t="s">
        <v>623</v>
      </c>
      <c r="B456" s="1" t="s">
        <v>503</v>
      </c>
    </row>
    <row r="457" spans="1:2" x14ac:dyDescent="0.35">
      <c r="A457" s="1" t="s">
        <v>444</v>
      </c>
      <c r="B457" s="1" t="s">
        <v>528</v>
      </c>
    </row>
    <row r="458" spans="1:2" x14ac:dyDescent="0.35">
      <c r="A458" s="1" t="s">
        <v>445</v>
      </c>
      <c r="B458" s="1" t="s">
        <v>495</v>
      </c>
    </row>
    <row r="459" spans="1:2" x14ac:dyDescent="0.35">
      <c r="A459" s="1" t="s">
        <v>569</v>
      </c>
      <c r="B459" s="1" t="s">
        <v>515</v>
      </c>
    </row>
    <row r="460" spans="1:2" x14ac:dyDescent="0.35">
      <c r="A460" s="1" t="s">
        <v>446</v>
      </c>
      <c r="B460" s="1" t="s">
        <v>528</v>
      </c>
    </row>
    <row r="461" spans="1:2" x14ac:dyDescent="0.35">
      <c r="A461" s="1" t="s">
        <v>447</v>
      </c>
      <c r="B461" s="1" t="s">
        <v>521</v>
      </c>
    </row>
    <row r="462" spans="1:2" x14ac:dyDescent="0.35">
      <c r="A462" s="1" t="s">
        <v>487</v>
      </c>
      <c r="B462" s="1" t="s">
        <v>509</v>
      </c>
    </row>
    <row r="463" spans="1:2" x14ac:dyDescent="0.35">
      <c r="A463" s="1" t="s">
        <v>448</v>
      </c>
      <c r="B463" s="1" t="s">
        <v>498</v>
      </c>
    </row>
    <row r="464" spans="1:2" x14ac:dyDescent="0.35">
      <c r="A464" s="1" t="s">
        <v>449</v>
      </c>
      <c r="B464" s="1" t="s">
        <v>528</v>
      </c>
    </row>
    <row r="465" spans="1:2" x14ac:dyDescent="0.35">
      <c r="A465" s="1" t="s">
        <v>450</v>
      </c>
      <c r="B465" s="1" t="s">
        <v>506</v>
      </c>
    </row>
    <row r="466" spans="1:2" x14ac:dyDescent="0.35">
      <c r="A466" s="1" t="s">
        <v>488</v>
      </c>
      <c r="B466" s="1" t="s">
        <v>495</v>
      </c>
    </row>
    <row r="467" spans="1:2" x14ac:dyDescent="0.35">
      <c r="A467" s="1" t="s">
        <v>451</v>
      </c>
      <c r="B467" s="1" t="s">
        <v>530</v>
      </c>
    </row>
    <row r="468" spans="1:2" x14ac:dyDescent="0.35">
      <c r="A468" s="1" t="s">
        <v>452</v>
      </c>
      <c r="B468" s="1" t="s">
        <v>507</v>
      </c>
    </row>
    <row r="469" spans="1:2" x14ac:dyDescent="0.35">
      <c r="A469" s="1" t="s">
        <v>453</v>
      </c>
      <c r="B469" s="1" t="s">
        <v>495</v>
      </c>
    </row>
    <row r="470" spans="1:2" x14ac:dyDescent="0.35">
      <c r="A470" s="1" t="s">
        <v>454</v>
      </c>
      <c r="B470" s="1" t="s">
        <v>504</v>
      </c>
    </row>
    <row r="471" spans="1:2" x14ac:dyDescent="0.35">
      <c r="A471" s="1" t="s">
        <v>455</v>
      </c>
      <c r="B471" s="1" t="s">
        <v>518</v>
      </c>
    </row>
    <row r="472" spans="1:2" x14ac:dyDescent="0.35">
      <c r="A472" s="1" t="s">
        <v>456</v>
      </c>
      <c r="B472" s="1" t="s">
        <v>528</v>
      </c>
    </row>
    <row r="473" spans="1:2" x14ac:dyDescent="0.35">
      <c r="A473" s="1" t="s">
        <v>457</v>
      </c>
      <c r="B473" s="1" t="s">
        <v>515</v>
      </c>
    </row>
    <row r="474" spans="1:2" x14ac:dyDescent="0.35">
      <c r="A474" s="1" t="s">
        <v>458</v>
      </c>
      <c r="B474" s="1" t="s">
        <v>497</v>
      </c>
    </row>
    <row r="475" spans="1:2" x14ac:dyDescent="0.35">
      <c r="A475" s="1" t="s">
        <v>459</v>
      </c>
      <c r="B475" s="1" t="s">
        <v>520</v>
      </c>
    </row>
    <row r="476" spans="1:2" x14ac:dyDescent="0.35">
      <c r="A476" s="1" t="s">
        <v>460</v>
      </c>
      <c r="B476" s="1" t="s">
        <v>502</v>
      </c>
    </row>
    <row r="477" spans="1:2" x14ac:dyDescent="0.35">
      <c r="A477" s="1" t="s">
        <v>461</v>
      </c>
      <c r="B477" s="1" t="s">
        <v>528</v>
      </c>
    </row>
    <row r="478" spans="1:2" x14ac:dyDescent="0.35">
      <c r="A478" s="1" t="s">
        <v>462</v>
      </c>
      <c r="B478" s="1" t="s">
        <v>524</v>
      </c>
    </row>
    <row r="479" spans="1:2" x14ac:dyDescent="0.35">
      <c r="A479" s="1" t="s">
        <v>463</v>
      </c>
      <c r="B479" s="1" t="s">
        <v>497</v>
      </c>
    </row>
    <row r="480" spans="1:2" x14ac:dyDescent="0.35">
      <c r="A480" s="1" t="s">
        <v>464</v>
      </c>
      <c r="B480" s="1" t="s">
        <v>502</v>
      </c>
    </row>
    <row r="481" spans="1:2" x14ac:dyDescent="0.35">
      <c r="A481" s="1" t="s">
        <v>570</v>
      </c>
      <c r="B481" s="1" t="s">
        <v>533</v>
      </c>
    </row>
    <row r="482" spans="1:2" x14ac:dyDescent="0.35">
      <c r="A482" s="1" t="s">
        <v>465</v>
      </c>
      <c r="B482" s="1" t="s">
        <v>498</v>
      </c>
    </row>
    <row r="483" spans="1:2" x14ac:dyDescent="0.35">
      <c r="A483" s="1" t="s">
        <v>466</v>
      </c>
      <c r="B483" s="1" t="s">
        <v>526</v>
      </c>
    </row>
    <row r="484" spans="1:2" x14ac:dyDescent="0.35">
      <c r="A484" s="1" t="s">
        <v>571</v>
      </c>
      <c r="B484" s="1" t="s">
        <v>500</v>
      </c>
    </row>
    <row r="485" spans="1:2" x14ac:dyDescent="0.35">
      <c r="A485" s="1" t="s">
        <v>467</v>
      </c>
      <c r="B485" s="1" t="s">
        <v>512</v>
      </c>
    </row>
    <row r="486" spans="1:2" x14ac:dyDescent="0.35">
      <c r="A486" s="1" t="s">
        <v>489</v>
      </c>
      <c r="B486" s="1" t="s">
        <v>524</v>
      </c>
    </row>
    <row r="487" spans="1:2" x14ac:dyDescent="0.35">
      <c r="A487" s="1" t="s">
        <v>468</v>
      </c>
      <c r="B487" s="1" t="s">
        <v>507</v>
      </c>
    </row>
    <row r="488" spans="1:2" x14ac:dyDescent="0.35">
      <c r="A488" s="1" t="s">
        <v>469</v>
      </c>
      <c r="B488" s="1" t="s">
        <v>517</v>
      </c>
    </row>
    <row r="489" spans="1:2" x14ac:dyDescent="0.35">
      <c r="A489" s="1" t="s">
        <v>470</v>
      </c>
      <c r="B489" s="1" t="s">
        <v>509</v>
      </c>
    </row>
    <row r="490" spans="1:2" x14ac:dyDescent="0.35">
      <c r="A490" s="1" t="s">
        <v>572</v>
      </c>
      <c r="B490" s="1" t="s">
        <v>533</v>
      </c>
    </row>
    <row r="491" spans="1:2" x14ac:dyDescent="0.35">
      <c r="A491" s="1" t="s">
        <v>471</v>
      </c>
      <c r="B491" s="1" t="s">
        <v>520</v>
      </c>
    </row>
    <row r="492" spans="1:2" x14ac:dyDescent="0.35">
      <c r="A492" s="1"/>
      <c r="B492" s="1"/>
    </row>
    <row r="493" spans="1:2" x14ac:dyDescent="0.35">
      <c r="A493" s="1"/>
      <c r="B493" s="1"/>
    </row>
    <row r="494" spans="1:2" x14ac:dyDescent="0.35">
      <c r="A494" s="1"/>
      <c r="B494" s="1"/>
    </row>
    <row r="495" spans="1:2" x14ac:dyDescent="0.35">
      <c r="A495" s="1"/>
      <c r="B495" s="1"/>
    </row>
    <row r="496" spans="1:2" x14ac:dyDescent="0.35">
      <c r="A496" s="1"/>
      <c r="B496" s="1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5FD3F5-F21A-4D2F-ABC9-1E12BC461DC2}">
  <sheetPr codeName="Sheet2"/>
  <dimension ref="A1:AN520"/>
  <sheetViews>
    <sheetView zoomScale="73" zoomScaleNormal="55" workbookViewId="0">
      <selection activeCell="E10" sqref="E10"/>
    </sheetView>
  </sheetViews>
  <sheetFormatPr defaultRowHeight="23.5" x14ac:dyDescent="0.55000000000000004"/>
  <cols>
    <col min="1" max="1" width="38.54296875" style="10" bestFit="1" customWidth="1"/>
    <col min="2" max="2" width="6.26953125" style="10" customWidth="1"/>
    <col min="3" max="3" width="8.453125" style="10" bestFit="1" customWidth="1"/>
    <col min="4" max="4" width="4.453125" style="11" bestFit="1" customWidth="1"/>
    <col min="5" max="6" width="7.7265625" style="11" bestFit="1" customWidth="1"/>
    <col min="7" max="7" width="9.36328125" style="11" bestFit="1" customWidth="1"/>
    <col min="8" max="8" width="6.08984375" style="11" customWidth="1"/>
    <col min="9" max="9" width="7.7265625" style="11" bestFit="1" customWidth="1"/>
    <col min="10" max="10" width="9.36328125" style="11" bestFit="1" customWidth="1"/>
    <col min="11" max="12" width="7.7265625" style="11" bestFit="1" customWidth="1"/>
    <col min="13" max="13" width="6.08984375" style="11" customWidth="1"/>
    <col min="14" max="14" width="6.26953125" style="11" customWidth="1"/>
    <col min="15" max="15" width="7.1796875" style="11" bestFit="1" customWidth="1"/>
    <col min="16" max="16" width="7.7265625" style="11" bestFit="1" customWidth="1"/>
    <col min="17" max="25" width="10.6328125" style="11" customWidth="1"/>
    <col min="26" max="26" width="10.6328125" style="12" customWidth="1"/>
    <col min="27" max="16384" width="8.7265625" style="9"/>
  </cols>
  <sheetData>
    <row r="1" spans="1:40" s="18" customFormat="1" ht="26" x14ac:dyDescent="0.35">
      <c r="A1" s="13" t="s">
        <v>0</v>
      </c>
      <c r="B1" s="14" t="s">
        <v>1</v>
      </c>
      <c r="C1" s="14" t="s">
        <v>2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6" t="s">
        <v>16</v>
      </c>
      <c r="Q1" s="17" t="s">
        <v>686</v>
      </c>
      <c r="R1" s="17" t="s">
        <v>687</v>
      </c>
      <c r="S1" s="17" t="s">
        <v>579</v>
      </c>
      <c r="T1" s="17" t="s">
        <v>576</v>
      </c>
      <c r="U1" s="17" t="s">
        <v>580</v>
      </c>
      <c r="V1" s="17" t="s">
        <v>575</v>
      </c>
      <c r="W1" s="17" t="s">
        <v>577</v>
      </c>
      <c r="X1" s="17" t="s">
        <v>578</v>
      </c>
      <c r="Y1" s="17" t="s">
        <v>581</v>
      </c>
      <c r="Z1" s="17" t="s">
        <v>688</v>
      </c>
    </row>
    <row r="2" spans="1:40" x14ac:dyDescent="0.55000000000000004">
      <c r="A2" t="s">
        <v>17</v>
      </c>
      <c r="B2" t="s">
        <v>18</v>
      </c>
      <c r="C2" t="s">
        <v>19</v>
      </c>
      <c r="D2">
        <v>58</v>
      </c>
      <c r="E2">
        <v>27</v>
      </c>
      <c r="F2">
        <v>7.6</v>
      </c>
      <c r="G2">
        <v>0.59099999999999997</v>
      </c>
      <c r="H2">
        <v>0</v>
      </c>
      <c r="I2">
        <v>3.2</v>
      </c>
      <c r="J2">
        <v>0.59</v>
      </c>
      <c r="K2">
        <v>9.4</v>
      </c>
      <c r="L2">
        <v>2.4</v>
      </c>
      <c r="M2">
        <v>0.9</v>
      </c>
      <c r="N2">
        <v>1.1000000000000001</v>
      </c>
      <c r="O2">
        <v>1.5</v>
      </c>
      <c r="P2">
        <v>10.9</v>
      </c>
      <c r="Q2" s="19">
        <f>(G2 - AVERAGE(FG_Range))*F2</f>
        <v>1.0025721739130438</v>
      </c>
      <c r="R2" s="19">
        <f>(J2 - AVERAGE(FT_RANGE))*I2</f>
        <v>-0.60446608695652204</v>
      </c>
      <c r="S2" s="19">
        <f>(H2 - AVERAGE(Three_Range))/STDEV(Three_Range)</f>
        <v>-1.6959060717352064</v>
      </c>
      <c r="T2" s="19">
        <f>(P2 - AVERAGE(Pts_Range))/STDEV(Pts_Range)</f>
        <v>-0.49804174817134578</v>
      </c>
      <c r="U2" s="19">
        <f>(K2 - AVERAGE(Reb_Range))/STDEV(Reb_Range)</f>
        <v>1.717091524983924</v>
      </c>
      <c r="V2" s="19">
        <f>(L2 - AVERAGE(Ast_Range))/STDEV(Ast_Range)</f>
        <v>-0.32837445388242958</v>
      </c>
      <c r="W2" s="19">
        <f>(M2 - AVERAGE(Stl_Range))/STDEV(Stl_Range)</f>
        <v>4.6951731605365706E-3</v>
      </c>
      <c r="X2" s="19">
        <f>(N2 - AVERAGE(Blk_Range))/STDEV(Blk_Range)</f>
        <v>1.1132045040104261</v>
      </c>
      <c r="Y2" s="19">
        <f>(O2 - AVERAGE(Tov_Range))/STDEV(Tov_Range)*-1</f>
        <v>0.22633990345204721</v>
      </c>
      <c r="Z2" s="19">
        <f>SUM(Q2:Y2)</f>
        <v>0.93711491877447395</v>
      </c>
      <c r="AA2"/>
      <c r="AB2"/>
      <c r="AC2"/>
      <c r="AD2"/>
      <c r="AE2"/>
      <c r="AF2"/>
      <c r="AG2"/>
      <c r="AH2"/>
      <c r="AI2"/>
      <c r="AJ2"/>
      <c r="AK2"/>
      <c r="AL2"/>
      <c r="AM2"/>
      <c r="AN2"/>
    </row>
    <row r="3" spans="1:40" x14ac:dyDescent="0.55000000000000004">
      <c r="A3" t="s">
        <v>20</v>
      </c>
      <c r="B3" t="s">
        <v>15</v>
      </c>
      <c r="C3" t="s">
        <v>21</v>
      </c>
      <c r="D3">
        <v>65</v>
      </c>
      <c r="E3">
        <v>34.4</v>
      </c>
      <c r="F3">
        <v>11.1</v>
      </c>
      <c r="G3">
        <v>0.56699999999999995</v>
      </c>
      <c r="H3">
        <v>0</v>
      </c>
      <c r="I3">
        <v>5.3</v>
      </c>
      <c r="J3">
        <v>0.69</v>
      </c>
      <c r="K3">
        <v>10.5</v>
      </c>
      <c r="L3">
        <v>5.0999999999999996</v>
      </c>
      <c r="M3">
        <v>1.2</v>
      </c>
      <c r="N3">
        <v>1.3</v>
      </c>
      <c r="O3">
        <v>2.8</v>
      </c>
      <c r="P3">
        <v>16.2</v>
      </c>
      <c r="Q3" s="19">
        <f>(G3 - AVERAGE(FG_Range))*F3</f>
        <v>1.1978830434782612</v>
      </c>
      <c r="R3" s="19">
        <f>(J3 - AVERAGE(FT_RANGE))*I3</f>
        <v>-0.47114695652173971</v>
      </c>
      <c r="S3" s="19">
        <f>(H3 - AVERAGE(Three_Range))/STDEV(Three_Range)</f>
        <v>-1.6959060717352064</v>
      </c>
      <c r="T3" s="19">
        <f>(P3 - AVERAGE(Pts_Range))/STDEV(Pts_Range)</f>
        <v>0.39424645144780479</v>
      </c>
      <c r="U3" s="19">
        <f>(K3 - AVERAGE(Reb_Range))/STDEV(Reb_Range)</f>
        <v>2.1553725538589568</v>
      </c>
      <c r="V3" s="19">
        <f>(L3 - AVERAGE(Ast_Range))/STDEV(Ast_Range)</f>
        <v>1.0292855718232179</v>
      </c>
      <c r="W3" s="19">
        <f>(M3 - AVERAGE(Stl_Range))/STDEV(Stl_Range)</f>
        <v>0.81461254335310984</v>
      </c>
      <c r="X3" s="19">
        <f>(N3 - AVERAGE(Blk_Range))/STDEV(Blk_Range)</f>
        <v>1.5083233866067194</v>
      </c>
      <c r="Y3" s="19">
        <f>(O3 - AVERAGE(Tov_Range))/STDEV(Tov_Range)*-1</f>
        <v>-1.2709085729232188</v>
      </c>
      <c r="Z3" s="19">
        <f t="shared" ref="Z3:Z66" si="0">SUM(Q3:Y3)</f>
        <v>3.6617619493879054</v>
      </c>
      <c r="AA3"/>
      <c r="AB3"/>
      <c r="AC3"/>
      <c r="AD3"/>
      <c r="AE3"/>
      <c r="AF3"/>
      <c r="AG3"/>
      <c r="AH3"/>
      <c r="AI3"/>
      <c r="AJ3"/>
      <c r="AK3"/>
      <c r="AL3"/>
      <c r="AM3"/>
      <c r="AN3"/>
    </row>
    <row r="4" spans="1:40" x14ac:dyDescent="0.55000000000000004">
      <c r="A4" t="s">
        <v>22</v>
      </c>
      <c r="B4" t="s">
        <v>18</v>
      </c>
      <c r="C4" t="s">
        <v>23</v>
      </c>
      <c r="D4">
        <v>53</v>
      </c>
      <c r="E4">
        <v>33.1</v>
      </c>
      <c r="F4">
        <v>15</v>
      </c>
      <c r="G4">
        <v>0.49299999999999999</v>
      </c>
      <c r="H4">
        <v>1.2</v>
      </c>
      <c r="I4">
        <v>3.6</v>
      </c>
      <c r="J4">
        <v>0.82699999999999996</v>
      </c>
      <c r="K4">
        <v>7.4</v>
      </c>
      <c r="L4">
        <v>2.4</v>
      </c>
      <c r="M4">
        <v>0.7</v>
      </c>
      <c r="N4">
        <v>1.6</v>
      </c>
      <c r="O4">
        <v>1.4</v>
      </c>
      <c r="P4">
        <v>18.899999999999999</v>
      </c>
      <c r="Q4" s="19">
        <f>(G4 - AVERAGE(FG_Range))*F4</f>
        <v>0.50876086956521849</v>
      </c>
      <c r="R4" s="19">
        <f>(J4 - AVERAGE(FT_RANGE))*I4</f>
        <v>0.1731756521739127</v>
      </c>
      <c r="S4" s="19">
        <f>(H4 - AVERAGE(Three_Range))/STDEV(Three_Range)</f>
        <v>-0.36502726650655393</v>
      </c>
      <c r="T4" s="19">
        <f>(P4 - AVERAGE(Pts_Range))/STDEV(Pts_Range)</f>
        <v>0.84880836446133434</v>
      </c>
      <c r="U4" s="19">
        <f>(K4 - AVERAGE(Reb_Range))/STDEV(Reb_Range)</f>
        <v>0.92021692702931901</v>
      </c>
      <c r="V4" s="19">
        <f>(L4 - AVERAGE(Ast_Range))/STDEV(Ast_Range)</f>
        <v>-0.32837445388242958</v>
      </c>
      <c r="W4" s="19">
        <f>(M4 - AVERAGE(Stl_Range))/STDEV(Stl_Range)</f>
        <v>-0.53524974030117922</v>
      </c>
      <c r="X4" s="19">
        <f>(N4 - AVERAGE(Blk_Range))/STDEV(Blk_Range)</f>
        <v>2.1010017105011594</v>
      </c>
      <c r="Y4" s="19">
        <f>(O4 - AVERAGE(Tov_Range))/STDEV(Tov_Range)*-1</f>
        <v>0.34151286317322166</v>
      </c>
      <c r="Z4" s="19">
        <f t="shared" si="0"/>
        <v>3.6648249262140027</v>
      </c>
      <c r="AA4"/>
      <c r="AB4"/>
      <c r="AC4"/>
      <c r="AD4"/>
      <c r="AE4"/>
      <c r="AF4"/>
      <c r="AG4"/>
      <c r="AH4"/>
      <c r="AI4"/>
      <c r="AJ4"/>
      <c r="AK4"/>
      <c r="AL4"/>
      <c r="AM4"/>
      <c r="AN4"/>
    </row>
    <row r="5" spans="1:40" x14ac:dyDescent="0.55000000000000004">
      <c r="A5" t="s">
        <v>29</v>
      </c>
      <c r="B5" t="s">
        <v>18</v>
      </c>
      <c r="C5" t="s">
        <v>30</v>
      </c>
      <c r="D5">
        <v>64</v>
      </c>
      <c r="E5">
        <v>25.7</v>
      </c>
      <c r="F5">
        <v>6.5</v>
      </c>
      <c r="G5">
        <v>0.64600000000000002</v>
      </c>
      <c r="H5">
        <v>0</v>
      </c>
      <c r="I5">
        <v>3.7</v>
      </c>
      <c r="J5">
        <v>0.62</v>
      </c>
      <c r="K5">
        <v>9.5</v>
      </c>
      <c r="L5">
        <v>1.3</v>
      </c>
      <c r="M5">
        <v>0.6</v>
      </c>
      <c r="N5">
        <v>1.3</v>
      </c>
      <c r="O5">
        <v>1.1000000000000001</v>
      </c>
      <c r="P5">
        <v>10.6</v>
      </c>
      <c r="Q5" s="19">
        <f>(G5 - AVERAGE(FG_Range))*F5</f>
        <v>1.2149630434782615</v>
      </c>
      <c r="R5" s="19">
        <f>(J5 - AVERAGE(FT_RANGE))*I5</f>
        <v>-0.58791391304347851</v>
      </c>
      <c r="S5" s="19">
        <f>(H5 - AVERAGE(Three_Range))/STDEV(Three_Range)</f>
        <v>-1.6959060717352064</v>
      </c>
      <c r="T5" s="19">
        <f>(P5 - AVERAGE(Pts_Range))/STDEV(Pts_Range)</f>
        <v>-0.54854862739507138</v>
      </c>
      <c r="U5" s="19">
        <f>(K5 - AVERAGE(Reb_Range))/STDEV(Reb_Range)</f>
        <v>1.7569352548816541</v>
      </c>
      <c r="V5" s="19">
        <f>(L5 - AVERAGE(Ast_Range))/STDEV(Ast_Range)</f>
        <v>-0.88149520509584145</v>
      </c>
      <c r="W5" s="19">
        <f>(M5 - AVERAGE(Stl_Range))/STDEV(Stl_Range)</f>
        <v>-0.80522219703203701</v>
      </c>
      <c r="X5" s="19">
        <f>(N5 - AVERAGE(Blk_Range))/STDEV(Blk_Range)</f>
        <v>1.5083233866067194</v>
      </c>
      <c r="Y5" s="19">
        <f>(O5 - AVERAGE(Tov_Range))/STDEV(Tov_Range)*-1</f>
        <v>0.68703174233674447</v>
      </c>
      <c r="Z5" s="19">
        <f t="shared" si="0"/>
        <v>0.64816741300174452</v>
      </c>
      <c r="AA5"/>
      <c r="AB5"/>
      <c r="AC5"/>
      <c r="AD5"/>
      <c r="AE5"/>
      <c r="AF5"/>
      <c r="AG5"/>
      <c r="AH5"/>
      <c r="AI5"/>
      <c r="AJ5"/>
      <c r="AK5"/>
      <c r="AL5"/>
      <c r="AM5"/>
      <c r="AN5"/>
    </row>
    <row r="6" spans="1:40" x14ac:dyDescent="0.55000000000000004">
      <c r="A6" t="s">
        <v>33</v>
      </c>
      <c r="B6" t="s">
        <v>15</v>
      </c>
      <c r="C6" t="s">
        <v>34</v>
      </c>
      <c r="D6">
        <v>18</v>
      </c>
      <c r="E6">
        <v>21.1</v>
      </c>
      <c r="F6">
        <v>4.8</v>
      </c>
      <c r="G6">
        <v>0.29099999999999998</v>
      </c>
      <c r="H6">
        <v>0.5</v>
      </c>
      <c r="I6">
        <v>1.6</v>
      </c>
      <c r="J6">
        <v>0.65500000000000003</v>
      </c>
      <c r="K6">
        <v>4.8</v>
      </c>
      <c r="L6">
        <v>1.2</v>
      </c>
      <c r="M6">
        <v>1</v>
      </c>
      <c r="N6">
        <v>0.4</v>
      </c>
      <c r="O6">
        <v>0.9</v>
      </c>
      <c r="P6">
        <v>4.3</v>
      </c>
      <c r="Q6" s="19">
        <f>(G6 - AVERAGE(FG_Range))*F6</f>
        <v>-0.80679652173913008</v>
      </c>
      <c r="R6" s="19">
        <f>(J6 - AVERAGE(FT_RANGE))*I6</f>
        <v>-0.19823304347826093</v>
      </c>
      <c r="S6" s="19">
        <f>(H6 - AVERAGE(Three_Range))/STDEV(Three_Range)</f>
        <v>-1.1413732362232678</v>
      </c>
      <c r="T6" s="19">
        <f>(P6 - AVERAGE(Pts_Range))/STDEV(Pts_Range)</f>
        <v>-1.6091930910933074</v>
      </c>
      <c r="U6" s="19">
        <f>(K6 - AVERAGE(Reb_Range))/STDEV(Reb_Range)</f>
        <v>-0.11572005031166759</v>
      </c>
      <c r="V6" s="19">
        <f>(L6 - AVERAGE(Ast_Range))/STDEV(Ast_Range)</f>
        <v>-0.93177890975160627</v>
      </c>
      <c r="W6" s="19">
        <f>(M6 - AVERAGE(Stl_Range))/STDEV(Stl_Range)</f>
        <v>0.27466762989139432</v>
      </c>
      <c r="X6" s="19">
        <f>(N6 - AVERAGE(Blk_Range))/STDEV(Blk_Range)</f>
        <v>-0.26971158507660031</v>
      </c>
      <c r="Y6" s="19">
        <f>(O6 - AVERAGE(Tov_Range))/STDEV(Tov_Range)*-1</f>
        <v>0.91737766177909319</v>
      </c>
      <c r="Z6" s="19">
        <f t="shared" si="0"/>
        <v>-3.880761146003354</v>
      </c>
      <c r="AA6"/>
      <c r="AB6"/>
      <c r="AC6"/>
      <c r="AD6"/>
      <c r="AE6"/>
      <c r="AF6"/>
      <c r="AG6"/>
      <c r="AH6"/>
      <c r="AI6"/>
      <c r="AJ6"/>
      <c r="AK6"/>
      <c r="AL6"/>
      <c r="AM6"/>
      <c r="AN6"/>
    </row>
    <row r="7" spans="1:40" x14ac:dyDescent="0.55000000000000004">
      <c r="A7" t="s">
        <v>38</v>
      </c>
      <c r="B7" t="s">
        <v>15</v>
      </c>
      <c r="C7" t="s">
        <v>39</v>
      </c>
      <c r="D7">
        <v>57</v>
      </c>
      <c r="E7">
        <v>30.9</v>
      </c>
      <c r="F7">
        <v>20</v>
      </c>
      <c r="G7">
        <v>0.54700000000000004</v>
      </c>
      <c r="H7">
        <v>1.5</v>
      </c>
      <c r="I7">
        <v>10</v>
      </c>
      <c r="J7">
        <v>0.63300000000000001</v>
      </c>
      <c r="K7">
        <v>13.7</v>
      </c>
      <c r="L7">
        <v>5.8</v>
      </c>
      <c r="M7">
        <v>1</v>
      </c>
      <c r="N7">
        <v>1</v>
      </c>
      <c r="O7">
        <v>3.7</v>
      </c>
      <c r="P7">
        <v>29.6</v>
      </c>
      <c r="Q7" s="19">
        <f>(G7 - AVERAGE(FG_Range))*F7</f>
        <v>1.7583478260869589</v>
      </c>
      <c r="R7" s="19">
        <f>(J7 - AVERAGE(FT_RANGE))*I7</f>
        <v>-1.4589565217391309</v>
      </c>
      <c r="S7" s="19">
        <f>(H7 - AVERAGE(Three_Range))/STDEV(Three_Range)</f>
        <v>-3.2307565199390695E-2</v>
      </c>
      <c r="T7" s="19">
        <f>(P7 - AVERAGE(Pts_Range))/STDEV(Pts_Range)</f>
        <v>2.650220390107545</v>
      </c>
      <c r="U7" s="19">
        <f>(K7 - AVERAGE(Reb_Range))/STDEV(Reb_Range)</f>
        <v>3.4303719105863242</v>
      </c>
      <c r="V7" s="19">
        <f>(L7 - AVERAGE(Ast_Range))/STDEV(Ast_Range)</f>
        <v>1.381271504413571</v>
      </c>
      <c r="W7" s="19">
        <f>(M7 - AVERAGE(Stl_Range))/STDEV(Stl_Range)</f>
        <v>0.27466762989139432</v>
      </c>
      <c r="X7" s="19">
        <f>(N7 - AVERAGE(Blk_Range))/STDEV(Blk_Range)</f>
        <v>0.91564506271227941</v>
      </c>
      <c r="Y7" s="19">
        <f>(O7 - AVERAGE(Tov_Range))/STDEV(Tov_Range)*-1</f>
        <v>-2.3074652104137883</v>
      </c>
      <c r="Z7" s="19">
        <f t="shared" si="0"/>
        <v>6.6117950264457637</v>
      </c>
      <c r="AA7"/>
      <c r="AB7"/>
      <c r="AC7"/>
      <c r="AD7"/>
      <c r="AE7"/>
      <c r="AF7"/>
      <c r="AG7"/>
      <c r="AH7"/>
      <c r="AI7"/>
      <c r="AJ7"/>
      <c r="AK7"/>
      <c r="AL7"/>
      <c r="AM7"/>
      <c r="AN7"/>
    </row>
    <row r="8" spans="1:40" x14ac:dyDescent="0.55000000000000004">
      <c r="A8" t="s">
        <v>43</v>
      </c>
      <c r="B8" t="s">
        <v>15</v>
      </c>
      <c r="C8" t="s">
        <v>44</v>
      </c>
      <c r="D8">
        <v>50</v>
      </c>
      <c r="E8">
        <v>32.5</v>
      </c>
      <c r="F8">
        <v>13.6</v>
      </c>
      <c r="G8">
        <v>0.42599999999999999</v>
      </c>
      <c r="H8">
        <v>1.4</v>
      </c>
      <c r="I8">
        <v>2.7</v>
      </c>
      <c r="J8">
        <v>0.84299999999999997</v>
      </c>
      <c r="K8">
        <v>6.3</v>
      </c>
      <c r="L8">
        <v>1.6</v>
      </c>
      <c r="M8">
        <v>0.8</v>
      </c>
      <c r="N8">
        <v>0.5</v>
      </c>
      <c r="O8">
        <v>1.7</v>
      </c>
      <c r="P8">
        <v>15.3</v>
      </c>
      <c r="Q8" s="19">
        <f>(G8 - AVERAGE(FG_Range))*F8</f>
        <v>-0.44992347826086859</v>
      </c>
      <c r="R8" s="19">
        <f>(J8 - AVERAGE(FT_RANGE))*I8</f>
        <v>0.17308173913043456</v>
      </c>
      <c r="S8" s="19">
        <f>(H8 - AVERAGE(Three_Range))/STDEV(Three_Range)</f>
        <v>-0.14321413230177851</v>
      </c>
      <c r="T8" s="19">
        <f>(P8 - AVERAGE(Pts_Range))/STDEV(Pts_Range)</f>
        <v>0.24272581377662847</v>
      </c>
      <c r="U8" s="19">
        <f>(K8 - AVERAGE(Reb_Range))/STDEV(Reb_Range)</f>
        <v>0.48193589815428611</v>
      </c>
      <c r="V8" s="19">
        <f>(L8 - AVERAGE(Ast_Range))/STDEV(Ast_Range)</f>
        <v>-0.73064409112854722</v>
      </c>
      <c r="W8" s="19">
        <f>(M8 - AVERAGE(Stl_Range))/STDEV(Stl_Range)</f>
        <v>-0.26527728357032115</v>
      </c>
      <c r="X8" s="19">
        <f>(N8 - AVERAGE(Blk_Range))/STDEV(Blk_Range)</f>
        <v>-7.2152143778453748E-2</v>
      </c>
      <c r="Y8" s="19">
        <f>(O8 - AVERAGE(Tov_Range))/STDEV(Tov_Range)*-1</f>
        <v>-4.006015990301386E-3</v>
      </c>
      <c r="Z8" s="19">
        <f t="shared" si="0"/>
        <v>-0.76747369396892162</v>
      </c>
      <c r="AA8"/>
      <c r="AB8"/>
      <c r="AC8"/>
      <c r="AD8"/>
      <c r="AE8"/>
      <c r="AF8"/>
      <c r="AG8"/>
      <c r="AH8"/>
      <c r="AI8"/>
      <c r="AJ8"/>
      <c r="AK8"/>
      <c r="AL8"/>
      <c r="AM8"/>
      <c r="AN8"/>
    </row>
    <row r="9" spans="1:40" x14ac:dyDescent="0.55000000000000004">
      <c r="A9" t="s">
        <v>646</v>
      </c>
      <c r="B9" t="s">
        <v>35</v>
      </c>
      <c r="C9" t="s">
        <v>45</v>
      </c>
      <c r="D9">
        <v>63</v>
      </c>
      <c r="E9">
        <v>30.1</v>
      </c>
      <c r="F9">
        <v>8.4</v>
      </c>
      <c r="G9">
        <v>0.50700000000000001</v>
      </c>
      <c r="H9">
        <v>1.3</v>
      </c>
      <c r="I9">
        <v>1.4</v>
      </c>
      <c r="J9">
        <v>0.68600000000000005</v>
      </c>
      <c r="K9">
        <v>5.4</v>
      </c>
      <c r="L9">
        <v>1.6</v>
      </c>
      <c r="M9">
        <v>1.4</v>
      </c>
      <c r="N9">
        <v>0.7</v>
      </c>
      <c r="O9">
        <v>1.2</v>
      </c>
      <c r="P9">
        <v>10.7</v>
      </c>
      <c r="Q9" s="19">
        <f>(G9 - AVERAGE(FG_Range))*F9</f>
        <v>0.40250608695652246</v>
      </c>
      <c r="R9" s="19">
        <f>(J9 - AVERAGE(FT_RANGE))*I9</f>
        <v>-0.13005391304347827</v>
      </c>
      <c r="S9" s="19">
        <f>(H9 - AVERAGE(Three_Range))/STDEV(Three_Range)</f>
        <v>-0.25412069940416609</v>
      </c>
      <c r="T9" s="19">
        <f>(P9 - AVERAGE(Pts_Range))/STDEV(Pts_Range)</f>
        <v>-0.53171300098716301</v>
      </c>
      <c r="U9" s="19">
        <f>(K9 - AVERAGE(Reb_Range))/STDEV(Reb_Range)</f>
        <v>0.12334232907471411</v>
      </c>
      <c r="V9" s="19">
        <f>(L9 - AVERAGE(Ast_Range))/STDEV(Ast_Range)</f>
        <v>-0.73064409112854722</v>
      </c>
      <c r="W9" s="19">
        <f>(M9 - AVERAGE(Stl_Range))/STDEV(Stl_Range)</f>
        <v>1.3545574568148253</v>
      </c>
      <c r="X9" s="19">
        <f>(N9 - AVERAGE(Blk_Range))/STDEV(Blk_Range)</f>
        <v>0.32296673881783944</v>
      </c>
      <c r="Y9" s="19">
        <f>(O9 - AVERAGE(Tov_Range))/STDEV(Tov_Range)*-1</f>
        <v>0.57185878261557022</v>
      </c>
      <c r="Z9" s="19">
        <f t="shared" si="0"/>
        <v>1.1286996897161172</v>
      </c>
      <c r="AA9"/>
      <c r="AB9"/>
      <c r="AC9"/>
      <c r="AD9"/>
      <c r="AE9"/>
      <c r="AF9"/>
      <c r="AG9"/>
      <c r="AH9"/>
      <c r="AI9"/>
      <c r="AJ9"/>
      <c r="AK9"/>
      <c r="AL9"/>
      <c r="AM9"/>
      <c r="AN9"/>
    </row>
    <row r="10" spans="1:40" x14ac:dyDescent="0.55000000000000004">
      <c r="A10" t="s">
        <v>49</v>
      </c>
      <c r="B10" t="s">
        <v>35</v>
      </c>
      <c r="C10" t="s">
        <v>44</v>
      </c>
      <c r="D10">
        <v>21</v>
      </c>
      <c r="E10">
        <v>33.4</v>
      </c>
      <c r="F10">
        <v>7.6</v>
      </c>
      <c r="G10">
        <v>0.49099999999999999</v>
      </c>
      <c r="H10">
        <v>1.6</v>
      </c>
      <c r="I10">
        <v>2.2000000000000002</v>
      </c>
      <c r="J10">
        <v>0.872</v>
      </c>
      <c r="K10">
        <v>4.8</v>
      </c>
      <c r="L10">
        <v>2</v>
      </c>
      <c r="M10">
        <v>1.6</v>
      </c>
      <c r="N10">
        <v>0.4</v>
      </c>
      <c r="O10">
        <v>1.3</v>
      </c>
      <c r="P10">
        <v>11</v>
      </c>
      <c r="Q10" s="19">
        <f>(G10 - AVERAGE(FG_Range))*F10</f>
        <v>0.242572173913044</v>
      </c>
      <c r="R10" s="19">
        <f>(J10 - AVERAGE(FT_RANGE))*I10</f>
        <v>0.20482956521739118</v>
      </c>
      <c r="S10" s="19">
        <f>(H10 - AVERAGE(Three_Range))/STDEV(Three_Range)</f>
        <v>7.8599001902997123E-2</v>
      </c>
      <c r="T10" s="19">
        <f>(P10 - AVERAGE(Pts_Range))/STDEV(Pts_Range)</f>
        <v>-0.48120612176343736</v>
      </c>
      <c r="U10" s="19">
        <f>(K10 - AVERAGE(Reb_Range))/STDEV(Reb_Range)</f>
        <v>-0.11572005031166759</v>
      </c>
      <c r="V10" s="19">
        <f>(L10 - AVERAGE(Ast_Range))/STDEV(Ast_Range)</f>
        <v>-0.5295092725054884</v>
      </c>
      <c r="W10" s="19">
        <f>(M10 - AVERAGE(Stl_Range))/STDEV(Stl_Range)</f>
        <v>1.8945023702765413</v>
      </c>
      <c r="X10" s="19">
        <f>(N10 - AVERAGE(Blk_Range))/STDEV(Blk_Range)</f>
        <v>-0.26971158507660031</v>
      </c>
      <c r="Y10" s="19">
        <f>(O10 - AVERAGE(Tov_Range))/STDEV(Tov_Range)*-1</f>
        <v>0.4566858228943958</v>
      </c>
      <c r="Z10" s="19">
        <f t="shared" si="0"/>
        <v>1.4810419045471757</v>
      </c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</row>
    <row r="11" spans="1:40" x14ac:dyDescent="0.55000000000000004">
      <c r="A11" t="s">
        <v>52</v>
      </c>
      <c r="B11" t="s">
        <v>47</v>
      </c>
      <c r="C11" t="s">
        <v>34</v>
      </c>
      <c r="D11">
        <v>49</v>
      </c>
      <c r="E11">
        <v>24.8</v>
      </c>
      <c r="F11">
        <v>8.1</v>
      </c>
      <c r="G11">
        <v>0.39300000000000002</v>
      </c>
      <c r="H11">
        <v>1.2</v>
      </c>
      <c r="I11">
        <v>3.2</v>
      </c>
      <c r="J11">
        <v>0.88500000000000001</v>
      </c>
      <c r="K11">
        <v>2.2000000000000002</v>
      </c>
      <c r="L11">
        <v>4.5999999999999996</v>
      </c>
      <c r="M11">
        <v>0.6</v>
      </c>
      <c r="N11">
        <v>0</v>
      </c>
      <c r="O11">
        <v>1.4</v>
      </c>
      <c r="P11">
        <v>10.4</v>
      </c>
      <c r="Q11" s="19">
        <f>(G11 - AVERAGE(FG_Range))*F11</f>
        <v>-0.53526913043478186</v>
      </c>
      <c r="R11" s="19">
        <f>(J11 - AVERAGE(FT_RANGE))*I11</f>
        <v>0.33953391304347813</v>
      </c>
      <c r="S11" s="19">
        <f>(H11 - AVERAGE(Three_Range))/STDEV(Three_Range)</f>
        <v>-0.36502726650655393</v>
      </c>
      <c r="T11" s="19">
        <f>(P11 - AVERAGE(Pts_Range))/STDEV(Pts_Range)</f>
        <v>-0.58221988021088833</v>
      </c>
      <c r="U11" s="19">
        <f>(K11 - AVERAGE(Reb_Range))/STDEV(Reb_Range)</f>
        <v>-1.1516570276526539</v>
      </c>
      <c r="V11" s="19">
        <f>(L11 - AVERAGE(Ast_Range))/STDEV(Ast_Range)</f>
        <v>0.77786704854439426</v>
      </c>
      <c r="W11" s="19">
        <f>(M11 - AVERAGE(Stl_Range))/STDEV(Stl_Range)</f>
        <v>-0.80522219703203701</v>
      </c>
      <c r="X11" s="19">
        <f>(N11 - AVERAGE(Blk_Range))/STDEV(Blk_Range)</f>
        <v>-1.0599493502691868</v>
      </c>
      <c r="Y11" s="19">
        <f>(O11 - AVERAGE(Tov_Range))/STDEV(Tov_Range)*-1</f>
        <v>0.34151286317322166</v>
      </c>
      <c r="Z11" s="19">
        <f t="shared" si="0"/>
        <v>-3.0404310273450079</v>
      </c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</row>
    <row r="12" spans="1:40" x14ac:dyDescent="0.55000000000000004">
      <c r="A12" t="s">
        <v>53</v>
      </c>
      <c r="B12" t="s">
        <v>18</v>
      </c>
      <c r="C12" t="s">
        <v>54</v>
      </c>
      <c r="D12">
        <v>30</v>
      </c>
      <c r="E12">
        <v>33.200000000000003</v>
      </c>
      <c r="F12">
        <v>15.5</v>
      </c>
      <c r="G12">
        <v>0.54800000000000004</v>
      </c>
      <c r="H12">
        <v>0</v>
      </c>
      <c r="I12">
        <v>2.6</v>
      </c>
      <c r="J12">
        <v>0.76900000000000002</v>
      </c>
      <c r="K12">
        <v>12</v>
      </c>
      <c r="L12">
        <v>1.9</v>
      </c>
      <c r="M12">
        <v>0.7</v>
      </c>
      <c r="N12">
        <v>1.7</v>
      </c>
      <c r="O12">
        <v>2.4</v>
      </c>
      <c r="P12">
        <v>19</v>
      </c>
      <c r="Q12" s="19">
        <f>(G12 - AVERAGE(FG_Range))*F12</f>
        <v>1.3782195652173932</v>
      </c>
      <c r="R12" s="19">
        <f>(J12 - AVERAGE(FT_RANGE))*I12</f>
        <v>-2.5728695652174016E-2</v>
      </c>
      <c r="S12" s="19">
        <f>(H12 - AVERAGE(Three_Range))/STDEV(Three_Range)</f>
        <v>-1.6959060717352064</v>
      </c>
      <c r="T12" s="19">
        <f>(P12 - AVERAGE(Pts_Range))/STDEV(Pts_Range)</f>
        <v>0.86564399086924304</v>
      </c>
      <c r="U12" s="19">
        <f>(K12 - AVERAGE(Reb_Range))/STDEV(Reb_Range)</f>
        <v>2.7530285023249101</v>
      </c>
      <c r="V12" s="19">
        <f>(L12 - AVERAGE(Ast_Range))/STDEV(Ast_Range)</f>
        <v>-0.57979297716125322</v>
      </c>
      <c r="W12" s="19">
        <f>(M12 - AVERAGE(Stl_Range))/STDEV(Stl_Range)</f>
        <v>-0.53524974030117922</v>
      </c>
      <c r="X12" s="19">
        <f>(N12 - AVERAGE(Blk_Range))/STDEV(Blk_Range)</f>
        <v>2.2985611517993059</v>
      </c>
      <c r="Y12" s="19">
        <f>(O12 - AVERAGE(Tov_Range))/STDEV(Tov_Range)*-1</f>
        <v>-0.81021673403852157</v>
      </c>
      <c r="Z12" s="19">
        <f t="shared" si="0"/>
        <v>3.6485589913225183</v>
      </c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</row>
    <row r="13" spans="1:40" x14ac:dyDescent="0.55000000000000004">
      <c r="A13" t="s">
        <v>58</v>
      </c>
      <c r="B13" t="s">
        <v>47</v>
      </c>
      <c r="C13" t="s">
        <v>26</v>
      </c>
      <c r="D13">
        <v>56</v>
      </c>
      <c r="E13">
        <v>32.4</v>
      </c>
      <c r="F13">
        <v>11.2</v>
      </c>
      <c r="G13">
        <v>0.41199999999999998</v>
      </c>
      <c r="H13">
        <v>2.5</v>
      </c>
      <c r="I13">
        <v>1.2</v>
      </c>
      <c r="J13">
        <v>0.56699999999999995</v>
      </c>
      <c r="K13">
        <v>6.2</v>
      </c>
      <c r="L13">
        <v>7</v>
      </c>
      <c r="M13">
        <v>1.4</v>
      </c>
      <c r="N13">
        <v>0.5</v>
      </c>
      <c r="O13">
        <v>3.1</v>
      </c>
      <c r="P13">
        <v>12.4</v>
      </c>
      <c r="Q13" s="19">
        <f>(G13 - AVERAGE(FG_Range))*F13</f>
        <v>-0.52732521739130367</v>
      </c>
      <c r="R13" s="19">
        <f>(J13 - AVERAGE(FT_RANGE))*I13</f>
        <v>-0.25427478260869579</v>
      </c>
      <c r="S13" s="19">
        <f>(H13 - AVERAGE(Three_Range))/STDEV(Three_Range)</f>
        <v>1.0767581058244864</v>
      </c>
      <c r="T13" s="19">
        <f>(P13 - AVERAGE(Pts_Range))/STDEV(Pts_Range)</f>
        <v>-0.2455073520527182</v>
      </c>
      <c r="U13" s="19">
        <f>(K13 - AVERAGE(Reb_Range))/STDEV(Reb_Range)</f>
        <v>0.44209216825655601</v>
      </c>
      <c r="V13" s="19">
        <f>(L13 - AVERAGE(Ast_Range))/STDEV(Ast_Range)</f>
        <v>1.9846759602827477</v>
      </c>
      <c r="W13" s="19">
        <f>(M13 - AVERAGE(Stl_Range))/STDEV(Stl_Range)</f>
        <v>1.3545574568148253</v>
      </c>
      <c r="X13" s="19">
        <f>(N13 - AVERAGE(Blk_Range))/STDEV(Blk_Range)</f>
        <v>-7.2152143778453748E-2</v>
      </c>
      <c r="Y13" s="19">
        <f>(O13 - AVERAGE(Tov_Range))/STDEV(Tov_Range)*-1</f>
        <v>-1.6164274520867421</v>
      </c>
      <c r="Z13" s="19">
        <f t="shared" si="0"/>
        <v>2.1423967432607021</v>
      </c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</row>
    <row r="14" spans="1:40" x14ac:dyDescent="0.55000000000000004">
      <c r="A14" t="s">
        <v>61</v>
      </c>
      <c r="B14" t="s">
        <v>15</v>
      </c>
      <c r="C14" t="s">
        <v>51</v>
      </c>
      <c r="D14">
        <v>64</v>
      </c>
      <c r="E14">
        <v>34.9</v>
      </c>
      <c r="F14">
        <v>11.1</v>
      </c>
      <c r="G14">
        <v>0.45900000000000002</v>
      </c>
      <c r="H14">
        <v>1.5</v>
      </c>
      <c r="I14">
        <v>3.8</v>
      </c>
      <c r="J14">
        <v>0.80300000000000005</v>
      </c>
      <c r="K14">
        <v>4.8</v>
      </c>
      <c r="L14">
        <v>2.4</v>
      </c>
      <c r="M14">
        <v>0.6</v>
      </c>
      <c r="N14">
        <v>0.2</v>
      </c>
      <c r="O14">
        <v>1.3</v>
      </c>
      <c r="P14">
        <v>14.7</v>
      </c>
      <c r="Q14" s="19">
        <f>(G14 - AVERAGE(FG_Range))*F14</f>
        <v>-9.1695652173803821E-4</v>
      </c>
      <c r="R14" s="19">
        <f>(J14 - AVERAGE(FT_RANGE))*I14</f>
        <v>9.1596521739130396E-2</v>
      </c>
      <c r="S14" s="19">
        <f>(H14 - AVERAGE(Three_Range))/STDEV(Three_Range)</f>
        <v>-3.2307565199390695E-2</v>
      </c>
      <c r="T14" s="19">
        <f>(P14 - AVERAGE(Pts_Range))/STDEV(Pts_Range)</f>
        <v>0.14171205532917722</v>
      </c>
      <c r="U14" s="19">
        <f>(K14 - AVERAGE(Reb_Range))/STDEV(Reb_Range)</f>
        <v>-0.11572005031166759</v>
      </c>
      <c r="V14" s="19">
        <f>(L14 - AVERAGE(Ast_Range))/STDEV(Ast_Range)</f>
        <v>-0.32837445388242958</v>
      </c>
      <c r="W14" s="19">
        <f>(M14 - AVERAGE(Stl_Range))/STDEV(Stl_Range)</f>
        <v>-0.80522219703203701</v>
      </c>
      <c r="X14" s="19">
        <f>(N14 - AVERAGE(Blk_Range))/STDEV(Blk_Range)</f>
        <v>-0.66483046767289355</v>
      </c>
      <c r="Y14" s="19">
        <f>(O14 - AVERAGE(Tov_Range))/STDEV(Tov_Range)*-1</f>
        <v>0.4566858228943958</v>
      </c>
      <c r="Z14" s="19">
        <f t="shared" si="0"/>
        <v>-1.2573772906574532</v>
      </c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</row>
    <row r="15" spans="1:40" x14ac:dyDescent="0.55000000000000004">
      <c r="A15" t="s">
        <v>648</v>
      </c>
      <c r="B15" t="s">
        <v>25</v>
      </c>
      <c r="C15" t="s">
        <v>32</v>
      </c>
      <c r="D15">
        <v>56</v>
      </c>
      <c r="E15">
        <v>30.4</v>
      </c>
      <c r="F15">
        <v>13</v>
      </c>
      <c r="G15">
        <v>0.40200000000000002</v>
      </c>
      <c r="H15">
        <v>1.1000000000000001</v>
      </c>
      <c r="I15">
        <v>4.5</v>
      </c>
      <c r="J15">
        <v>0.61399999999999999</v>
      </c>
      <c r="K15">
        <v>5</v>
      </c>
      <c r="L15">
        <v>2.6</v>
      </c>
      <c r="M15">
        <v>1</v>
      </c>
      <c r="N15">
        <v>0.3</v>
      </c>
      <c r="O15">
        <v>2.2000000000000002</v>
      </c>
      <c r="P15">
        <v>14.3</v>
      </c>
      <c r="Q15" s="19">
        <f>(G15 - AVERAGE(FG_Range))*F15</f>
        <v>-0.74207391304347692</v>
      </c>
      <c r="R15" s="19">
        <f>(J15 - AVERAGE(FT_RANGE))*I15</f>
        <v>-0.74203043478260899</v>
      </c>
      <c r="S15" s="19">
        <f>(H15 - AVERAGE(Three_Range))/STDEV(Three_Range)</f>
        <v>-0.47593383360894148</v>
      </c>
      <c r="T15" s="19">
        <f>(P15 - AVERAGE(Pts_Range))/STDEV(Pts_Range)</f>
        <v>7.4369549697543433E-2</v>
      </c>
      <c r="U15" s="19">
        <f>(K15 - AVERAGE(Reb_Range))/STDEV(Reb_Range)</f>
        <v>-3.6032590516207025E-2</v>
      </c>
      <c r="V15" s="19">
        <f>(L15 - AVERAGE(Ast_Range))/STDEV(Ast_Range)</f>
        <v>-0.22780704457090004</v>
      </c>
      <c r="W15" s="19">
        <f>(M15 - AVERAGE(Stl_Range))/STDEV(Stl_Range)</f>
        <v>0.27466762989139432</v>
      </c>
      <c r="X15" s="19">
        <f>(N15 - AVERAGE(Blk_Range))/STDEV(Blk_Range)</f>
        <v>-0.46727102637474699</v>
      </c>
      <c r="Y15" s="19">
        <f>(O15 - AVERAGE(Tov_Range))/STDEV(Tov_Range)*-1</f>
        <v>-0.57987081459617329</v>
      </c>
      <c r="Z15" s="19">
        <f t="shared" si="0"/>
        <v>-2.921982477904117</v>
      </c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</row>
    <row r="16" spans="1:40" x14ac:dyDescent="0.55000000000000004">
      <c r="A16" t="s">
        <v>62</v>
      </c>
      <c r="B16" t="s">
        <v>35</v>
      </c>
      <c r="C16" t="s">
        <v>63</v>
      </c>
      <c r="D16">
        <v>58</v>
      </c>
      <c r="E16">
        <v>33</v>
      </c>
      <c r="F16">
        <v>12.7</v>
      </c>
      <c r="G16">
        <v>0.45</v>
      </c>
      <c r="H16">
        <v>1.9</v>
      </c>
      <c r="I16">
        <v>2.2999999999999998</v>
      </c>
      <c r="J16">
        <v>0.76700000000000002</v>
      </c>
      <c r="K16">
        <v>6.3</v>
      </c>
      <c r="L16">
        <v>3.7</v>
      </c>
      <c r="M16">
        <v>1.1000000000000001</v>
      </c>
      <c r="N16">
        <v>0.5</v>
      </c>
      <c r="O16">
        <v>1.5</v>
      </c>
      <c r="P16">
        <v>15.1</v>
      </c>
      <c r="Q16" s="19">
        <f>(G16 - AVERAGE(FG_Range))*F16</f>
        <v>-0.11534913043478146</v>
      </c>
      <c r="R16" s="19">
        <f>(J16 - AVERAGE(FT_RANGE))*I16</f>
        <v>-2.7360000000000093E-2</v>
      </c>
      <c r="S16" s="19">
        <f>(H16 - AVERAGE(Three_Range))/STDEV(Three_Range)</f>
        <v>0.41131870321016006</v>
      </c>
      <c r="T16" s="19">
        <f>(P16 - AVERAGE(Pts_Range))/STDEV(Pts_Range)</f>
        <v>0.20905456096081129</v>
      </c>
      <c r="U16" s="19">
        <f>(K16 - AVERAGE(Reb_Range))/STDEV(Reb_Range)</f>
        <v>0.48193589815428611</v>
      </c>
      <c r="V16" s="19">
        <f>(L16 - AVERAGE(Ast_Range))/STDEV(Ast_Range)</f>
        <v>0.32531370664251197</v>
      </c>
      <c r="W16" s="19">
        <f>(M16 - AVERAGE(Stl_Range))/STDEV(Stl_Range)</f>
        <v>0.54464008662225238</v>
      </c>
      <c r="X16" s="19">
        <f>(N16 - AVERAGE(Blk_Range))/STDEV(Blk_Range)</f>
        <v>-7.2152143778453748E-2</v>
      </c>
      <c r="Y16" s="19">
        <f>(O16 - AVERAGE(Tov_Range))/STDEV(Tov_Range)*-1</f>
        <v>0.22633990345204721</v>
      </c>
      <c r="Z16" s="19">
        <f t="shared" si="0"/>
        <v>1.9837415848288338</v>
      </c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</row>
    <row r="17" spans="1:40" x14ac:dyDescent="0.55000000000000004">
      <c r="A17" t="s">
        <v>66</v>
      </c>
      <c r="B17" t="s">
        <v>35</v>
      </c>
      <c r="C17" t="s">
        <v>56</v>
      </c>
      <c r="D17">
        <v>22</v>
      </c>
      <c r="E17">
        <v>23</v>
      </c>
      <c r="F17">
        <v>3.7</v>
      </c>
      <c r="G17">
        <v>0.34599999999999997</v>
      </c>
      <c r="H17">
        <v>0.6</v>
      </c>
      <c r="I17">
        <v>0.5</v>
      </c>
      <c r="J17">
        <v>0.9</v>
      </c>
      <c r="K17">
        <v>4.5</v>
      </c>
      <c r="L17">
        <v>3</v>
      </c>
      <c r="M17">
        <v>0.8</v>
      </c>
      <c r="N17">
        <v>0.4</v>
      </c>
      <c r="O17">
        <v>1</v>
      </c>
      <c r="P17">
        <v>3.6</v>
      </c>
      <c r="Q17" s="19">
        <f>(G17 - AVERAGE(FG_Range))*F17</f>
        <v>-0.41840565217391285</v>
      </c>
      <c r="R17" s="19">
        <f>(J17 - AVERAGE(FT_RANGE))*I17</f>
        <v>6.0552173913043461E-2</v>
      </c>
      <c r="S17" s="19">
        <f>(H17 - AVERAGE(Three_Range))/STDEV(Three_Range)</f>
        <v>-1.0304666691208801</v>
      </c>
      <c r="T17" s="19">
        <f>(P17 - AVERAGE(Pts_Range))/STDEV(Pts_Range)</f>
        <v>-1.7270424759486667</v>
      </c>
      <c r="U17" s="19">
        <f>(K17 - AVERAGE(Reb_Range))/STDEV(Reb_Range)</f>
        <v>-0.23525124000485825</v>
      </c>
      <c r="V17" s="19">
        <f>(L17 - AVERAGE(Ast_Range))/STDEV(Ast_Range)</f>
        <v>-2.6672225947841181E-2</v>
      </c>
      <c r="W17" s="19">
        <f>(M17 - AVERAGE(Stl_Range))/STDEV(Stl_Range)</f>
        <v>-0.26527728357032115</v>
      </c>
      <c r="X17" s="19">
        <f>(N17 - AVERAGE(Blk_Range))/STDEV(Blk_Range)</f>
        <v>-0.26971158507660031</v>
      </c>
      <c r="Y17" s="19">
        <f>(O17 - AVERAGE(Tov_Range))/STDEV(Tov_Range)*-1</f>
        <v>0.80220470205791883</v>
      </c>
      <c r="Z17" s="19">
        <f t="shared" si="0"/>
        <v>-3.1100702558721176</v>
      </c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</row>
    <row r="18" spans="1:40" x14ac:dyDescent="0.55000000000000004">
      <c r="A18" t="s">
        <v>67</v>
      </c>
      <c r="B18" t="s">
        <v>18</v>
      </c>
      <c r="C18" t="s">
        <v>54</v>
      </c>
      <c r="D18">
        <v>42</v>
      </c>
      <c r="E18">
        <v>22.2</v>
      </c>
      <c r="F18">
        <v>9.1</v>
      </c>
      <c r="G18">
        <v>0.48</v>
      </c>
      <c r="H18">
        <v>1.4</v>
      </c>
      <c r="I18">
        <v>1.8</v>
      </c>
      <c r="J18">
        <v>0.747</v>
      </c>
      <c r="K18">
        <v>5.6</v>
      </c>
      <c r="L18">
        <v>1.6</v>
      </c>
      <c r="M18">
        <v>0.2</v>
      </c>
      <c r="N18">
        <v>0.5</v>
      </c>
      <c r="O18">
        <v>1.2</v>
      </c>
      <c r="P18">
        <v>11.5</v>
      </c>
      <c r="Q18" s="19">
        <f>(G18 - AVERAGE(FG_Range))*F18</f>
        <v>0.19034826086956577</v>
      </c>
      <c r="R18" s="19">
        <f>(J18 - AVERAGE(FT_RANGE))*I18</f>
        <v>-5.7412173913043589E-2</v>
      </c>
      <c r="S18" s="19">
        <f>(H18 - AVERAGE(Three_Range))/STDEV(Three_Range)</f>
        <v>-0.14321413230177851</v>
      </c>
      <c r="T18" s="19">
        <f>(P18 - AVERAGE(Pts_Range))/STDEV(Pts_Range)</f>
        <v>-0.3970279897238948</v>
      </c>
      <c r="U18" s="19">
        <f>(K18 - AVERAGE(Reb_Range))/STDEV(Reb_Range)</f>
        <v>0.20302978887017431</v>
      </c>
      <c r="V18" s="19">
        <f>(L18 - AVERAGE(Ast_Range))/STDEV(Ast_Range)</f>
        <v>-0.73064409112854722</v>
      </c>
      <c r="W18" s="19">
        <f>(M18 - AVERAGE(Stl_Range))/STDEV(Stl_Range)</f>
        <v>-1.8851120239554682</v>
      </c>
      <c r="X18" s="19">
        <f>(N18 - AVERAGE(Blk_Range))/STDEV(Blk_Range)</f>
        <v>-7.2152143778453748E-2</v>
      </c>
      <c r="Y18" s="19">
        <f>(O18 - AVERAGE(Tov_Range))/STDEV(Tov_Range)*-1</f>
        <v>0.57185878261557022</v>
      </c>
      <c r="Z18" s="19">
        <f t="shared" si="0"/>
        <v>-2.3203257224458755</v>
      </c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</row>
    <row r="19" spans="1:40" x14ac:dyDescent="0.55000000000000004">
      <c r="A19" t="s">
        <v>68</v>
      </c>
      <c r="B19" t="s">
        <v>25</v>
      </c>
      <c r="C19" t="s">
        <v>51</v>
      </c>
      <c r="D19">
        <v>21</v>
      </c>
      <c r="E19">
        <v>23.5</v>
      </c>
      <c r="F19">
        <v>8</v>
      </c>
      <c r="G19">
        <v>0.42599999999999999</v>
      </c>
      <c r="H19">
        <v>1</v>
      </c>
      <c r="I19">
        <v>3.3</v>
      </c>
      <c r="J19">
        <v>0.72899999999999998</v>
      </c>
      <c r="K19">
        <v>5</v>
      </c>
      <c r="L19">
        <v>1.1000000000000001</v>
      </c>
      <c r="M19">
        <v>1.2</v>
      </c>
      <c r="N19">
        <v>0.4</v>
      </c>
      <c r="O19">
        <v>1.2</v>
      </c>
      <c r="P19">
        <v>10.3</v>
      </c>
      <c r="Q19" s="19">
        <f>(G19 - AVERAGE(FG_Range))*F19</f>
        <v>-0.26466086956521684</v>
      </c>
      <c r="R19" s="19">
        <f>(J19 - AVERAGE(FT_RANGE))*I19</f>
        <v>-0.16465565217391329</v>
      </c>
      <c r="S19" s="19">
        <f>(H19 - AVERAGE(Three_Range))/STDEV(Three_Range)</f>
        <v>-0.58684040071132926</v>
      </c>
      <c r="T19" s="19">
        <f>(P19 - AVERAGE(Pts_Range))/STDEV(Pts_Range)</f>
        <v>-0.59905550661879681</v>
      </c>
      <c r="U19" s="19">
        <f>(K19 - AVERAGE(Reb_Range))/STDEV(Reb_Range)</f>
        <v>-3.6032590516207025E-2</v>
      </c>
      <c r="V19" s="19">
        <f>(L19 - AVERAGE(Ast_Range))/STDEV(Ast_Range)</f>
        <v>-0.98206261440737086</v>
      </c>
      <c r="W19" s="19">
        <f>(M19 - AVERAGE(Stl_Range))/STDEV(Stl_Range)</f>
        <v>0.81461254335310984</v>
      </c>
      <c r="X19" s="19">
        <f>(N19 - AVERAGE(Blk_Range))/STDEV(Blk_Range)</f>
        <v>-0.26971158507660031</v>
      </c>
      <c r="Y19" s="19">
        <f>(O19 - AVERAGE(Tov_Range))/STDEV(Tov_Range)*-1</f>
        <v>0.57185878261557022</v>
      </c>
      <c r="Z19" s="19">
        <f t="shared" si="0"/>
        <v>-1.5165478931007543</v>
      </c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</row>
    <row r="20" spans="1:40" x14ac:dyDescent="0.55000000000000004">
      <c r="A20" t="s">
        <v>71</v>
      </c>
      <c r="B20" t="s">
        <v>25</v>
      </c>
      <c r="C20" t="s">
        <v>72</v>
      </c>
      <c r="D20">
        <v>57</v>
      </c>
      <c r="E20">
        <v>36</v>
      </c>
      <c r="F20">
        <v>22.9</v>
      </c>
      <c r="G20">
        <v>0.45500000000000002</v>
      </c>
      <c r="H20">
        <v>3</v>
      </c>
      <c r="I20">
        <v>8</v>
      </c>
      <c r="J20">
        <v>0.84199999999999997</v>
      </c>
      <c r="K20">
        <v>4.2</v>
      </c>
      <c r="L20">
        <v>6.1</v>
      </c>
      <c r="M20">
        <v>1.2</v>
      </c>
      <c r="N20">
        <v>0.4</v>
      </c>
      <c r="O20">
        <v>3.4</v>
      </c>
      <c r="P20">
        <v>30.5</v>
      </c>
      <c r="Q20" s="19">
        <f>(G20 - AVERAGE(FG_Range))*F20</f>
        <v>-9.34917391304326E-2</v>
      </c>
      <c r="R20" s="19">
        <f>(J20 - AVERAGE(FT_RANGE))*I20</f>
        <v>0.50483478260869497</v>
      </c>
      <c r="S20" s="19">
        <f>(H20 - AVERAGE(Three_Range))/STDEV(Three_Range)</f>
        <v>1.6312909413364252</v>
      </c>
      <c r="T20" s="19">
        <f>(P20 - AVERAGE(Pts_Range))/STDEV(Pts_Range)</f>
        <v>2.8017410277787209</v>
      </c>
      <c r="U20" s="19">
        <f>(K20 - AVERAGE(Reb_Range))/STDEV(Reb_Range)</f>
        <v>-0.35478242969804891</v>
      </c>
      <c r="V20" s="19">
        <f>(L20 - AVERAGE(Ast_Range))/STDEV(Ast_Range)</f>
        <v>1.5321226183808652</v>
      </c>
      <c r="W20" s="19">
        <f>(M20 - AVERAGE(Stl_Range))/STDEV(Stl_Range)</f>
        <v>0.81461254335310984</v>
      </c>
      <c r="X20" s="19">
        <f>(N20 - AVERAGE(Blk_Range))/STDEV(Blk_Range)</f>
        <v>-0.26971158507660031</v>
      </c>
      <c r="Y20" s="19">
        <f>(O20 - AVERAGE(Tov_Range))/STDEV(Tov_Range)*-1</f>
        <v>-1.961946331250265</v>
      </c>
      <c r="Z20" s="19">
        <f t="shared" si="0"/>
        <v>4.6046698283024687</v>
      </c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</row>
    <row r="21" spans="1:40" x14ac:dyDescent="0.55000000000000004">
      <c r="A21" t="s">
        <v>73</v>
      </c>
      <c r="B21" t="s">
        <v>25</v>
      </c>
      <c r="C21" t="s">
        <v>65</v>
      </c>
      <c r="D21">
        <v>14</v>
      </c>
      <c r="E21">
        <v>33.1</v>
      </c>
      <c r="F21">
        <v>16.600000000000001</v>
      </c>
      <c r="G21">
        <v>0.47199999999999998</v>
      </c>
      <c r="H21">
        <v>3.5</v>
      </c>
      <c r="I21">
        <v>2</v>
      </c>
      <c r="J21">
        <v>0.75</v>
      </c>
      <c r="K21">
        <v>5.0999999999999996</v>
      </c>
      <c r="L21">
        <v>1.9</v>
      </c>
      <c r="M21">
        <v>0.6</v>
      </c>
      <c r="N21">
        <v>0.1</v>
      </c>
      <c r="O21">
        <v>1.5</v>
      </c>
      <c r="P21">
        <v>20.7</v>
      </c>
      <c r="Q21" s="19">
        <f>(G21 - AVERAGE(FG_Range))*F21</f>
        <v>0.21442869565217484</v>
      </c>
      <c r="R21" s="19">
        <f>(J21 - AVERAGE(FT_RANGE))*I21</f>
        <v>-5.77913043478262E-2</v>
      </c>
      <c r="S21" s="19">
        <f>(H21 - AVERAGE(Three_Range))/STDEV(Three_Range)</f>
        <v>2.1858237768483635</v>
      </c>
      <c r="T21" s="19">
        <f>(P21 - AVERAGE(Pts_Range))/STDEV(Pts_Range)</f>
        <v>1.1518496398036875</v>
      </c>
      <c r="U21" s="19">
        <f>(K21 - AVERAGE(Reb_Range))/STDEV(Reb_Range)</f>
        <v>3.8111393815230808E-3</v>
      </c>
      <c r="V21" s="19">
        <f>(L21 - AVERAGE(Ast_Range))/STDEV(Ast_Range)</f>
        <v>-0.57979297716125322</v>
      </c>
      <c r="W21" s="19">
        <f>(M21 - AVERAGE(Stl_Range))/STDEV(Stl_Range)</f>
        <v>-0.80522219703203701</v>
      </c>
      <c r="X21" s="19">
        <f>(N21 - AVERAGE(Blk_Range))/STDEV(Blk_Range)</f>
        <v>-0.86238990897104029</v>
      </c>
      <c r="Y21" s="19">
        <f>(O21 - AVERAGE(Tov_Range))/STDEV(Tov_Range)*-1</f>
        <v>0.22633990345204721</v>
      </c>
      <c r="Z21" s="19">
        <f t="shared" si="0"/>
        <v>1.4770567676256399</v>
      </c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</row>
    <row r="22" spans="1:40" x14ac:dyDescent="0.55000000000000004">
      <c r="A22" t="s">
        <v>76</v>
      </c>
      <c r="B22" t="s">
        <v>25</v>
      </c>
      <c r="C22" t="s">
        <v>77</v>
      </c>
      <c r="D22">
        <v>43</v>
      </c>
      <c r="E22">
        <v>21.3</v>
      </c>
      <c r="F22">
        <v>5.3</v>
      </c>
      <c r="G22">
        <v>0.45600000000000002</v>
      </c>
      <c r="H22">
        <v>0.3</v>
      </c>
      <c r="I22">
        <v>1.1000000000000001</v>
      </c>
      <c r="J22">
        <v>0.54200000000000004</v>
      </c>
      <c r="K22">
        <v>3.5</v>
      </c>
      <c r="L22">
        <v>1.9</v>
      </c>
      <c r="M22">
        <v>1.3</v>
      </c>
      <c r="N22">
        <v>0.4</v>
      </c>
      <c r="O22">
        <v>1.4</v>
      </c>
      <c r="P22">
        <v>5.8</v>
      </c>
      <c r="Q22" s="19">
        <f>(G22 - AVERAGE(FG_Range))*F22</f>
        <v>-1.6337826086956015E-2</v>
      </c>
      <c r="R22" s="19">
        <f>(J22 - AVERAGE(FT_RANGE))*I22</f>
        <v>-0.26058521739130441</v>
      </c>
      <c r="S22" s="19">
        <f>(H22 - AVERAGE(Three_Range))/STDEV(Three_Range)</f>
        <v>-1.3631863704280434</v>
      </c>
      <c r="T22" s="19">
        <f>(P22 - AVERAGE(Pts_Range))/STDEV(Pts_Range)</f>
        <v>-1.3566586949746797</v>
      </c>
      <c r="U22" s="19">
        <f>(K22 - AVERAGE(Reb_Range))/STDEV(Reb_Range)</f>
        <v>-0.63368853898216071</v>
      </c>
      <c r="V22" s="19">
        <f>(L22 - AVERAGE(Ast_Range))/STDEV(Ast_Range)</f>
        <v>-0.57979297716125322</v>
      </c>
      <c r="W22" s="19">
        <f>(M22 - AVERAGE(Stl_Range))/STDEV(Stl_Range)</f>
        <v>1.0845850000839679</v>
      </c>
      <c r="X22" s="19">
        <f>(N22 - AVERAGE(Blk_Range))/STDEV(Blk_Range)</f>
        <v>-0.26971158507660031</v>
      </c>
      <c r="Y22" s="19">
        <f>(O22 - AVERAGE(Tov_Range))/STDEV(Tov_Range)*-1</f>
        <v>0.34151286317322166</v>
      </c>
      <c r="Z22" s="19">
        <f t="shared" si="0"/>
        <v>-3.0538633468438086</v>
      </c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</row>
    <row r="23" spans="1:40" x14ac:dyDescent="0.55000000000000004">
      <c r="A23" t="s">
        <v>649</v>
      </c>
      <c r="B23" t="s">
        <v>15</v>
      </c>
      <c r="C23" t="s">
        <v>72</v>
      </c>
      <c r="D23">
        <v>54</v>
      </c>
      <c r="E23">
        <v>29.3</v>
      </c>
      <c r="F23">
        <v>11.3</v>
      </c>
      <c r="G23">
        <v>0.434</v>
      </c>
      <c r="H23">
        <v>3.7</v>
      </c>
      <c r="I23">
        <v>2.2999999999999998</v>
      </c>
      <c r="J23">
        <v>0.85199999999999998</v>
      </c>
      <c r="K23">
        <v>4.5</v>
      </c>
      <c r="L23">
        <v>1.7</v>
      </c>
      <c r="M23">
        <v>0.7</v>
      </c>
      <c r="N23">
        <v>0.6</v>
      </c>
      <c r="O23">
        <v>1.1000000000000001</v>
      </c>
      <c r="P23">
        <v>15.4</v>
      </c>
      <c r="Q23" s="19">
        <f>(G23 - AVERAGE(FG_Range))*F23</f>
        <v>-0.28343347826086873</v>
      </c>
      <c r="R23" s="19">
        <f>(J23 - AVERAGE(FT_RANGE))*I23</f>
        <v>0.16813999999999982</v>
      </c>
      <c r="S23" s="19">
        <f>(H23 - AVERAGE(Three_Range))/STDEV(Three_Range)</f>
        <v>2.4076369110531388</v>
      </c>
      <c r="T23" s="19">
        <f>(P23 - AVERAGE(Pts_Range))/STDEV(Pts_Range)</f>
        <v>0.25956144018453692</v>
      </c>
      <c r="U23" s="19">
        <f>(K23 - AVERAGE(Reb_Range))/STDEV(Reb_Range)</f>
        <v>-0.23525124000485825</v>
      </c>
      <c r="V23" s="19">
        <f>(L23 - AVERAGE(Ast_Range))/STDEV(Ast_Range)</f>
        <v>-0.68036038647278263</v>
      </c>
      <c r="W23" s="19">
        <f>(M23 - AVERAGE(Stl_Range))/STDEV(Stl_Range)</f>
        <v>-0.53524974030117922</v>
      </c>
      <c r="X23" s="19">
        <f>(N23 - AVERAGE(Blk_Range))/STDEV(Blk_Range)</f>
        <v>0.12540729751969285</v>
      </c>
      <c r="Y23" s="19">
        <f>(O23 - AVERAGE(Tov_Range))/STDEV(Tov_Range)*-1</f>
        <v>0.68703174233674447</v>
      </c>
      <c r="Z23" s="19">
        <f t="shared" si="0"/>
        <v>1.9134825460544242</v>
      </c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</row>
    <row r="24" spans="1:40" x14ac:dyDescent="0.55000000000000004">
      <c r="A24" t="s">
        <v>79</v>
      </c>
      <c r="B24" t="s">
        <v>47</v>
      </c>
      <c r="C24" t="s">
        <v>80</v>
      </c>
      <c r="D24">
        <v>48</v>
      </c>
      <c r="E24">
        <v>27.1</v>
      </c>
      <c r="F24">
        <v>6.8</v>
      </c>
      <c r="G24">
        <v>0.42799999999999999</v>
      </c>
      <c r="H24">
        <v>1.6</v>
      </c>
      <c r="I24">
        <v>0.9</v>
      </c>
      <c r="J24">
        <v>0.65900000000000003</v>
      </c>
      <c r="K24">
        <v>5.4</v>
      </c>
      <c r="L24">
        <v>3.7</v>
      </c>
      <c r="M24">
        <v>1.1000000000000001</v>
      </c>
      <c r="N24">
        <v>0.5</v>
      </c>
      <c r="O24">
        <v>1.3</v>
      </c>
      <c r="P24">
        <v>7.9</v>
      </c>
      <c r="Q24" s="19">
        <f>(G24 - AVERAGE(FG_Range))*F24</f>
        <v>-0.2113617391304343</v>
      </c>
      <c r="R24" s="19">
        <f>(J24 - AVERAGE(FT_RANGE))*I24</f>
        <v>-0.10790608695652176</v>
      </c>
      <c r="S24" s="19">
        <f>(H24 - AVERAGE(Three_Range))/STDEV(Three_Range)</f>
        <v>7.8599001902997123E-2</v>
      </c>
      <c r="T24" s="19">
        <f>(P24 - AVERAGE(Pts_Range))/STDEV(Pts_Range)</f>
        <v>-1.0031105404086009</v>
      </c>
      <c r="U24" s="19">
        <f>(K24 - AVERAGE(Reb_Range))/STDEV(Reb_Range)</f>
        <v>0.12334232907471411</v>
      </c>
      <c r="V24" s="19">
        <f>(L24 - AVERAGE(Ast_Range))/STDEV(Ast_Range)</f>
        <v>0.32531370664251197</v>
      </c>
      <c r="W24" s="19">
        <f>(M24 - AVERAGE(Stl_Range))/STDEV(Stl_Range)</f>
        <v>0.54464008662225238</v>
      </c>
      <c r="X24" s="19">
        <f>(N24 - AVERAGE(Blk_Range))/STDEV(Blk_Range)</f>
        <v>-7.2152143778453748E-2</v>
      </c>
      <c r="Y24" s="19">
        <f>(O24 - AVERAGE(Tov_Range))/STDEV(Tov_Range)*-1</f>
        <v>0.4566858228943958</v>
      </c>
      <c r="Z24" s="19">
        <f t="shared" si="0"/>
        <v>0.13405043686286078</v>
      </c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</row>
    <row r="25" spans="1:40" x14ac:dyDescent="0.55000000000000004">
      <c r="A25" t="s">
        <v>85</v>
      </c>
      <c r="B25" t="s">
        <v>15</v>
      </c>
      <c r="C25" t="s">
        <v>51</v>
      </c>
      <c r="D25">
        <v>64</v>
      </c>
      <c r="E25">
        <v>28.5</v>
      </c>
      <c r="F25">
        <v>9.4</v>
      </c>
      <c r="G25">
        <v>0.47499999999999998</v>
      </c>
      <c r="H25">
        <v>2</v>
      </c>
      <c r="I25">
        <v>1.1000000000000001</v>
      </c>
      <c r="J25">
        <v>0.82199999999999995</v>
      </c>
      <c r="K25">
        <v>6.4</v>
      </c>
      <c r="L25">
        <v>2.8</v>
      </c>
      <c r="M25">
        <v>0.8</v>
      </c>
      <c r="N25">
        <v>0.5</v>
      </c>
      <c r="O25">
        <v>1.4</v>
      </c>
      <c r="P25">
        <v>11.9</v>
      </c>
      <c r="Q25" s="19">
        <f>(G25 - AVERAGE(FG_Range))*F25</f>
        <v>0.14962347826087011</v>
      </c>
      <c r="R25" s="19">
        <f>(J25 - AVERAGE(FT_RANGE))*I25</f>
        <v>4.7414782608695541E-2</v>
      </c>
      <c r="S25" s="19">
        <f>(H25 - AVERAGE(Three_Range))/STDEV(Three_Range)</f>
        <v>0.52222527031254784</v>
      </c>
      <c r="T25" s="19">
        <f>(P25 - AVERAGE(Pts_Range))/STDEV(Pts_Range)</f>
        <v>-0.32968548409226073</v>
      </c>
      <c r="U25" s="19">
        <f>(K25 - AVERAGE(Reb_Range))/STDEV(Reb_Range)</f>
        <v>0.52177962805201661</v>
      </c>
      <c r="V25" s="19">
        <f>(L25 - AVERAGE(Ast_Range))/STDEV(Ast_Range)</f>
        <v>-0.12723963525937071</v>
      </c>
      <c r="W25" s="19">
        <f>(M25 - AVERAGE(Stl_Range))/STDEV(Stl_Range)</f>
        <v>-0.26527728357032115</v>
      </c>
      <c r="X25" s="19">
        <f>(N25 - AVERAGE(Blk_Range))/STDEV(Blk_Range)</f>
        <v>-7.2152143778453748E-2</v>
      </c>
      <c r="Y25" s="19">
        <f>(O25 - AVERAGE(Tov_Range))/STDEV(Tov_Range)*-1</f>
        <v>0.34151286317322166</v>
      </c>
      <c r="Z25" s="19">
        <f t="shared" si="0"/>
        <v>0.78820147570694543</v>
      </c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</row>
    <row r="26" spans="1:40" x14ac:dyDescent="0.55000000000000004">
      <c r="A26" t="s">
        <v>86</v>
      </c>
      <c r="B26" t="s">
        <v>47</v>
      </c>
      <c r="C26" t="s">
        <v>39</v>
      </c>
      <c r="D26">
        <v>56</v>
      </c>
      <c r="E26">
        <v>27.2</v>
      </c>
      <c r="F26">
        <v>11.8</v>
      </c>
      <c r="G26">
        <v>0.48199999999999998</v>
      </c>
      <c r="H26">
        <v>1.3</v>
      </c>
      <c r="I26">
        <v>3.4</v>
      </c>
      <c r="J26">
        <v>0.81299999999999994</v>
      </c>
      <c r="K26">
        <v>4.5999999999999996</v>
      </c>
      <c r="L26">
        <v>5.4</v>
      </c>
      <c r="M26">
        <v>0.9</v>
      </c>
      <c r="N26">
        <v>0.4</v>
      </c>
      <c r="O26">
        <v>2.5</v>
      </c>
      <c r="P26">
        <v>15.4</v>
      </c>
      <c r="Q26" s="19">
        <f>(G26 - AVERAGE(FG_Range))*F26</f>
        <v>0.27042521739130509</v>
      </c>
      <c r="R26" s="19">
        <f>(J26 - AVERAGE(FT_RANGE))*I26</f>
        <v>0.11595478260869527</v>
      </c>
      <c r="S26" s="19">
        <f>(H26 - AVERAGE(Three_Range))/STDEV(Three_Range)</f>
        <v>-0.25412069940416609</v>
      </c>
      <c r="T26" s="19">
        <f>(P26 - AVERAGE(Pts_Range))/STDEV(Pts_Range)</f>
        <v>0.25956144018453692</v>
      </c>
      <c r="U26" s="19">
        <f>(K26 - AVERAGE(Reb_Range))/STDEV(Reb_Range)</f>
        <v>-0.19540751010712815</v>
      </c>
      <c r="V26" s="19">
        <f>(L26 - AVERAGE(Ast_Range))/STDEV(Ast_Range)</f>
        <v>1.1801366857905125</v>
      </c>
      <c r="W26" s="19">
        <f>(M26 - AVERAGE(Stl_Range))/STDEV(Stl_Range)</f>
        <v>4.6951731605365706E-3</v>
      </c>
      <c r="X26" s="19">
        <f>(N26 - AVERAGE(Blk_Range))/STDEV(Blk_Range)</f>
        <v>-0.26971158507660031</v>
      </c>
      <c r="Y26" s="19">
        <f>(O26 - AVERAGE(Tov_Range))/STDEV(Tov_Range)*-1</f>
        <v>-0.92538969375969604</v>
      </c>
      <c r="Z26" s="19">
        <f t="shared" si="0"/>
        <v>0.18614381078799569</v>
      </c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</row>
    <row r="27" spans="1:40" x14ac:dyDescent="0.55000000000000004">
      <c r="A27" t="s">
        <v>650</v>
      </c>
      <c r="B27" t="s">
        <v>25</v>
      </c>
      <c r="C27" t="s">
        <v>51</v>
      </c>
      <c r="D27">
        <v>53</v>
      </c>
      <c r="E27">
        <v>28.5</v>
      </c>
      <c r="F27">
        <v>12.1</v>
      </c>
      <c r="G27">
        <v>0.433</v>
      </c>
      <c r="H27">
        <v>2.6</v>
      </c>
      <c r="I27">
        <v>2</v>
      </c>
      <c r="J27">
        <v>0.72399999999999998</v>
      </c>
      <c r="K27">
        <v>3.2</v>
      </c>
      <c r="L27">
        <v>3.2</v>
      </c>
      <c r="M27">
        <v>1</v>
      </c>
      <c r="N27">
        <v>0.3</v>
      </c>
      <c r="O27">
        <v>1.7</v>
      </c>
      <c r="P27">
        <v>14.5</v>
      </c>
      <c r="Q27" s="19">
        <f>(G27 - AVERAGE(FG_Range))*F27</f>
        <v>-0.31559956521739041</v>
      </c>
      <c r="R27" s="19">
        <f>(J27 - AVERAGE(FT_RANGE))*I27</f>
        <v>-0.10979130434782625</v>
      </c>
      <c r="S27" s="19">
        <f>(H27 - AVERAGE(Three_Range))/STDEV(Three_Range)</f>
        <v>1.1876646729268743</v>
      </c>
      <c r="T27" s="19">
        <f>(P27 - AVERAGE(Pts_Range))/STDEV(Pts_Range)</f>
        <v>0.10804080251336033</v>
      </c>
      <c r="U27" s="19">
        <f>(K27 - AVERAGE(Reb_Range))/STDEV(Reb_Range)</f>
        <v>-0.75321972867535136</v>
      </c>
      <c r="V27" s="19">
        <f>(L27 - AVERAGE(Ast_Range))/STDEV(Ast_Range)</f>
        <v>7.389518336368836E-2</v>
      </c>
      <c r="W27" s="19">
        <f>(M27 - AVERAGE(Stl_Range))/STDEV(Stl_Range)</f>
        <v>0.27466762989139432</v>
      </c>
      <c r="X27" s="19">
        <f>(N27 - AVERAGE(Blk_Range))/STDEV(Blk_Range)</f>
        <v>-0.46727102637474699</v>
      </c>
      <c r="Y27" s="19">
        <f>(O27 - AVERAGE(Tov_Range))/STDEV(Tov_Range)*-1</f>
        <v>-4.006015990301386E-3</v>
      </c>
      <c r="Z27" s="19">
        <f t="shared" si="0"/>
        <v>-5.6193519102991241E-3</v>
      </c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</row>
    <row r="28" spans="1:40" x14ac:dyDescent="0.55000000000000004">
      <c r="A28" t="s">
        <v>651</v>
      </c>
      <c r="B28" t="s">
        <v>35</v>
      </c>
      <c r="C28" t="s">
        <v>87</v>
      </c>
      <c r="D28">
        <v>63</v>
      </c>
      <c r="E28">
        <v>33.1</v>
      </c>
      <c r="F28">
        <v>14.8</v>
      </c>
      <c r="G28">
        <v>0.44700000000000001</v>
      </c>
      <c r="H28">
        <v>3</v>
      </c>
      <c r="I28">
        <v>4.4000000000000004</v>
      </c>
      <c r="J28">
        <v>0.90300000000000002</v>
      </c>
      <c r="K28">
        <v>4.0999999999999996</v>
      </c>
      <c r="L28">
        <v>2.1</v>
      </c>
      <c r="M28">
        <v>0.5</v>
      </c>
      <c r="N28">
        <v>0.1</v>
      </c>
      <c r="O28">
        <v>2.5</v>
      </c>
      <c r="P28">
        <v>20.2</v>
      </c>
      <c r="Q28" s="19">
        <f>(G28 - AVERAGE(FG_Range))*F28</f>
        <v>-0.17882260869565089</v>
      </c>
      <c r="R28" s="19">
        <f>(J28 - AVERAGE(FT_RANGE))*I28</f>
        <v>0.54605913043478249</v>
      </c>
      <c r="S28" s="19">
        <f>(H28 - AVERAGE(Three_Range))/STDEV(Three_Range)</f>
        <v>1.6312909413364252</v>
      </c>
      <c r="T28" s="19">
        <f>(P28 - AVERAGE(Pts_Range))/STDEV(Pts_Range)</f>
        <v>1.067671507764145</v>
      </c>
      <c r="U28" s="19">
        <f>(K28 - AVERAGE(Reb_Range))/STDEV(Reb_Range)</f>
        <v>-0.3946261595957794</v>
      </c>
      <c r="V28" s="19">
        <f>(L28 - AVERAGE(Ast_Range))/STDEV(Ast_Range)</f>
        <v>-0.47922556784972364</v>
      </c>
      <c r="W28" s="19">
        <f>(M28 - AVERAGE(Stl_Range))/STDEV(Stl_Range)</f>
        <v>-1.0751946537628947</v>
      </c>
      <c r="X28" s="19">
        <f>(N28 - AVERAGE(Blk_Range))/STDEV(Blk_Range)</f>
        <v>-0.86238990897104029</v>
      </c>
      <c r="Y28" s="19">
        <f>(O28 - AVERAGE(Tov_Range))/STDEV(Tov_Range)*-1</f>
        <v>-0.92538969375969604</v>
      </c>
      <c r="Z28" s="19">
        <f t="shared" si="0"/>
        <v>-0.67062701309943218</v>
      </c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</row>
    <row r="29" spans="1:40" x14ac:dyDescent="0.55000000000000004">
      <c r="A29" t="s">
        <v>92</v>
      </c>
      <c r="B29" t="s">
        <v>25</v>
      </c>
      <c r="C29" t="s">
        <v>54</v>
      </c>
      <c r="D29">
        <v>62</v>
      </c>
      <c r="E29">
        <v>36.1</v>
      </c>
      <c r="F29">
        <v>18</v>
      </c>
      <c r="G29">
        <v>0.48699999999999999</v>
      </c>
      <c r="H29">
        <v>2</v>
      </c>
      <c r="I29">
        <v>7.1</v>
      </c>
      <c r="J29">
        <v>0.91600000000000004</v>
      </c>
      <c r="K29">
        <v>4.2</v>
      </c>
      <c r="L29">
        <v>6.6</v>
      </c>
      <c r="M29">
        <v>0.7</v>
      </c>
      <c r="N29">
        <v>0.3</v>
      </c>
      <c r="O29">
        <v>3.9</v>
      </c>
      <c r="P29">
        <v>26.1</v>
      </c>
      <c r="Q29" s="19">
        <f>(G29 - AVERAGE(FG_Range))*F29</f>
        <v>0.50251304347826209</v>
      </c>
      <c r="R29" s="19">
        <f>(J29 - AVERAGE(FT_RANGE))*I29</f>
        <v>0.97344086956521725</v>
      </c>
      <c r="S29" s="19">
        <f>(H29 - AVERAGE(Three_Range))/STDEV(Three_Range)</f>
        <v>0.52222527031254784</v>
      </c>
      <c r="T29" s="19">
        <f>(P29 - AVERAGE(Pts_Range))/STDEV(Pts_Range)</f>
        <v>2.060973465830747</v>
      </c>
      <c r="U29" s="19">
        <f>(K29 - AVERAGE(Reb_Range))/STDEV(Reb_Range)</f>
        <v>-0.35478242969804891</v>
      </c>
      <c r="V29" s="19">
        <f>(L29 - AVERAGE(Ast_Range))/STDEV(Ast_Range)</f>
        <v>1.7835411416596887</v>
      </c>
      <c r="W29" s="19">
        <f>(M29 - AVERAGE(Stl_Range))/STDEV(Stl_Range)</f>
        <v>-0.53524974030117922</v>
      </c>
      <c r="X29" s="19">
        <f>(N29 - AVERAGE(Blk_Range))/STDEV(Blk_Range)</f>
        <v>-0.46727102637474699</v>
      </c>
      <c r="Y29" s="19">
        <f>(O29 - AVERAGE(Tov_Range))/STDEV(Tov_Range)*-1</f>
        <v>-2.5378111298561361</v>
      </c>
      <c r="Z29" s="19">
        <f t="shared" si="0"/>
        <v>1.9475794646163527</v>
      </c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</row>
    <row r="30" spans="1:40" x14ac:dyDescent="0.55000000000000004">
      <c r="A30" t="s">
        <v>95</v>
      </c>
      <c r="B30" t="s">
        <v>47</v>
      </c>
      <c r="C30" t="s">
        <v>96</v>
      </c>
      <c r="D30">
        <v>45</v>
      </c>
      <c r="E30">
        <v>22.6</v>
      </c>
      <c r="F30">
        <v>7.1</v>
      </c>
      <c r="G30">
        <v>0.41699999999999998</v>
      </c>
      <c r="H30">
        <v>0.7</v>
      </c>
      <c r="I30">
        <v>0.9</v>
      </c>
      <c r="J30">
        <v>0.82899999999999996</v>
      </c>
      <c r="K30">
        <v>2.7</v>
      </c>
      <c r="L30">
        <v>2.9</v>
      </c>
      <c r="M30">
        <v>1</v>
      </c>
      <c r="N30">
        <v>0.2</v>
      </c>
      <c r="O30">
        <v>1.6</v>
      </c>
      <c r="P30">
        <v>7.4</v>
      </c>
      <c r="Q30" s="19">
        <f>(G30 - AVERAGE(FG_Range))*F30</f>
        <v>-0.29878652173913001</v>
      </c>
      <c r="R30" s="19">
        <f>(J30 - AVERAGE(FT_RANGE))*I30</f>
        <v>4.5093913043478172E-2</v>
      </c>
      <c r="S30" s="19">
        <f>(H30 - AVERAGE(Three_Range))/STDEV(Three_Range)</f>
        <v>-0.91956010201849248</v>
      </c>
      <c r="T30" s="19">
        <f>(P30 - AVERAGE(Pts_Range))/STDEV(Pts_Range)</f>
        <v>-1.0872886724481434</v>
      </c>
      <c r="U30" s="19">
        <f>(K30 - AVERAGE(Reb_Range))/STDEV(Reb_Range)</f>
        <v>-0.95243837816400267</v>
      </c>
      <c r="V30" s="19">
        <f>(L30 - AVERAGE(Ast_Range))/STDEV(Ast_Range)</f>
        <v>-7.6955930603605949E-2</v>
      </c>
      <c r="W30" s="19">
        <f>(M30 - AVERAGE(Stl_Range))/STDEV(Stl_Range)</f>
        <v>0.27466762989139432</v>
      </c>
      <c r="X30" s="19">
        <f>(N30 - AVERAGE(Blk_Range))/STDEV(Blk_Range)</f>
        <v>-0.66483046767289355</v>
      </c>
      <c r="Y30" s="19">
        <f>(O30 - AVERAGE(Tov_Range))/STDEV(Tov_Range)*-1</f>
        <v>0.11116694373087278</v>
      </c>
      <c r="Z30" s="19">
        <f t="shared" si="0"/>
        <v>-3.5689315859805228</v>
      </c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</row>
    <row r="31" spans="1:40" x14ac:dyDescent="0.55000000000000004">
      <c r="A31" t="s">
        <v>97</v>
      </c>
      <c r="B31" t="s">
        <v>25</v>
      </c>
      <c r="C31" t="s">
        <v>41</v>
      </c>
      <c r="D31">
        <v>49</v>
      </c>
      <c r="E31">
        <v>24.2</v>
      </c>
      <c r="F31">
        <v>7.8</v>
      </c>
      <c r="G31">
        <v>0.44400000000000001</v>
      </c>
      <c r="H31">
        <v>1.3</v>
      </c>
      <c r="I31">
        <v>0.5</v>
      </c>
      <c r="J31">
        <v>0.83299999999999996</v>
      </c>
      <c r="K31">
        <v>2.2999999999999998</v>
      </c>
      <c r="L31">
        <v>1.3</v>
      </c>
      <c r="M31">
        <v>0.9</v>
      </c>
      <c r="N31">
        <v>0.1</v>
      </c>
      <c r="O31">
        <v>1</v>
      </c>
      <c r="P31">
        <v>8.6</v>
      </c>
      <c r="Q31" s="19">
        <f>(G31 - AVERAGE(FG_Range))*F31</f>
        <v>-0.11764434782608629</v>
      </c>
      <c r="R31" s="19">
        <f>(J31 - AVERAGE(FT_RANGE))*I31</f>
        <v>2.7052173913043431E-2</v>
      </c>
      <c r="S31" s="19">
        <f>(H31 - AVERAGE(Three_Range))/STDEV(Three_Range)</f>
        <v>-0.25412069940416609</v>
      </c>
      <c r="T31" s="19">
        <f>(P31 - AVERAGE(Pts_Range))/STDEV(Pts_Range)</f>
        <v>-0.88526115555324147</v>
      </c>
      <c r="U31" s="19">
        <f>(K31 - AVERAGE(Reb_Range))/STDEV(Reb_Range)</f>
        <v>-1.1118132977549238</v>
      </c>
      <c r="V31" s="19">
        <f>(L31 - AVERAGE(Ast_Range))/STDEV(Ast_Range)</f>
        <v>-0.88149520509584145</v>
      </c>
      <c r="W31" s="19">
        <f>(M31 - AVERAGE(Stl_Range))/STDEV(Stl_Range)</f>
        <v>4.6951731605365706E-3</v>
      </c>
      <c r="X31" s="19">
        <f>(N31 - AVERAGE(Blk_Range))/STDEV(Blk_Range)</f>
        <v>-0.86238990897104029</v>
      </c>
      <c r="Y31" s="19">
        <f>(O31 - AVERAGE(Tov_Range))/STDEV(Tov_Range)*-1</f>
        <v>0.80220470205791883</v>
      </c>
      <c r="Z31" s="19">
        <f t="shared" si="0"/>
        <v>-3.2787725654738002</v>
      </c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</row>
    <row r="32" spans="1:40" x14ac:dyDescent="0.55000000000000004">
      <c r="A32" t="s">
        <v>101</v>
      </c>
      <c r="B32" t="s">
        <v>35</v>
      </c>
      <c r="C32" t="s">
        <v>54</v>
      </c>
      <c r="D32">
        <v>65</v>
      </c>
      <c r="E32">
        <v>27.3</v>
      </c>
      <c r="F32">
        <v>6.3</v>
      </c>
      <c r="G32">
        <v>0.51600000000000001</v>
      </c>
      <c r="H32">
        <v>0.9</v>
      </c>
      <c r="I32">
        <v>1.6</v>
      </c>
      <c r="J32">
        <v>0.84799999999999998</v>
      </c>
      <c r="K32">
        <v>4</v>
      </c>
      <c r="L32">
        <v>1.8</v>
      </c>
      <c r="M32">
        <v>1.4</v>
      </c>
      <c r="N32">
        <v>0.6</v>
      </c>
      <c r="O32">
        <v>1</v>
      </c>
      <c r="P32">
        <v>8.6999999999999993</v>
      </c>
      <c r="Q32" s="19">
        <f>(G32 - AVERAGE(FG_Range))*F32</f>
        <v>0.35857956521739187</v>
      </c>
      <c r="R32" s="19">
        <f>(J32 - AVERAGE(FT_RANGE))*I32</f>
        <v>0.11056695652173901</v>
      </c>
      <c r="S32" s="19">
        <f>(H32 - AVERAGE(Three_Range))/STDEV(Three_Range)</f>
        <v>-0.69774696781371692</v>
      </c>
      <c r="T32" s="19">
        <f>(P32 - AVERAGE(Pts_Range))/STDEV(Pts_Range)</f>
        <v>-0.86842552914533311</v>
      </c>
      <c r="U32" s="19">
        <f>(K32 - AVERAGE(Reb_Range))/STDEV(Reb_Range)</f>
        <v>-0.43446988949350951</v>
      </c>
      <c r="V32" s="19">
        <f>(L32 - AVERAGE(Ast_Range))/STDEV(Ast_Range)</f>
        <v>-0.63007668181701781</v>
      </c>
      <c r="W32" s="19">
        <f>(M32 - AVERAGE(Stl_Range))/STDEV(Stl_Range)</f>
        <v>1.3545574568148253</v>
      </c>
      <c r="X32" s="19">
        <f>(N32 - AVERAGE(Blk_Range))/STDEV(Blk_Range)</f>
        <v>0.12540729751969285</v>
      </c>
      <c r="Y32" s="19">
        <f>(O32 - AVERAGE(Tov_Range))/STDEV(Tov_Range)*-1</f>
        <v>0.80220470205791883</v>
      </c>
      <c r="Z32" s="19">
        <f t="shared" si="0"/>
        <v>0.12059690986199068</v>
      </c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</row>
    <row r="33" spans="1:40" x14ac:dyDescent="0.55000000000000004">
      <c r="A33" t="s">
        <v>102</v>
      </c>
      <c r="B33" t="s">
        <v>35</v>
      </c>
      <c r="C33" t="s">
        <v>56</v>
      </c>
      <c r="D33">
        <v>65</v>
      </c>
      <c r="E33">
        <v>30.7</v>
      </c>
      <c r="F33">
        <v>11.6</v>
      </c>
      <c r="G33">
        <v>0.42399999999999999</v>
      </c>
      <c r="H33">
        <v>1.5</v>
      </c>
      <c r="I33">
        <v>2</v>
      </c>
      <c r="J33">
        <v>0.80900000000000005</v>
      </c>
      <c r="K33">
        <v>5.6</v>
      </c>
      <c r="L33">
        <v>1.8</v>
      </c>
      <c r="M33">
        <v>0.6</v>
      </c>
      <c r="N33">
        <v>0.7</v>
      </c>
      <c r="O33">
        <v>1.5</v>
      </c>
      <c r="P33">
        <v>13</v>
      </c>
      <c r="Q33" s="19">
        <f>(G33 - AVERAGE(FG_Range))*F33</f>
        <v>-0.40695826086956444</v>
      </c>
      <c r="R33" s="19">
        <f>(J33 - AVERAGE(FT_RANGE))*I33</f>
        <v>6.0208695652173905E-2</v>
      </c>
      <c r="S33" s="19">
        <f>(H33 - AVERAGE(Three_Range))/STDEV(Three_Range)</f>
        <v>-3.2307565199390695E-2</v>
      </c>
      <c r="T33" s="19">
        <f>(P33 - AVERAGE(Pts_Range))/STDEV(Pts_Range)</f>
        <v>-0.14449359360526726</v>
      </c>
      <c r="U33" s="19">
        <f>(K33 - AVERAGE(Reb_Range))/STDEV(Reb_Range)</f>
        <v>0.20302978887017431</v>
      </c>
      <c r="V33" s="19">
        <f>(L33 - AVERAGE(Ast_Range))/STDEV(Ast_Range)</f>
        <v>-0.63007668181701781</v>
      </c>
      <c r="W33" s="19">
        <f>(M33 - AVERAGE(Stl_Range))/STDEV(Stl_Range)</f>
        <v>-0.80522219703203701</v>
      </c>
      <c r="X33" s="19">
        <f>(N33 - AVERAGE(Blk_Range))/STDEV(Blk_Range)</f>
        <v>0.32296673881783944</v>
      </c>
      <c r="Y33" s="19">
        <f>(O33 - AVERAGE(Tov_Range))/STDEV(Tov_Range)*-1</f>
        <v>0.22633990345204721</v>
      </c>
      <c r="Z33" s="19">
        <f t="shared" si="0"/>
        <v>-1.2065131717310424</v>
      </c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</row>
    <row r="34" spans="1:40" x14ac:dyDescent="0.55000000000000004">
      <c r="A34" t="s">
        <v>104</v>
      </c>
      <c r="B34" t="s">
        <v>47</v>
      </c>
      <c r="C34" t="s">
        <v>83</v>
      </c>
      <c r="D34">
        <v>48</v>
      </c>
      <c r="E34">
        <v>30.7</v>
      </c>
      <c r="F34">
        <v>13.7</v>
      </c>
      <c r="G34">
        <v>0.439</v>
      </c>
      <c r="H34">
        <v>1.3</v>
      </c>
      <c r="I34">
        <v>3.4</v>
      </c>
      <c r="J34">
        <v>0.89500000000000002</v>
      </c>
      <c r="K34">
        <v>4.7</v>
      </c>
      <c r="L34">
        <v>7.1</v>
      </c>
      <c r="M34">
        <v>0.7</v>
      </c>
      <c r="N34">
        <v>0.2</v>
      </c>
      <c r="O34">
        <v>2.4</v>
      </c>
      <c r="P34">
        <v>16.3</v>
      </c>
      <c r="Q34" s="19">
        <f>(G34 - AVERAGE(FG_Range))*F34</f>
        <v>-0.27513173913043365</v>
      </c>
      <c r="R34" s="19">
        <f>(J34 - AVERAGE(FT_RANGE))*I34</f>
        <v>0.39475478260869551</v>
      </c>
      <c r="S34" s="19">
        <f>(H34 - AVERAGE(Three_Range))/STDEV(Three_Range)</f>
        <v>-0.25412069940416609</v>
      </c>
      <c r="T34" s="19">
        <f>(P34 - AVERAGE(Pts_Range))/STDEV(Pts_Range)</f>
        <v>0.41108207785571355</v>
      </c>
      <c r="U34" s="19">
        <f>(K34 - AVERAGE(Reb_Range))/STDEV(Reb_Range)</f>
        <v>-0.15556378020939771</v>
      </c>
      <c r="V34" s="19">
        <f>(L34 - AVERAGE(Ast_Range))/STDEV(Ast_Range)</f>
        <v>2.034959664938512</v>
      </c>
      <c r="W34" s="19">
        <f>(M34 - AVERAGE(Stl_Range))/STDEV(Stl_Range)</f>
        <v>-0.53524974030117922</v>
      </c>
      <c r="X34" s="19">
        <f>(N34 - AVERAGE(Blk_Range))/STDEV(Blk_Range)</f>
        <v>-0.66483046767289355</v>
      </c>
      <c r="Y34" s="19">
        <f>(O34 - AVERAGE(Tov_Range))/STDEV(Tov_Range)*-1</f>
        <v>-0.81021673403852157</v>
      </c>
      <c r="Z34" s="19">
        <f t="shared" si="0"/>
        <v>0.14568336464632914</v>
      </c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</row>
    <row r="35" spans="1:40" x14ac:dyDescent="0.55000000000000004">
      <c r="A35" t="s">
        <v>105</v>
      </c>
      <c r="B35" t="s">
        <v>25</v>
      </c>
      <c r="C35" t="s">
        <v>28</v>
      </c>
      <c r="D35">
        <v>65</v>
      </c>
      <c r="E35">
        <v>28.5</v>
      </c>
      <c r="F35">
        <v>14.2</v>
      </c>
      <c r="G35">
        <v>0.40200000000000002</v>
      </c>
      <c r="H35">
        <v>2</v>
      </c>
      <c r="I35">
        <v>2.7</v>
      </c>
      <c r="J35">
        <v>0.80900000000000005</v>
      </c>
      <c r="K35">
        <v>3.3</v>
      </c>
      <c r="L35">
        <v>2</v>
      </c>
      <c r="M35">
        <v>0.9</v>
      </c>
      <c r="N35">
        <v>0.4</v>
      </c>
      <c r="O35">
        <v>1.7</v>
      </c>
      <c r="P35">
        <v>15.7</v>
      </c>
      <c r="Q35" s="19">
        <f>(G35 - AVERAGE(FG_Range))*F35</f>
        <v>-0.81057304347825931</v>
      </c>
      <c r="R35" s="19">
        <f>(J35 - AVERAGE(FT_RANGE))*I35</f>
        <v>8.128173913043478E-2</v>
      </c>
      <c r="S35" s="19">
        <f>(H35 - AVERAGE(Three_Range))/STDEV(Three_Range)</f>
        <v>0.52222527031254784</v>
      </c>
      <c r="T35" s="19">
        <f>(P35 - AVERAGE(Pts_Range))/STDEV(Pts_Range)</f>
        <v>0.31006831940826224</v>
      </c>
      <c r="U35" s="19">
        <f>(K35 - AVERAGE(Reb_Range))/STDEV(Reb_Range)</f>
        <v>-0.71337599877762126</v>
      </c>
      <c r="V35" s="19">
        <f>(L35 - AVERAGE(Ast_Range))/STDEV(Ast_Range)</f>
        <v>-0.5295092725054884</v>
      </c>
      <c r="W35" s="19">
        <f>(M35 - AVERAGE(Stl_Range))/STDEV(Stl_Range)</f>
        <v>4.6951731605365706E-3</v>
      </c>
      <c r="X35" s="19">
        <f>(N35 - AVERAGE(Blk_Range))/STDEV(Blk_Range)</f>
        <v>-0.26971158507660031</v>
      </c>
      <c r="Y35" s="19">
        <f>(O35 - AVERAGE(Tov_Range))/STDEV(Tov_Range)*-1</f>
        <v>-4.006015990301386E-3</v>
      </c>
      <c r="Z35" s="19">
        <f t="shared" si="0"/>
        <v>-1.4089054138164894</v>
      </c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</row>
    <row r="36" spans="1:40" x14ac:dyDescent="0.55000000000000004">
      <c r="A36" t="s">
        <v>106</v>
      </c>
      <c r="B36" t="s">
        <v>25</v>
      </c>
      <c r="C36" t="s">
        <v>90</v>
      </c>
      <c r="D36">
        <v>58</v>
      </c>
      <c r="E36">
        <v>28.2</v>
      </c>
      <c r="F36">
        <v>7.7</v>
      </c>
      <c r="G36">
        <v>0.443</v>
      </c>
      <c r="H36">
        <v>0.6</v>
      </c>
      <c r="I36">
        <v>2.1</v>
      </c>
      <c r="J36">
        <v>0.73899999999999999</v>
      </c>
      <c r="K36">
        <v>4.7</v>
      </c>
      <c r="L36">
        <v>4</v>
      </c>
      <c r="M36">
        <v>1.1000000000000001</v>
      </c>
      <c r="N36">
        <v>0.5</v>
      </c>
      <c r="O36">
        <v>1.7</v>
      </c>
      <c r="P36">
        <v>8.9</v>
      </c>
      <c r="Q36" s="19">
        <f>(G36 - AVERAGE(FG_Range))*F36</f>
        <v>-0.1238360869565211</v>
      </c>
      <c r="R36" s="19">
        <f>(J36 - AVERAGE(FT_RANGE))*I36</f>
        <v>-8.3780869565217533E-2</v>
      </c>
      <c r="S36" s="19">
        <f>(H36 - AVERAGE(Three_Range))/STDEV(Three_Range)</f>
        <v>-1.0304666691208801</v>
      </c>
      <c r="T36" s="19">
        <f>(P36 - AVERAGE(Pts_Range))/STDEV(Pts_Range)</f>
        <v>-0.83475427632951593</v>
      </c>
      <c r="U36" s="19">
        <f>(K36 - AVERAGE(Reb_Range))/STDEV(Reb_Range)</f>
        <v>-0.15556378020939771</v>
      </c>
      <c r="V36" s="19">
        <f>(L36 - AVERAGE(Ast_Range))/STDEV(Ast_Range)</f>
        <v>0.47616482060980603</v>
      </c>
      <c r="W36" s="19">
        <f>(M36 - AVERAGE(Stl_Range))/STDEV(Stl_Range)</f>
        <v>0.54464008662225238</v>
      </c>
      <c r="X36" s="19">
        <f>(N36 - AVERAGE(Blk_Range))/STDEV(Blk_Range)</f>
        <v>-7.2152143778453748E-2</v>
      </c>
      <c r="Y36" s="19">
        <f>(O36 - AVERAGE(Tov_Range))/STDEV(Tov_Range)*-1</f>
        <v>-4.006015990301386E-3</v>
      </c>
      <c r="Z36" s="19">
        <f t="shared" si="0"/>
        <v>-1.2837549347182293</v>
      </c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</row>
    <row r="37" spans="1:40" x14ac:dyDescent="0.55000000000000004">
      <c r="A37" t="s">
        <v>108</v>
      </c>
      <c r="B37" t="s">
        <v>35</v>
      </c>
      <c r="C37" t="s">
        <v>109</v>
      </c>
      <c r="D37">
        <v>50</v>
      </c>
      <c r="E37">
        <v>34</v>
      </c>
      <c r="F37">
        <v>15.4</v>
      </c>
      <c r="G37">
        <v>0.49</v>
      </c>
      <c r="H37">
        <v>2.1</v>
      </c>
      <c r="I37">
        <v>4.3</v>
      </c>
      <c r="J37">
        <v>0.73599999999999999</v>
      </c>
      <c r="K37">
        <v>6.4</v>
      </c>
      <c r="L37">
        <v>2.2000000000000002</v>
      </c>
      <c r="M37">
        <v>1.1000000000000001</v>
      </c>
      <c r="N37">
        <v>0.3</v>
      </c>
      <c r="O37">
        <v>2.2999999999999998</v>
      </c>
      <c r="P37">
        <v>20.399999999999999</v>
      </c>
      <c r="Q37" s="19">
        <f>(G37 - AVERAGE(FG_Range))*F37</f>
        <v>0.47612782608695764</v>
      </c>
      <c r="R37" s="19">
        <f>(J37 - AVERAGE(FT_RANGE))*I37</f>
        <v>-0.18445130434782639</v>
      </c>
      <c r="S37" s="19">
        <f>(H37 - AVERAGE(Three_Range))/STDEV(Three_Range)</f>
        <v>0.63313183741493573</v>
      </c>
      <c r="T37" s="19">
        <f>(P37 - AVERAGE(Pts_Range))/STDEV(Pts_Range)</f>
        <v>1.1013427605799619</v>
      </c>
      <c r="U37" s="19">
        <f>(K37 - AVERAGE(Reb_Range))/STDEV(Reb_Range)</f>
        <v>0.52177962805201661</v>
      </c>
      <c r="V37" s="19">
        <f>(L37 - AVERAGE(Ast_Range))/STDEV(Ast_Range)</f>
        <v>-0.42894186319395888</v>
      </c>
      <c r="W37" s="19">
        <f>(M37 - AVERAGE(Stl_Range))/STDEV(Stl_Range)</f>
        <v>0.54464008662225238</v>
      </c>
      <c r="X37" s="19">
        <f>(N37 - AVERAGE(Blk_Range))/STDEV(Blk_Range)</f>
        <v>-0.46727102637474699</v>
      </c>
      <c r="Y37" s="19">
        <f>(O37 - AVERAGE(Tov_Range))/STDEV(Tov_Range)*-1</f>
        <v>-0.69504377431734721</v>
      </c>
      <c r="Z37" s="19">
        <f t="shared" si="0"/>
        <v>1.5013141705222446</v>
      </c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</row>
    <row r="38" spans="1:40" x14ac:dyDescent="0.55000000000000004">
      <c r="A38" t="s">
        <v>114</v>
      </c>
      <c r="B38" t="s">
        <v>18</v>
      </c>
      <c r="C38" t="s">
        <v>72</v>
      </c>
      <c r="D38">
        <v>38</v>
      </c>
      <c r="E38">
        <v>23.7</v>
      </c>
      <c r="F38">
        <v>8.1</v>
      </c>
      <c r="G38">
        <v>0.59899999999999998</v>
      </c>
      <c r="H38">
        <v>0.6</v>
      </c>
      <c r="I38">
        <v>2.5</v>
      </c>
      <c r="J38">
        <v>0.73699999999999999</v>
      </c>
      <c r="K38">
        <v>6.8</v>
      </c>
      <c r="L38">
        <v>1.9</v>
      </c>
      <c r="M38">
        <v>0.4</v>
      </c>
      <c r="N38">
        <v>0.9</v>
      </c>
      <c r="O38">
        <v>1.3</v>
      </c>
      <c r="P38">
        <v>12.1</v>
      </c>
      <c r="Q38" s="19">
        <f>(G38 - AVERAGE(FG_Range))*F38</f>
        <v>1.1333308695652178</v>
      </c>
      <c r="R38" s="19">
        <f>(J38 - AVERAGE(FT_RANGE))*I38</f>
        <v>-0.10473913043478278</v>
      </c>
      <c r="S38" s="19">
        <f>(H38 - AVERAGE(Three_Range))/STDEV(Three_Range)</f>
        <v>-1.0304666691208801</v>
      </c>
      <c r="T38" s="19">
        <f>(P38 - AVERAGE(Pts_Range))/STDEV(Pts_Range)</f>
        <v>-0.29601423127644383</v>
      </c>
      <c r="U38" s="19">
        <f>(K38 - AVERAGE(Reb_Range))/STDEV(Reb_Range)</f>
        <v>0.68115454764293737</v>
      </c>
      <c r="V38" s="19">
        <f>(L38 - AVERAGE(Ast_Range))/STDEV(Ast_Range)</f>
        <v>-0.57979297716125322</v>
      </c>
      <c r="W38" s="19">
        <f>(M38 - AVERAGE(Stl_Range))/STDEV(Stl_Range)</f>
        <v>-1.3451671104937524</v>
      </c>
      <c r="X38" s="19">
        <f>(N38 - AVERAGE(Blk_Range))/STDEV(Blk_Range)</f>
        <v>0.71808562141413279</v>
      </c>
      <c r="Y38" s="19">
        <f>(O38 - AVERAGE(Tov_Range))/STDEV(Tov_Range)*-1</f>
        <v>0.4566858228943958</v>
      </c>
      <c r="Z38" s="19">
        <f t="shared" si="0"/>
        <v>-0.36692325697042844</v>
      </c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</row>
    <row r="39" spans="1:40" x14ac:dyDescent="0.55000000000000004">
      <c r="A39" t="s">
        <v>115</v>
      </c>
      <c r="B39" t="s">
        <v>25</v>
      </c>
      <c r="C39" t="s">
        <v>32</v>
      </c>
      <c r="D39">
        <v>29</v>
      </c>
      <c r="E39">
        <v>23.6</v>
      </c>
      <c r="F39">
        <v>7.7</v>
      </c>
      <c r="G39">
        <v>0.40200000000000002</v>
      </c>
      <c r="H39">
        <v>1.3</v>
      </c>
      <c r="I39">
        <v>0.7</v>
      </c>
      <c r="J39">
        <v>0.81</v>
      </c>
      <c r="K39">
        <v>2.2999999999999998</v>
      </c>
      <c r="L39">
        <v>1.4</v>
      </c>
      <c r="M39">
        <v>0.9</v>
      </c>
      <c r="N39">
        <v>0.1</v>
      </c>
      <c r="O39">
        <v>0.7</v>
      </c>
      <c r="P39">
        <v>8.1</v>
      </c>
      <c r="Q39" s="19">
        <f>(G39 - AVERAGE(FG_Range))*F39</f>
        <v>-0.43953608695652097</v>
      </c>
      <c r="R39" s="19">
        <f>(J39 - AVERAGE(FT_RANGE))*I39</f>
        <v>2.1773043478260867E-2</v>
      </c>
      <c r="S39" s="19">
        <f>(H39 - AVERAGE(Three_Range))/STDEV(Three_Range)</f>
        <v>-0.25412069940416609</v>
      </c>
      <c r="T39" s="19">
        <f>(P39 - AVERAGE(Pts_Range))/STDEV(Pts_Range)</f>
        <v>-0.96943928759278408</v>
      </c>
      <c r="U39" s="19">
        <f>(K39 - AVERAGE(Reb_Range))/STDEV(Reb_Range)</f>
        <v>-1.1118132977549238</v>
      </c>
      <c r="V39" s="19">
        <f>(L39 - AVERAGE(Ast_Range))/STDEV(Ast_Range)</f>
        <v>-0.83121150044007674</v>
      </c>
      <c r="W39" s="19">
        <f>(M39 - AVERAGE(Stl_Range))/STDEV(Stl_Range)</f>
        <v>4.6951731605365706E-3</v>
      </c>
      <c r="X39" s="19">
        <f>(N39 - AVERAGE(Blk_Range))/STDEV(Blk_Range)</f>
        <v>-0.86238990897104029</v>
      </c>
      <c r="Y39" s="19">
        <f>(O39 - AVERAGE(Tov_Range))/STDEV(Tov_Range)*-1</f>
        <v>1.1477235812214419</v>
      </c>
      <c r="Z39" s="19">
        <f t="shared" si="0"/>
        <v>-3.2943189832592727</v>
      </c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</row>
    <row r="40" spans="1:40" x14ac:dyDescent="0.55000000000000004">
      <c r="A40" t="s">
        <v>116</v>
      </c>
      <c r="B40" t="s">
        <v>25</v>
      </c>
      <c r="C40" t="s">
        <v>88</v>
      </c>
      <c r="D40">
        <v>11</v>
      </c>
      <c r="E40">
        <v>20.2</v>
      </c>
      <c r="F40">
        <v>9.1</v>
      </c>
      <c r="G40">
        <v>0.39</v>
      </c>
      <c r="H40">
        <v>1.5</v>
      </c>
      <c r="I40">
        <v>2.5</v>
      </c>
      <c r="J40">
        <v>0.88900000000000001</v>
      </c>
      <c r="K40">
        <v>3.3</v>
      </c>
      <c r="L40">
        <v>1.8</v>
      </c>
      <c r="M40">
        <v>0.7</v>
      </c>
      <c r="N40">
        <v>0</v>
      </c>
      <c r="O40">
        <v>0.8</v>
      </c>
      <c r="P40">
        <v>10.7</v>
      </c>
      <c r="Q40" s="19">
        <f>(G40 - AVERAGE(FG_Range))*F40</f>
        <v>-0.62865173913043393</v>
      </c>
      <c r="R40" s="19">
        <f>(J40 - AVERAGE(FT_RANGE))*I40</f>
        <v>0.27526086956521728</v>
      </c>
      <c r="S40" s="19">
        <f>(H40 - AVERAGE(Three_Range))/STDEV(Three_Range)</f>
        <v>-3.2307565199390695E-2</v>
      </c>
      <c r="T40" s="19">
        <f>(P40 - AVERAGE(Pts_Range))/STDEV(Pts_Range)</f>
        <v>-0.53171300098716301</v>
      </c>
      <c r="U40" s="19">
        <f>(K40 - AVERAGE(Reb_Range))/STDEV(Reb_Range)</f>
        <v>-0.71337599877762126</v>
      </c>
      <c r="V40" s="19">
        <f>(L40 - AVERAGE(Ast_Range))/STDEV(Ast_Range)</f>
        <v>-0.63007668181701781</v>
      </c>
      <c r="W40" s="19">
        <f>(M40 - AVERAGE(Stl_Range))/STDEV(Stl_Range)</f>
        <v>-0.53524974030117922</v>
      </c>
      <c r="X40" s="19">
        <f>(N40 - AVERAGE(Blk_Range))/STDEV(Blk_Range)</f>
        <v>-1.0599493502691868</v>
      </c>
      <c r="Y40" s="19">
        <f>(O40 - AVERAGE(Tov_Range))/STDEV(Tov_Range)*-1</f>
        <v>1.0325506215002676</v>
      </c>
      <c r="Z40" s="19">
        <f t="shared" si="0"/>
        <v>-2.8235125854165082</v>
      </c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</row>
    <row r="41" spans="1:40" x14ac:dyDescent="0.55000000000000004">
      <c r="A41" t="s">
        <v>118</v>
      </c>
      <c r="B41" t="s">
        <v>35</v>
      </c>
      <c r="C41" t="s">
        <v>21</v>
      </c>
      <c r="D41">
        <v>54</v>
      </c>
      <c r="E41">
        <v>34.299999999999997</v>
      </c>
      <c r="F41">
        <v>13.4</v>
      </c>
      <c r="G41">
        <v>0.45400000000000001</v>
      </c>
      <c r="H41">
        <v>0.5</v>
      </c>
      <c r="I41">
        <v>9.1</v>
      </c>
      <c r="J41">
        <v>0.83299999999999996</v>
      </c>
      <c r="K41">
        <v>6.6</v>
      </c>
      <c r="L41">
        <v>6.1</v>
      </c>
      <c r="M41">
        <v>1.7</v>
      </c>
      <c r="N41">
        <v>0.5</v>
      </c>
      <c r="O41">
        <v>2.2000000000000002</v>
      </c>
      <c r="P41">
        <v>20.2</v>
      </c>
      <c r="Q41" s="19">
        <f>(G41 - AVERAGE(FG_Range))*F41</f>
        <v>-6.8106956521737871E-2</v>
      </c>
      <c r="R41" s="19">
        <f>(J41 - AVERAGE(FT_RANGE))*I41</f>
        <v>0.49234956521739043</v>
      </c>
      <c r="S41" s="19">
        <f>(H41 - AVERAGE(Three_Range))/STDEV(Three_Range)</f>
        <v>-1.1413732362232678</v>
      </c>
      <c r="T41" s="19">
        <f>(P41 - AVERAGE(Pts_Range))/STDEV(Pts_Range)</f>
        <v>1.067671507764145</v>
      </c>
      <c r="U41" s="19">
        <f>(K41 - AVERAGE(Reb_Range))/STDEV(Reb_Range)</f>
        <v>0.60146708784747682</v>
      </c>
      <c r="V41" s="19">
        <f>(L41 - AVERAGE(Ast_Range))/STDEV(Ast_Range)</f>
        <v>1.5321226183808652</v>
      </c>
      <c r="W41" s="19">
        <f>(M41 - AVERAGE(Stl_Range))/STDEV(Stl_Range)</f>
        <v>2.1644748270073988</v>
      </c>
      <c r="X41" s="19">
        <f>(N41 - AVERAGE(Blk_Range))/STDEV(Blk_Range)</f>
        <v>-7.2152143778453748E-2</v>
      </c>
      <c r="Y41" s="19">
        <f>(O41 - AVERAGE(Tov_Range))/STDEV(Tov_Range)*-1</f>
        <v>-0.57987081459617329</v>
      </c>
      <c r="Z41" s="19">
        <f t="shared" si="0"/>
        <v>3.9965824550976432</v>
      </c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</row>
    <row r="42" spans="1:40" x14ac:dyDescent="0.55000000000000004">
      <c r="A42" t="s">
        <v>120</v>
      </c>
      <c r="B42" t="s">
        <v>25</v>
      </c>
      <c r="C42" t="s">
        <v>41</v>
      </c>
      <c r="D42">
        <v>63</v>
      </c>
      <c r="E42">
        <v>25.4</v>
      </c>
      <c r="F42">
        <v>7.4</v>
      </c>
      <c r="G42">
        <v>0.47199999999999998</v>
      </c>
      <c r="H42">
        <v>1.4</v>
      </c>
      <c r="I42">
        <v>1.5</v>
      </c>
      <c r="J42">
        <v>0.77900000000000003</v>
      </c>
      <c r="K42">
        <v>2.1</v>
      </c>
      <c r="L42">
        <v>1.7</v>
      </c>
      <c r="M42">
        <v>0.8</v>
      </c>
      <c r="N42">
        <v>0.2</v>
      </c>
      <c r="O42">
        <v>0.9</v>
      </c>
      <c r="P42">
        <v>9.5</v>
      </c>
      <c r="Q42" s="19">
        <f>(G42 - AVERAGE(FG_Range))*F42</f>
        <v>9.5588695652174316E-2</v>
      </c>
      <c r="R42" s="19">
        <f>(J42 - AVERAGE(FT_RANGE))*I42</f>
        <v>1.5652173913038858E-4</v>
      </c>
      <c r="S42" s="19">
        <f>(H42 - AVERAGE(Three_Range))/STDEV(Three_Range)</f>
        <v>-0.14321413230177851</v>
      </c>
      <c r="T42" s="19">
        <f>(P42 - AVERAGE(Pts_Range))/STDEV(Pts_Range)</f>
        <v>-0.73374051788206496</v>
      </c>
      <c r="U42" s="19">
        <f>(K42 - AVERAGE(Reb_Range))/STDEV(Reb_Range)</f>
        <v>-1.1915007575503842</v>
      </c>
      <c r="V42" s="19">
        <f>(L42 - AVERAGE(Ast_Range))/STDEV(Ast_Range)</f>
        <v>-0.68036038647278263</v>
      </c>
      <c r="W42" s="19">
        <f>(M42 - AVERAGE(Stl_Range))/STDEV(Stl_Range)</f>
        <v>-0.26527728357032115</v>
      </c>
      <c r="X42" s="19">
        <f>(N42 - AVERAGE(Blk_Range))/STDEV(Blk_Range)</f>
        <v>-0.66483046767289355</v>
      </c>
      <c r="Y42" s="19">
        <f>(O42 - AVERAGE(Tov_Range))/STDEV(Tov_Range)*-1</f>
        <v>0.91737766177909319</v>
      </c>
      <c r="Z42" s="19">
        <f t="shared" si="0"/>
        <v>-2.6658006662798268</v>
      </c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</row>
    <row r="43" spans="1:40" x14ac:dyDescent="0.55000000000000004">
      <c r="A43" t="s">
        <v>130</v>
      </c>
      <c r="B43" t="s">
        <v>35</v>
      </c>
      <c r="C43" t="s">
        <v>30</v>
      </c>
      <c r="D43">
        <v>35</v>
      </c>
      <c r="E43">
        <v>21</v>
      </c>
      <c r="F43">
        <v>5.2</v>
      </c>
      <c r="G43">
        <v>0.40400000000000003</v>
      </c>
      <c r="H43">
        <v>1.1000000000000001</v>
      </c>
      <c r="I43">
        <v>0.7</v>
      </c>
      <c r="J43">
        <v>0.87</v>
      </c>
      <c r="K43">
        <v>4.0999999999999996</v>
      </c>
      <c r="L43">
        <v>1.1000000000000001</v>
      </c>
      <c r="M43">
        <v>0.5</v>
      </c>
      <c r="N43">
        <v>0.3</v>
      </c>
      <c r="O43">
        <v>1</v>
      </c>
      <c r="P43">
        <v>5.9</v>
      </c>
      <c r="Q43" s="19">
        <f>(G43 - AVERAGE(FG_Range))*F43</f>
        <v>-0.28642956521739077</v>
      </c>
      <c r="R43" s="19">
        <f>(J43 - AVERAGE(FT_RANGE))*I43</f>
        <v>6.3773043478260821E-2</v>
      </c>
      <c r="S43" s="19">
        <f>(H43 - AVERAGE(Three_Range))/STDEV(Three_Range)</f>
        <v>-0.47593383360894148</v>
      </c>
      <c r="T43" s="19">
        <f>(P43 - AVERAGE(Pts_Range))/STDEV(Pts_Range)</f>
        <v>-1.3398230685667709</v>
      </c>
      <c r="U43" s="19">
        <f>(K43 - AVERAGE(Reb_Range))/STDEV(Reb_Range)</f>
        <v>-0.3946261595957794</v>
      </c>
      <c r="V43" s="19">
        <f>(L43 - AVERAGE(Ast_Range))/STDEV(Ast_Range)</f>
        <v>-0.98206261440737086</v>
      </c>
      <c r="W43" s="19">
        <f>(M43 - AVERAGE(Stl_Range))/STDEV(Stl_Range)</f>
        <v>-1.0751946537628947</v>
      </c>
      <c r="X43" s="19">
        <f>(N43 - AVERAGE(Blk_Range))/STDEV(Blk_Range)</f>
        <v>-0.46727102637474699</v>
      </c>
      <c r="Y43" s="19">
        <f>(O43 - AVERAGE(Tov_Range))/STDEV(Tov_Range)*-1</f>
        <v>0.80220470205791883</v>
      </c>
      <c r="Z43" s="19">
        <f t="shared" si="0"/>
        <v>-4.1553631759977145</v>
      </c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</row>
    <row r="44" spans="1:40" x14ac:dyDescent="0.55000000000000004">
      <c r="A44" t="s">
        <v>133</v>
      </c>
      <c r="B44" t="s">
        <v>15</v>
      </c>
      <c r="C44" t="s">
        <v>96</v>
      </c>
      <c r="D44">
        <v>59</v>
      </c>
      <c r="E44">
        <v>20.3</v>
      </c>
      <c r="F44">
        <v>6.5</v>
      </c>
      <c r="G44">
        <v>0.54500000000000004</v>
      </c>
      <c r="H44">
        <v>0.1</v>
      </c>
      <c r="I44">
        <v>2.6</v>
      </c>
      <c r="J44">
        <v>0.76900000000000002</v>
      </c>
      <c r="K44">
        <v>6.2</v>
      </c>
      <c r="L44">
        <v>1.9</v>
      </c>
      <c r="M44">
        <v>0.7</v>
      </c>
      <c r="N44">
        <v>1.1000000000000001</v>
      </c>
      <c r="O44">
        <v>1.3</v>
      </c>
      <c r="P44">
        <v>9.3000000000000007</v>
      </c>
      <c r="Q44" s="19">
        <f>(G44 - AVERAGE(FG_Range))*F44</f>
        <v>0.55846304347826159</v>
      </c>
      <c r="R44" s="19">
        <f>(J44 - AVERAGE(FT_RANGE))*I44</f>
        <v>-2.5728695652174016E-2</v>
      </c>
      <c r="S44" s="19">
        <f>(H44 - AVERAGE(Three_Range))/STDEV(Three_Range)</f>
        <v>-1.5849995046328187</v>
      </c>
      <c r="T44" s="19">
        <f>(P44 - AVERAGE(Pts_Range))/STDEV(Pts_Range)</f>
        <v>-0.7674117706978818</v>
      </c>
      <c r="U44" s="19">
        <f>(K44 - AVERAGE(Reb_Range))/STDEV(Reb_Range)</f>
        <v>0.44209216825655601</v>
      </c>
      <c r="V44" s="19">
        <f>(L44 - AVERAGE(Ast_Range))/STDEV(Ast_Range)</f>
        <v>-0.57979297716125322</v>
      </c>
      <c r="W44" s="19">
        <f>(M44 - AVERAGE(Stl_Range))/STDEV(Stl_Range)</f>
        <v>-0.53524974030117922</v>
      </c>
      <c r="X44" s="19">
        <f>(N44 - AVERAGE(Blk_Range))/STDEV(Blk_Range)</f>
        <v>1.1132045040104261</v>
      </c>
      <c r="Y44" s="19">
        <f>(O44 - AVERAGE(Tov_Range))/STDEV(Tov_Range)*-1</f>
        <v>0.4566858228943958</v>
      </c>
      <c r="Z44" s="19">
        <f t="shared" si="0"/>
        <v>-0.92273714980566757</v>
      </c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</row>
    <row r="45" spans="1:40" x14ac:dyDescent="0.55000000000000004">
      <c r="A45" t="s">
        <v>135</v>
      </c>
      <c r="B45" t="s">
        <v>15</v>
      </c>
      <c r="C45" t="s">
        <v>28</v>
      </c>
      <c r="D45">
        <v>50</v>
      </c>
      <c r="E45">
        <v>21.7</v>
      </c>
      <c r="F45">
        <v>8.1999999999999993</v>
      </c>
      <c r="G45">
        <v>0.623</v>
      </c>
      <c r="H45">
        <v>0.4</v>
      </c>
      <c r="I45">
        <v>1.9</v>
      </c>
      <c r="J45">
        <v>0.78500000000000003</v>
      </c>
      <c r="K45">
        <v>5.8</v>
      </c>
      <c r="L45">
        <v>1.4</v>
      </c>
      <c r="M45">
        <v>0.5</v>
      </c>
      <c r="N45">
        <v>0.8</v>
      </c>
      <c r="O45">
        <v>0.9</v>
      </c>
      <c r="P45">
        <v>12</v>
      </c>
      <c r="Q45" s="19">
        <f>(G45 - AVERAGE(FG_Range))*F45</f>
        <v>1.3441226086956526</v>
      </c>
      <c r="R45" s="19">
        <f>(J45 - AVERAGE(FT_RANGE))*I45</f>
        <v>1.1598260869565169E-2</v>
      </c>
      <c r="S45" s="19">
        <f>(H45 - AVERAGE(Three_Range))/STDEV(Three_Range)</f>
        <v>-1.2522798033256555</v>
      </c>
      <c r="T45" s="19">
        <f>(P45 - AVERAGE(Pts_Range))/STDEV(Pts_Range)</f>
        <v>-0.31284985768435231</v>
      </c>
      <c r="U45" s="19">
        <f>(K45 - AVERAGE(Reb_Range))/STDEV(Reb_Range)</f>
        <v>0.28271724866563486</v>
      </c>
      <c r="V45" s="19">
        <f>(L45 - AVERAGE(Ast_Range))/STDEV(Ast_Range)</f>
        <v>-0.83121150044007674</v>
      </c>
      <c r="W45" s="19">
        <f>(M45 - AVERAGE(Stl_Range))/STDEV(Stl_Range)</f>
        <v>-1.0751946537628947</v>
      </c>
      <c r="X45" s="19">
        <f>(N45 - AVERAGE(Blk_Range))/STDEV(Blk_Range)</f>
        <v>0.52052618011598617</v>
      </c>
      <c r="Y45" s="19">
        <f>(O45 - AVERAGE(Tov_Range))/STDEV(Tov_Range)*-1</f>
        <v>0.91737766177909319</v>
      </c>
      <c r="Z45" s="19">
        <f t="shared" si="0"/>
        <v>-0.39519385508704707</v>
      </c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</row>
    <row r="46" spans="1:40" x14ac:dyDescent="0.55000000000000004">
      <c r="A46" t="s">
        <v>136</v>
      </c>
      <c r="B46" t="s">
        <v>25</v>
      </c>
      <c r="C46" t="s">
        <v>87</v>
      </c>
      <c r="D46">
        <v>34</v>
      </c>
      <c r="E46">
        <v>25.3</v>
      </c>
      <c r="F46">
        <v>12.6</v>
      </c>
      <c r="G46">
        <v>0.48199999999999998</v>
      </c>
      <c r="H46">
        <v>2.1</v>
      </c>
      <c r="I46">
        <v>1.7</v>
      </c>
      <c r="J46">
        <v>0.78</v>
      </c>
      <c r="K46">
        <v>2.9</v>
      </c>
      <c r="L46">
        <v>1.6</v>
      </c>
      <c r="M46">
        <v>0.8</v>
      </c>
      <c r="N46">
        <v>0.2</v>
      </c>
      <c r="O46">
        <v>1.3</v>
      </c>
      <c r="P46">
        <v>15.6</v>
      </c>
      <c r="Q46" s="19">
        <f>(G46 - AVERAGE(FG_Range))*F46</f>
        <v>0.28875913043478341</v>
      </c>
      <c r="R46" s="19">
        <f>(J46 - AVERAGE(FT_RANGE))*I46</f>
        <v>1.8773913043477752E-3</v>
      </c>
      <c r="S46" s="19">
        <f>(H46 - AVERAGE(Three_Range))/STDEV(Three_Range)</f>
        <v>0.63313183741493573</v>
      </c>
      <c r="T46" s="19">
        <f>(P46 - AVERAGE(Pts_Range))/STDEV(Pts_Range)</f>
        <v>0.29323269300035382</v>
      </c>
      <c r="U46" s="19">
        <f>(K46 - AVERAGE(Reb_Range))/STDEV(Reb_Range)</f>
        <v>-0.87275091836854224</v>
      </c>
      <c r="V46" s="19">
        <f>(L46 - AVERAGE(Ast_Range))/STDEV(Ast_Range)</f>
        <v>-0.73064409112854722</v>
      </c>
      <c r="W46" s="19">
        <f>(M46 - AVERAGE(Stl_Range))/STDEV(Stl_Range)</f>
        <v>-0.26527728357032115</v>
      </c>
      <c r="X46" s="19">
        <f>(N46 - AVERAGE(Blk_Range))/STDEV(Blk_Range)</f>
        <v>-0.66483046767289355</v>
      </c>
      <c r="Y46" s="19">
        <f>(O46 - AVERAGE(Tov_Range))/STDEV(Tov_Range)*-1</f>
        <v>0.4566858228943958</v>
      </c>
      <c r="Z46" s="19">
        <f t="shared" si="0"/>
        <v>-0.85981588569148792</v>
      </c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</row>
    <row r="47" spans="1:40" x14ac:dyDescent="0.55000000000000004">
      <c r="A47" t="s">
        <v>142</v>
      </c>
      <c r="B47" t="s">
        <v>15</v>
      </c>
      <c r="C47" t="s">
        <v>77</v>
      </c>
      <c r="D47">
        <v>41</v>
      </c>
      <c r="E47">
        <v>33.200000000000003</v>
      </c>
      <c r="F47">
        <v>14.8</v>
      </c>
      <c r="G47">
        <v>0.58299999999999996</v>
      </c>
      <c r="H47">
        <v>1.4</v>
      </c>
      <c r="I47">
        <v>3.7</v>
      </c>
      <c r="J47">
        <v>0.8</v>
      </c>
      <c r="K47">
        <v>10.1</v>
      </c>
      <c r="L47">
        <v>1.5</v>
      </c>
      <c r="M47">
        <v>0.8</v>
      </c>
      <c r="N47">
        <v>1.6</v>
      </c>
      <c r="O47">
        <v>1.8</v>
      </c>
      <c r="P47">
        <v>21.6</v>
      </c>
      <c r="Q47" s="19">
        <f>(G47 - AVERAGE(FG_Range))*F47</f>
        <v>1.8339773913043484</v>
      </c>
      <c r="R47" s="19">
        <f>(J47 - AVERAGE(FT_RANGE))*I47</f>
        <v>7.8086086956521694E-2</v>
      </c>
      <c r="S47" s="19">
        <f>(H47 - AVERAGE(Three_Range))/STDEV(Three_Range)</f>
        <v>-0.14321413230177851</v>
      </c>
      <c r="T47" s="19">
        <f>(P47 - AVERAGE(Pts_Range))/STDEV(Pts_Range)</f>
        <v>1.3033702774748643</v>
      </c>
      <c r="U47" s="19">
        <f>(K47 - AVERAGE(Reb_Range))/STDEV(Reb_Range)</f>
        <v>1.9959976342680354</v>
      </c>
      <c r="V47" s="19">
        <f>(L47 - AVERAGE(Ast_Range))/STDEV(Ast_Range)</f>
        <v>-0.78092779578431204</v>
      </c>
      <c r="W47" s="19">
        <f>(M47 - AVERAGE(Stl_Range))/STDEV(Stl_Range)</f>
        <v>-0.26527728357032115</v>
      </c>
      <c r="X47" s="19">
        <f>(N47 - AVERAGE(Blk_Range))/STDEV(Blk_Range)</f>
        <v>2.1010017105011594</v>
      </c>
      <c r="Y47" s="19">
        <f>(O47 - AVERAGE(Tov_Range))/STDEV(Tov_Range)*-1</f>
        <v>-0.11917897571147582</v>
      </c>
      <c r="Z47" s="19">
        <f t="shared" si="0"/>
        <v>6.003834913137041</v>
      </c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</row>
    <row r="48" spans="1:40" x14ac:dyDescent="0.55000000000000004">
      <c r="A48" t="s">
        <v>143</v>
      </c>
      <c r="B48" t="s">
        <v>15</v>
      </c>
      <c r="C48" t="s">
        <v>44</v>
      </c>
      <c r="D48">
        <v>3</v>
      </c>
      <c r="E48">
        <v>28.7</v>
      </c>
      <c r="F48">
        <v>6.3</v>
      </c>
      <c r="G48">
        <v>0.47399999999999998</v>
      </c>
      <c r="H48">
        <v>1</v>
      </c>
      <c r="I48">
        <v>2</v>
      </c>
      <c r="J48">
        <v>1</v>
      </c>
      <c r="K48">
        <v>4</v>
      </c>
      <c r="L48">
        <v>2</v>
      </c>
      <c r="M48">
        <v>0</v>
      </c>
      <c r="N48">
        <v>0.7</v>
      </c>
      <c r="O48">
        <v>2</v>
      </c>
      <c r="P48">
        <v>9</v>
      </c>
      <c r="Q48" s="19">
        <f>(G48 - AVERAGE(FG_Range))*F48</f>
        <v>9.3979565217391661E-2</v>
      </c>
      <c r="R48" s="19">
        <f>(J48 - AVERAGE(FT_RANGE))*I48</f>
        <v>0.4422086956521738</v>
      </c>
      <c r="S48" s="19">
        <f>(H48 - AVERAGE(Three_Range))/STDEV(Three_Range)</f>
        <v>-0.58684040071132926</v>
      </c>
      <c r="T48" s="19">
        <f>(P48 - AVERAGE(Pts_Range))/STDEV(Pts_Range)</f>
        <v>-0.81791864992160745</v>
      </c>
      <c r="U48" s="19">
        <f>(K48 - AVERAGE(Reb_Range))/STDEV(Reb_Range)</f>
        <v>-0.43446988949350951</v>
      </c>
      <c r="V48" s="19">
        <f>(L48 - AVERAGE(Ast_Range))/STDEV(Ast_Range)</f>
        <v>-0.5295092725054884</v>
      </c>
      <c r="W48" s="19">
        <f>(M48 - AVERAGE(Stl_Range))/STDEV(Stl_Range)</f>
        <v>-2.425056937417184</v>
      </c>
      <c r="X48" s="19">
        <f>(N48 - AVERAGE(Blk_Range))/STDEV(Blk_Range)</f>
        <v>0.32296673881783944</v>
      </c>
      <c r="Y48" s="19">
        <f>(O48 - AVERAGE(Tov_Range))/STDEV(Tov_Range)*-1</f>
        <v>-0.3495248951538244</v>
      </c>
      <c r="Z48" s="19">
        <f t="shared" si="0"/>
        <v>-4.2841650455155378</v>
      </c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</row>
    <row r="49" spans="1:40" x14ac:dyDescent="0.55000000000000004">
      <c r="A49" t="s">
        <v>144</v>
      </c>
      <c r="B49" t="s">
        <v>47</v>
      </c>
      <c r="C49" t="s">
        <v>87</v>
      </c>
      <c r="D49">
        <v>41</v>
      </c>
      <c r="E49">
        <v>28.6</v>
      </c>
      <c r="F49">
        <v>11.9</v>
      </c>
      <c r="G49">
        <v>0.40500000000000003</v>
      </c>
      <c r="H49">
        <v>2</v>
      </c>
      <c r="I49">
        <v>2.9</v>
      </c>
      <c r="J49">
        <v>0.79500000000000004</v>
      </c>
      <c r="K49">
        <v>3.2</v>
      </c>
      <c r="L49">
        <v>4.3</v>
      </c>
      <c r="M49">
        <v>0.8</v>
      </c>
      <c r="N49">
        <v>0.1</v>
      </c>
      <c r="O49">
        <v>1.9</v>
      </c>
      <c r="P49">
        <v>13.8</v>
      </c>
      <c r="Q49" s="19">
        <f>(G49 - AVERAGE(FG_Range))*F49</f>
        <v>-0.64358304347825968</v>
      </c>
      <c r="R49" s="19">
        <f>(J49 - AVERAGE(FT_RANGE))*I49</f>
        <v>4.6702608695652126E-2</v>
      </c>
      <c r="S49" s="19">
        <f>(H49 - AVERAGE(Three_Range))/STDEV(Three_Range)</f>
        <v>0.52222527031254784</v>
      </c>
      <c r="T49" s="19">
        <f>(P49 - AVERAGE(Pts_Range))/STDEV(Pts_Range)</f>
        <v>-9.8085823419990885E-3</v>
      </c>
      <c r="U49" s="19">
        <f>(K49 - AVERAGE(Reb_Range))/STDEV(Reb_Range)</f>
        <v>-0.75321972867535136</v>
      </c>
      <c r="V49" s="19">
        <f>(L49 - AVERAGE(Ast_Range))/STDEV(Ast_Range)</f>
        <v>0.62701593457710014</v>
      </c>
      <c r="W49" s="19">
        <f>(M49 - AVERAGE(Stl_Range))/STDEV(Stl_Range)</f>
        <v>-0.26527728357032115</v>
      </c>
      <c r="X49" s="19">
        <f>(N49 - AVERAGE(Blk_Range))/STDEV(Blk_Range)</f>
        <v>-0.86238990897104029</v>
      </c>
      <c r="Y49" s="19">
        <f>(O49 - AVERAGE(Tov_Range))/STDEV(Tov_Range)*-1</f>
        <v>-0.23435193543264998</v>
      </c>
      <c r="Z49" s="19">
        <f t="shared" si="0"/>
        <v>-1.5726866688843215</v>
      </c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</row>
    <row r="50" spans="1:40" x14ac:dyDescent="0.55000000000000004">
      <c r="A50" t="s">
        <v>147</v>
      </c>
      <c r="B50" t="s">
        <v>15</v>
      </c>
      <c r="C50" t="s">
        <v>37</v>
      </c>
      <c r="D50">
        <v>14</v>
      </c>
      <c r="E50">
        <v>32.6</v>
      </c>
      <c r="F50">
        <v>10.9</v>
      </c>
      <c r="G50">
        <v>0.42099999999999999</v>
      </c>
      <c r="H50">
        <v>2.9</v>
      </c>
      <c r="I50">
        <v>1</v>
      </c>
      <c r="J50">
        <v>0.78600000000000003</v>
      </c>
      <c r="K50">
        <v>7.9</v>
      </c>
      <c r="L50">
        <v>1.3</v>
      </c>
      <c r="M50">
        <v>1.1000000000000001</v>
      </c>
      <c r="N50">
        <v>2.5</v>
      </c>
      <c r="O50">
        <v>1.4</v>
      </c>
      <c r="P50">
        <v>12.8</v>
      </c>
      <c r="Q50" s="19">
        <f>(G50 - AVERAGE(FG_Range))*F50</f>
        <v>-0.415100434782608</v>
      </c>
      <c r="R50" s="19">
        <f>(J50 - AVERAGE(FT_RANGE))*I50</f>
        <v>7.1043478260869319E-3</v>
      </c>
      <c r="S50" s="19">
        <f>(H50 - AVERAGE(Three_Range))/STDEV(Three_Range)</f>
        <v>1.5203843742340373</v>
      </c>
      <c r="T50" s="19">
        <f>(P50 - AVERAGE(Pts_Range))/STDEV(Pts_Range)</f>
        <v>-0.17816484642108413</v>
      </c>
      <c r="U50" s="19">
        <f>(K50 - AVERAGE(Reb_Range))/STDEV(Reb_Range)</f>
        <v>1.1194355765179702</v>
      </c>
      <c r="V50" s="19">
        <f>(L50 - AVERAGE(Ast_Range))/STDEV(Ast_Range)</f>
        <v>-0.88149520509584145</v>
      </c>
      <c r="W50" s="19">
        <f>(M50 - AVERAGE(Stl_Range))/STDEV(Stl_Range)</f>
        <v>0.54464008662225238</v>
      </c>
      <c r="X50" s="19">
        <f>(N50 - AVERAGE(Blk_Range))/STDEV(Blk_Range)</f>
        <v>3.8790366821844788</v>
      </c>
      <c r="Y50" s="19">
        <f>(O50 - AVERAGE(Tov_Range))/STDEV(Tov_Range)*-1</f>
        <v>0.34151286317322166</v>
      </c>
      <c r="Z50" s="19">
        <f t="shared" si="0"/>
        <v>5.9373534442585134</v>
      </c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</row>
    <row r="51" spans="1:40" x14ac:dyDescent="0.55000000000000004">
      <c r="A51" t="s">
        <v>149</v>
      </c>
      <c r="B51" t="s">
        <v>35</v>
      </c>
      <c r="C51" t="s">
        <v>21</v>
      </c>
      <c r="D51">
        <v>13</v>
      </c>
      <c r="E51">
        <v>28.7</v>
      </c>
      <c r="F51">
        <v>8.8000000000000007</v>
      </c>
      <c r="G51">
        <v>0.439</v>
      </c>
      <c r="H51">
        <v>2.7</v>
      </c>
      <c r="I51">
        <v>2</v>
      </c>
      <c r="J51">
        <v>0.76900000000000002</v>
      </c>
      <c r="K51">
        <v>5.8</v>
      </c>
      <c r="L51">
        <v>2</v>
      </c>
      <c r="M51">
        <v>1.5</v>
      </c>
      <c r="N51">
        <v>0.5</v>
      </c>
      <c r="O51">
        <v>0.6</v>
      </c>
      <c r="P51">
        <v>11.9</v>
      </c>
      <c r="Q51" s="19">
        <f>(G51 - AVERAGE(FG_Range))*F51</f>
        <v>-0.17672695652173845</v>
      </c>
      <c r="R51" s="19">
        <f>(J51 - AVERAGE(FT_RANGE))*I51</f>
        <v>-1.9791304347826166E-2</v>
      </c>
      <c r="S51" s="19">
        <f>(H51 - AVERAGE(Three_Range))/STDEV(Three_Range)</f>
        <v>1.2985712400292622</v>
      </c>
      <c r="T51" s="19">
        <f>(P51 - AVERAGE(Pts_Range))/STDEV(Pts_Range)</f>
        <v>-0.32968548409226073</v>
      </c>
      <c r="U51" s="19">
        <f>(K51 - AVERAGE(Reb_Range))/STDEV(Reb_Range)</f>
        <v>0.28271724866563486</v>
      </c>
      <c r="V51" s="19">
        <f>(L51 - AVERAGE(Ast_Range))/STDEV(Ast_Range)</f>
        <v>-0.5295092725054884</v>
      </c>
      <c r="W51" s="19">
        <f>(M51 - AVERAGE(Stl_Range))/STDEV(Stl_Range)</f>
        <v>1.6245299135456834</v>
      </c>
      <c r="X51" s="19">
        <f>(N51 - AVERAGE(Blk_Range))/STDEV(Blk_Range)</f>
        <v>-7.2152143778453748E-2</v>
      </c>
      <c r="Y51" s="19">
        <f>(O51 - AVERAGE(Tov_Range))/STDEV(Tov_Range)*-1</f>
        <v>1.2628965409426163</v>
      </c>
      <c r="Z51" s="19">
        <f t="shared" si="0"/>
        <v>3.340849781937429</v>
      </c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</row>
    <row r="52" spans="1:40" x14ac:dyDescent="0.55000000000000004">
      <c r="A52" t="s">
        <v>150</v>
      </c>
      <c r="B52" t="s">
        <v>25</v>
      </c>
      <c r="C52" t="s">
        <v>65</v>
      </c>
      <c r="D52">
        <v>63</v>
      </c>
      <c r="E52">
        <v>23.9</v>
      </c>
      <c r="F52">
        <v>9</v>
      </c>
      <c r="G52">
        <v>0.40400000000000003</v>
      </c>
      <c r="H52">
        <v>1</v>
      </c>
      <c r="I52">
        <v>1.9</v>
      </c>
      <c r="J52">
        <v>0.46200000000000002</v>
      </c>
      <c r="K52">
        <v>3.4</v>
      </c>
      <c r="L52">
        <v>1.7</v>
      </c>
      <c r="M52">
        <v>0.9</v>
      </c>
      <c r="N52">
        <v>0.6</v>
      </c>
      <c r="O52">
        <v>1.3</v>
      </c>
      <c r="P52">
        <v>9.1999999999999993</v>
      </c>
      <c r="Q52" s="19">
        <f>(G52 - AVERAGE(FG_Range))*F52</f>
        <v>-0.49574347826086862</v>
      </c>
      <c r="R52" s="19">
        <f>(J52 - AVERAGE(FT_RANGE))*I52</f>
        <v>-0.60210173913043485</v>
      </c>
      <c r="S52" s="19">
        <f>(H52 - AVERAGE(Three_Range))/STDEV(Three_Range)</f>
        <v>-0.58684040071132926</v>
      </c>
      <c r="T52" s="19">
        <f>(P52 - AVERAGE(Pts_Range))/STDEV(Pts_Range)</f>
        <v>-0.7842473971057905</v>
      </c>
      <c r="U52" s="19">
        <f>(K52 - AVERAGE(Reb_Range))/STDEV(Reb_Range)</f>
        <v>-0.67353226887989104</v>
      </c>
      <c r="V52" s="19">
        <f>(L52 - AVERAGE(Ast_Range))/STDEV(Ast_Range)</f>
        <v>-0.68036038647278263</v>
      </c>
      <c r="W52" s="19">
        <f>(M52 - AVERAGE(Stl_Range))/STDEV(Stl_Range)</f>
        <v>4.6951731605365706E-3</v>
      </c>
      <c r="X52" s="19">
        <f>(N52 - AVERAGE(Blk_Range))/STDEV(Blk_Range)</f>
        <v>0.12540729751969285</v>
      </c>
      <c r="Y52" s="19">
        <f>(O52 - AVERAGE(Tov_Range))/STDEV(Tov_Range)*-1</f>
        <v>0.4566858228943958</v>
      </c>
      <c r="Z52" s="19">
        <f t="shared" si="0"/>
        <v>-3.2360373769864714</v>
      </c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</row>
    <row r="53" spans="1:40" x14ac:dyDescent="0.55000000000000004">
      <c r="A53" t="s">
        <v>151</v>
      </c>
      <c r="B53" t="s">
        <v>25</v>
      </c>
      <c r="C53" t="s">
        <v>60</v>
      </c>
      <c r="D53">
        <v>59</v>
      </c>
      <c r="E53">
        <v>24.5</v>
      </c>
      <c r="F53">
        <v>9</v>
      </c>
      <c r="G53">
        <v>0.5</v>
      </c>
      <c r="H53">
        <v>2.2999999999999998</v>
      </c>
      <c r="I53">
        <v>1.5</v>
      </c>
      <c r="J53">
        <v>0.84099999999999997</v>
      </c>
      <c r="K53">
        <v>2.4</v>
      </c>
      <c r="L53">
        <v>2</v>
      </c>
      <c r="M53">
        <v>0.6</v>
      </c>
      <c r="N53">
        <v>0.1</v>
      </c>
      <c r="O53">
        <v>1</v>
      </c>
      <c r="P53">
        <v>12.6</v>
      </c>
      <c r="Q53" s="19">
        <f>(G53 - AVERAGE(FG_Range))*F53</f>
        <v>0.36825652173913115</v>
      </c>
      <c r="R53" s="19">
        <f>(J53 - AVERAGE(FT_RANGE))*I53</f>
        <v>9.3156521739130305E-2</v>
      </c>
      <c r="S53" s="19">
        <f>(H53 - AVERAGE(Three_Range))/STDEV(Three_Range)</f>
        <v>0.85494497161971084</v>
      </c>
      <c r="T53" s="19">
        <f>(P53 - AVERAGE(Pts_Range))/STDEV(Pts_Range)</f>
        <v>-0.21183609923690133</v>
      </c>
      <c r="U53" s="19">
        <f>(K53 - AVERAGE(Reb_Range))/STDEV(Reb_Range)</f>
        <v>-1.0719695678571934</v>
      </c>
      <c r="V53" s="19">
        <f>(L53 - AVERAGE(Ast_Range))/STDEV(Ast_Range)</f>
        <v>-0.5295092725054884</v>
      </c>
      <c r="W53" s="19">
        <f>(M53 - AVERAGE(Stl_Range))/STDEV(Stl_Range)</f>
        <v>-0.80522219703203701</v>
      </c>
      <c r="X53" s="19">
        <f>(N53 - AVERAGE(Blk_Range))/STDEV(Blk_Range)</f>
        <v>-0.86238990897104029</v>
      </c>
      <c r="Y53" s="19">
        <f>(O53 - AVERAGE(Tov_Range))/STDEV(Tov_Range)*-1</f>
        <v>0.80220470205791883</v>
      </c>
      <c r="Z53" s="19">
        <f t="shared" si="0"/>
        <v>-1.362364328446769</v>
      </c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</row>
    <row r="54" spans="1:40" x14ac:dyDescent="0.55000000000000004">
      <c r="A54" t="s">
        <v>152</v>
      </c>
      <c r="B54" t="s">
        <v>47</v>
      </c>
      <c r="C54" t="s">
        <v>96</v>
      </c>
      <c r="D54">
        <v>5</v>
      </c>
      <c r="E54">
        <v>27.8</v>
      </c>
      <c r="F54">
        <v>16.399999999999999</v>
      </c>
      <c r="G54">
        <v>0.40200000000000002</v>
      </c>
      <c r="H54">
        <v>2.4</v>
      </c>
      <c r="I54">
        <v>5.2</v>
      </c>
      <c r="J54">
        <v>1</v>
      </c>
      <c r="K54">
        <v>5.2</v>
      </c>
      <c r="L54">
        <v>6.6</v>
      </c>
      <c r="M54">
        <v>1</v>
      </c>
      <c r="N54">
        <v>0.4</v>
      </c>
      <c r="O54">
        <v>3.2</v>
      </c>
      <c r="P54">
        <v>20.8</v>
      </c>
      <c r="Q54" s="19">
        <f>(G54 - AVERAGE(FG_Range))*F54</f>
        <v>-0.93615478260869389</v>
      </c>
      <c r="R54" s="19">
        <f>(J54 - AVERAGE(FT_RANGE))*I54</f>
        <v>1.1497426086956519</v>
      </c>
      <c r="S54" s="19">
        <f>(H54 - AVERAGE(Three_Range))/STDEV(Three_Range)</f>
        <v>0.96585153872209861</v>
      </c>
      <c r="T54" s="19">
        <f>(P54 - AVERAGE(Pts_Range))/STDEV(Pts_Range)</f>
        <v>1.1686852662115963</v>
      </c>
      <c r="U54" s="19">
        <f>(K54 - AVERAGE(Reb_Range))/STDEV(Reb_Range)</f>
        <v>4.3654869279253543E-2</v>
      </c>
      <c r="V54" s="19">
        <f>(L54 - AVERAGE(Ast_Range))/STDEV(Ast_Range)</f>
        <v>1.7835411416596887</v>
      </c>
      <c r="W54" s="19">
        <f>(M54 - AVERAGE(Stl_Range))/STDEV(Stl_Range)</f>
        <v>0.27466762989139432</v>
      </c>
      <c r="X54" s="19">
        <f>(N54 - AVERAGE(Blk_Range))/STDEV(Blk_Range)</f>
        <v>-0.26971158507660031</v>
      </c>
      <c r="Y54" s="19">
        <f>(O54 - AVERAGE(Tov_Range))/STDEV(Tov_Range)*-1</f>
        <v>-1.7316004118079165</v>
      </c>
      <c r="Z54" s="19">
        <f t="shared" si="0"/>
        <v>2.4486762749664721</v>
      </c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</row>
    <row r="55" spans="1:40" x14ac:dyDescent="0.55000000000000004">
      <c r="A55" t="s">
        <v>153</v>
      </c>
      <c r="B55" t="s">
        <v>15</v>
      </c>
      <c r="C55" t="s">
        <v>41</v>
      </c>
      <c r="D55">
        <v>55</v>
      </c>
      <c r="E55">
        <v>34.299999999999997</v>
      </c>
      <c r="F55">
        <v>18.100000000000001</v>
      </c>
      <c r="G55">
        <v>0.51100000000000001</v>
      </c>
      <c r="H55">
        <v>1.2</v>
      </c>
      <c r="I55">
        <v>8.3000000000000007</v>
      </c>
      <c r="J55">
        <v>0.84499999999999997</v>
      </c>
      <c r="K55">
        <v>9.4</v>
      </c>
      <c r="L55">
        <v>3.1</v>
      </c>
      <c r="M55">
        <v>1.5</v>
      </c>
      <c r="N55">
        <v>2.4</v>
      </c>
      <c r="O55">
        <v>2.5</v>
      </c>
      <c r="P55">
        <v>26.7</v>
      </c>
      <c r="Q55" s="19">
        <f>(G55 - AVERAGE(FG_Range))*F55</f>
        <v>0.93970478260869739</v>
      </c>
      <c r="R55" s="19">
        <f>(J55 - AVERAGE(FT_RANGE))*I55</f>
        <v>0.54866608695652108</v>
      </c>
      <c r="S55" s="19">
        <f>(H55 - AVERAGE(Three_Range))/STDEV(Three_Range)</f>
        <v>-0.36502726650655393</v>
      </c>
      <c r="T55" s="19">
        <f>(P55 - AVERAGE(Pts_Range))/STDEV(Pts_Range)</f>
        <v>2.1619872242781977</v>
      </c>
      <c r="U55" s="19">
        <f>(K55 - AVERAGE(Reb_Range))/STDEV(Reb_Range)</f>
        <v>1.717091524983924</v>
      </c>
      <c r="V55" s="19">
        <f>(L55 - AVERAGE(Ast_Range))/STDEV(Ast_Range)</f>
        <v>2.361147870792359E-2</v>
      </c>
      <c r="W55" s="19">
        <f>(M55 - AVERAGE(Stl_Range))/STDEV(Stl_Range)</f>
        <v>1.6245299135456834</v>
      </c>
      <c r="X55" s="19">
        <f>(N55 - AVERAGE(Blk_Range))/STDEV(Blk_Range)</f>
        <v>3.6814772408863319</v>
      </c>
      <c r="Y55" s="19">
        <f>(O55 - AVERAGE(Tov_Range))/STDEV(Tov_Range)*-1</f>
        <v>-0.92538969375969604</v>
      </c>
      <c r="Z55" s="19">
        <f t="shared" si="0"/>
        <v>9.4066512917010296</v>
      </c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</row>
    <row r="56" spans="1:40" x14ac:dyDescent="0.55000000000000004">
      <c r="A56" t="s">
        <v>156</v>
      </c>
      <c r="B56" t="s">
        <v>18</v>
      </c>
      <c r="C56" t="s">
        <v>77</v>
      </c>
      <c r="D56">
        <v>10</v>
      </c>
      <c r="E56">
        <v>23.3</v>
      </c>
      <c r="F56">
        <v>8.4</v>
      </c>
      <c r="G56">
        <v>0.39300000000000002</v>
      </c>
      <c r="H56">
        <v>0.8</v>
      </c>
      <c r="I56">
        <v>0.8</v>
      </c>
      <c r="J56">
        <v>0.875</v>
      </c>
      <c r="K56">
        <v>8.1999999999999993</v>
      </c>
      <c r="L56">
        <v>0.7</v>
      </c>
      <c r="M56">
        <v>1</v>
      </c>
      <c r="N56">
        <v>1.5</v>
      </c>
      <c r="O56">
        <v>1</v>
      </c>
      <c r="P56">
        <v>8.1</v>
      </c>
      <c r="Q56" s="19">
        <f>(G56 - AVERAGE(FG_Range))*F56</f>
        <v>-0.55509391304347744</v>
      </c>
      <c r="R56" s="19">
        <f>(J56 - AVERAGE(FT_RANGE))*I56</f>
        <v>7.6883478260869526E-2</v>
      </c>
      <c r="S56" s="19">
        <f>(H56 - AVERAGE(Three_Range))/STDEV(Three_Range)</f>
        <v>-0.8086535349161047</v>
      </c>
      <c r="T56" s="19">
        <f>(P56 - AVERAGE(Pts_Range))/STDEV(Pts_Range)</f>
        <v>-0.96943928759278408</v>
      </c>
      <c r="U56" s="19">
        <f>(K56 - AVERAGE(Reb_Range))/STDEV(Reb_Range)</f>
        <v>1.2389667662111605</v>
      </c>
      <c r="V56" s="19">
        <f>(L56 - AVERAGE(Ast_Range))/STDEV(Ast_Range)</f>
        <v>-1.18319743303043</v>
      </c>
      <c r="W56" s="19">
        <f>(M56 - AVERAGE(Stl_Range))/STDEV(Stl_Range)</f>
        <v>0.27466762989139432</v>
      </c>
      <c r="X56" s="19">
        <f>(N56 - AVERAGE(Blk_Range))/STDEV(Blk_Range)</f>
        <v>1.9034422692030124</v>
      </c>
      <c r="Y56" s="19">
        <f>(O56 - AVERAGE(Tov_Range))/STDEV(Tov_Range)*-1</f>
        <v>0.80220470205791883</v>
      </c>
      <c r="Z56" s="19">
        <f t="shared" si="0"/>
        <v>0.77978067704155896</v>
      </c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</row>
    <row r="57" spans="1:40" x14ac:dyDescent="0.55000000000000004">
      <c r="A57" t="s">
        <v>157</v>
      </c>
      <c r="B57" t="s">
        <v>35</v>
      </c>
      <c r="C57" t="s">
        <v>23</v>
      </c>
      <c r="D57">
        <v>61</v>
      </c>
      <c r="E57">
        <v>34.299999999999997</v>
      </c>
      <c r="F57">
        <v>15.7</v>
      </c>
      <c r="G57">
        <v>0.52600000000000002</v>
      </c>
      <c r="H57">
        <v>0.1</v>
      </c>
      <c r="I57">
        <v>6.6</v>
      </c>
      <c r="J57">
        <v>0.84299999999999997</v>
      </c>
      <c r="K57">
        <v>5.6</v>
      </c>
      <c r="L57">
        <v>5.6</v>
      </c>
      <c r="M57">
        <v>1</v>
      </c>
      <c r="N57">
        <v>0.2</v>
      </c>
      <c r="O57">
        <v>2.4</v>
      </c>
      <c r="P57">
        <v>22.2</v>
      </c>
      <c r="Q57" s="19">
        <f>(G57 - AVERAGE(FG_Range))*F57</f>
        <v>1.0506030434782625</v>
      </c>
      <c r="R57" s="19">
        <f>(J57 - AVERAGE(FT_RANGE))*I57</f>
        <v>0.42308869565217333</v>
      </c>
      <c r="S57" s="19">
        <f>(H57 - AVERAGE(Three_Range))/STDEV(Three_Range)</f>
        <v>-1.5849995046328187</v>
      </c>
      <c r="T57" s="19">
        <f>(P57 - AVERAGE(Pts_Range))/STDEV(Pts_Range)</f>
        <v>1.404384035922315</v>
      </c>
      <c r="U57" s="19">
        <f>(K57 - AVERAGE(Reb_Range))/STDEV(Reb_Range)</f>
        <v>0.20302978887017431</v>
      </c>
      <c r="V57" s="19">
        <f>(L57 - AVERAGE(Ast_Range))/STDEV(Ast_Range)</f>
        <v>1.2807040951020414</v>
      </c>
      <c r="W57" s="19">
        <f>(M57 - AVERAGE(Stl_Range))/STDEV(Stl_Range)</f>
        <v>0.27466762989139432</v>
      </c>
      <c r="X57" s="19">
        <f>(N57 - AVERAGE(Blk_Range))/STDEV(Blk_Range)</f>
        <v>-0.66483046767289355</v>
      </c>
      <c r="Y57" s="19">
        <f>(O57 - AVERAGE(Tov_Range))/STDEV(Tov_Range)*-1</f>
        <v>-0.81021673403852157</v>
      </c>
      <c r="Z57" s="19">
        <f t="shared" si="0"/>
        <v>1.5764305825721268</v>
      </c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</row>
    <row r="58" spans="1:40" x14ac:dyDescent="0.55000000000000004">
      <c r="A58" t="s">
        <v>161</v>
      </c>
      <c r="B58" t="s">
        <v>25</v>
      </c>
      <c r="C58" t="s">
        <v>30</v>
      </c>
      <c r="D58">
        <v>64</v>
      </c>
      <c r="E58">
        <v>31.2</v>
      </c>
      <c r="F58">
        <v>16</v>
      </c>
      <c r="G58">
        <v>0.41499999999999998</v>
      </c>
      <c r="H58">
        <v>1.9</v>
      </c>
      <c r="I58">
        <v>7</v>
      </c>
      <c r="J58">
        <v>0.77800000000000002</v>
      </c>
      <c r="K58">
        <v>3.5</v>
      </c>
      <c r="L58">
        <v>6.8</v>
      </c>
      <c r="M58">
        <v>0.6</v>
      </c>
      <c r="N58">
        <v>0.3</v>
      </c>
      <c r="O58">
        <v>2.7</v>
      </c>
      <c r="P58">
        <v>20.6</v>
      </c>
      <c r="Q58" s="19">
        <f>(G58 - AVERAGE(FG_Range))*F58</f>
        <v>-0.70532173913043383</v>
      </c>
      <c r="R58" s="19">
        <f>(J58 - AVERAGE(FT_RANGE))*I58</f>
        <v>-6.2695652173915262E-3</v>
      </c>
      <c r="S58" s="19">
        <f>(H58 - AVERAGE(Three_Range))/STDEV(Three_Range)</f>
        <v>0.41131870321016006</v>
      </c>
      <c r="T58" s="19">
        <f>(P58 - AVERAGE(Pts_Range))/STDEV(Pts_Range)</f>
        <v>1.1350140133957793</v>
      </c>
      <c r="U58" s="19">
        <f>(K58 - AVERAGE(Reb_Range))/STDEV(Reb_Range)</f>
        <v>-0.63368853898216071</v>
      </c>
      <c r="V58" s="19">
        <f>(L58 - AVERAGE(Ast_Range))/STDEV(Ast_Range)</f>
        <v>1.8841085509712183</v>
      </c>
      <c r="W58" s="19">
        <f>(M58 - AVERAGE(Stl_Range))/STDEV(Stl_Range)</f>
        <v>-0.80522219703203701</v>
      </c>
      <c r="X58" s="19">
        <f>(N58 - AVERAGE(Blk_Range))/STDEV(Blk_Range)</f>
        <v>-0.46727102637474699</v>
      </c>
      <c r="Y58" s="19">
        <f>(O58 - AVERAGE(Tov_Range))/STDEV(Tov_Range)*-1</f>
        <v>-1.1557356132020449</v>
      </c>
      <c r="Z58" s="19">
        <f t="shared" si="0"/>
        <v>-0.34306741236165705</v>
      </c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</row>
    <row r="59" spans="1:40" x14ac:dyDescent="0.55000000000000004">
      <c r="A59" t="s">
        <v>162</v>
      </c>
      <c r="B59" t="s">
        <v>25</v>
      </c>
      <c r="C59" t="s">
        <v>39</v>
      </c>
      <c r="D59">
        <v>59</v>
      </c>
      <c r="E59">
        <v>23.1</v>
      </c>
      <c r="F59">
        <v>7.7</v>
      </c>
      <c r="G59">
        <v>0.46200000000000002</v>
      </c>
      <c r="H59">
        <v>1.3</v>
      </c>
      <c r="I59">
        <v>1.3</v>
      </c>
      <c r="J59">
        <v>0.76900000000000002</v>
      </c>
      <c r="K59">
        <v>4.9000000000000004</v>
      </c>
      <c r="L59">
        <v>2.2999999999999998</v>
      </c>
      <c r="M59">
        <v>1.4</v>
      </c>
      <c r="N59">
        <v>0.3</v>
      </c>
      <c r="O59">
        <v>1.2</v>
      </c>
      <c r="P59">
        <v>9.4</v>
      </c>
      <c r="Q59" s="19">
        <f>(G59 - AVERAGE(FG_Range))*F59</f>
        <v>2.2463913043479038E-2</v>
      </c>
      <c r="R59" s="19">
        <f>(J59 - AVERAGE(FT_RANGE))*I59</f>
        <v>-1.2864347826087008E-2</v>
      </c>
      <c r="S59" s="19">
        <f>(H59 - AVERAGE(Three_Range))/STDEV(Three_Range)</f>
        <v>-0.25412069940416609</v>
      </c>
      <c r="T59" s="19">
        <f>(P59 - AVERAGE(Pts_Range))/STDEV(Pts_Range)</f>
        <v>-0.75057614428997332</v>
      </c>
      <c r="U59" s="19">
        <f>(K59 - AVERAGE(Reb_Range))/STDEV(Reb_Range)</f>
        <v>-7.5876320413937132E-2</v>
      </c>
      <c r="V59" s="19">
        <f>(L59 - AVERAGE(Ast_Range))/STDEV(Ast_Range)</f>
        <v>-0.37865815853819434</v>
      </c>
      <c r="W59" s="19">
        <f>(M59 - AVERAGE(Stl_Range))/STDEV(Stl_Range)</f>
        <v>1.3545574568148253</v>
      </c>
      <c r="X59" s="19">
        <f>(N59 - AVERAGE(Blk_Range))/STDEV(Blk_Range)</f>
        <v>-0.46727102637474699</v>
      </c>
      <c r="Y59" s="19">
        <f>(O59 - AVERAGE(Tov_Range))/STDEV(Tov_Range)*-1</f>
        <v>0.57185878261557022</v>
      </c>
      <c r="Z59" s="19">
        <f t="shared" si="0"/>
        <v>9.5134556267696402E-3</v>
      </c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</row>
    <row r="60" spans="1:40" x14ac:dyDescent="0.55000000000000004">
      <c r="A60" t="s">
        <v>653</v>
      </c>
      <c r="B60" t="s">
        <v>47</v>
      </c>
      <c r="C60" t="s">
        <v>60</v>
      </c>
      <c r="D60">
        <v>54</v>
      </c>
      <c r="E60">
        <v>33.299999999999997</v>
      </c>
      <c r="F60">
        <v>20.6</v>
      </c>
      <c r="G60">
        <v>0.46100000000000002</v>
      </c>
      <c r="H60">
        <v>2.9</v>
      </c>
      <c r="I60">
        <v>9.1</v>
      </c>
      <c r="J60">
        <v>0.752</v>
      </c>
      <c r="K60">
        <v>9.3000000000000007</v>
      </c>
      <c r="L60">
        <v>8.6999999999999993</v>
      </c>
      <c r="M60">
        <v>1.1000000000000001</v>
      </c>
      <c r="N60">
        <v>0.2</v>
      </c>
      <c r="O60">
        <v>4.2</v>
      </c>
      <c r="P60">
        <v>28.7</v>
      </c>
      <c r="Q60" s="19">
        <f>(G60 - AVERAGE(FG_Range))*F60</f>
        <v>3.9498260869567287E-2</v>
      </c>
      <c r="R60" s="19">
        <f>(J60 - AVERAGE(FT_RANGE))*I60</f>
        <v>-0.24475043478260919</v>
      </c>
      <c r="S60" s="19">
        <f>(H60 - AVERAGE(Three_Range))/STDEV(Three_Range)</f>
        <v>1.5203843742340373</v>
      </c>
      <c r="T60" s="19">
        <f>(P60 - AVERAGE(Pts_Range))/STDEV(Pts_Range)</f>
        <v>2.4986997524363677</v>
      </c>
      <c r="U60" s="19">
        <f>(K60 - AVERAGE(Reb_Range))/STDEV(Reb_Range)</f>
        <v>1.6772477950861939</v>
      </c>
      <c r="V60" s="19">
        <f>(L60 - AVERAGE(Ast_Range))/STDEV(Ast_Range)</f>
        <v>2.8394989394307473</v>
      </c>
      <c r="W60" s="19">
        <f>(M60 - AVERAGE(Stl_Range))/STDEV(Stl_Range)</f>
        <v>0.54464008662225238</v>
      </c>
      <c r="X60" s="19">
        <f>(N60 - AVERAGE(Blk_Range))/STDEV(Blk_Range)</f>
        <v>-0.66483046767289355</v>
      </c>
      <c r="Y60" s="19">
        <f>(O60 - AVERAGE(Tov_Range))/STDEV(Tov_Range)*-1</f>
        <v>-2.8833300090196601</v>
      </c>
      <c r="Z60" s="19">
        <f t="shared" si="0"/>
        <v>5.3270582972040028</v>
      </c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</row>
    <row r="61" spans="1:40" x14ac:dyDescent="0.55000000000000004">
      <c r="A61" t="s">
        <v>163</v>
      </c>
      <c r="B61" t="s">
        <v>25</v>
      </c>
      <c r="C61" t="s">
        <v>19</v>
      </c>
      <c r="D61">
        <v>29</v>
      </c>
      <c r="E61">
        <v>22</v>
      </c>
      <c r="F61">
        <v>5.4</v>
      </c>
      <c r="G61">
        <v>0.41399999999999998</v>
      </c>
      <c r="H61">
        <v>0.8</v>
      </c>
      <c r="I61">
        <v>1.2</v>
      </c>
      <c r="J61">
        <v>0.77800000000000002</v>
      </c>
      <c r="K61">
        <v>1.9</v>
      </c>
      <c r="L61">
        <v>0.7</v>
      </c>
      <c r="M61">
        <v>0.8</v>
      </c>
      <c r="N61">
        <v>0.1</v>
      </c>
      <c r="O61">
        <v>0.5</v>
      </c>
      <c r="P61">
        <v>6.2</v>
      </c>
      <c r="Q61" s="19">
        <f>(G61 - AVERAGE(FG_Range))*F61</f>
        <v>-0.24344608695652145</v>
      </c>
      <c r="R61" s="19">
        <f>(J61 - AVERAGE(FT_RANGE))*I61</f>
        <v>-1.0747826086956902E-3</v>
      </c>
      <c r="S61" s="19">
        <f>(H61 - AVERAGE(Three_Range))/STDEV(Three_Range)</f>
        <v>-0.8086535349161047</v>
      </c>
      <c r="T61" s="19">
        <f>(P61 - AVERAGE(Pts_Range))/STDEV(Pts_Range)</f>
        <v>-1.2893161893430456</v>
      </c>
      <c r="U61" s="19">
        <f>(K61 - AVERAGE(Reb_Range))/STDEV(Reb_Range)</f>
        <v>-1.2711882173458446</v>
      </c>
      <c r="V61" s="19">
        <f>(L61 - AVERAGE(Ast_Range))/STDEV(Ast_Range)</f>
        <v>-1.18319743303043</v>
      </c>
      <c r="W61" s="19">
        <f>(M61 - AVERAGE(Stl_Range))/STDEV(Stl_Range)</f>
        <v>-0.26527728357032115</v>
      </c>
      <c r="X61" s="19">
        <f>(N61 - AVERAGE(Blk_Range))/STDEV(Blk_Range)</f>
        <v>-0.86238990897104029</v>
      </c>
      <c r="Y61" s="19">
        <f>(O61 - AVERAGE(Tov_Range))/STDEV(Tov_Range)*-1</f>
        <v>1.3780695006637904</v>
      </c>
      <c r="Z61" s="19">
        <f t="shared" si="0"/>
        <v>-4.5464739360782129</v>
      </c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</row>
    <row r="62" spans="1:40" x14ac:dyDescent="0.55000000000000004">
      <c r="A62" t="s">
        <v>655</v>
      </c>
      <c r="B62" t="s">
        <v>47</v>
      </c>
      <c r="C62" t="s">
        <v>21</v>
      </c>
      <c r="D62">
        <v>54</v>
      </c>
      <c r="E62">
        <v>28.4</v>
      </c>
      <c r="F62">
        <v>12.3</v>
      </c>
      <c r="G62">
        <v>0.437</v>
      </c>
      <c r="H62">
        <v>2.2000000000000002</v>
      </c>
      <c r="I62">
        <v>4.0999999999999996</v>
      </c>
      <c r="J62">
        <v>0.76900000000000002</v>
      </c>
      <c r="K62">
        <v>3.1</v>
      </c>
      <c r="L62">
        <v>5.0999999999999996</v>
      </c>
      <c r="M62">
        <v>0.6</v>
      </c>
      <c r="N62">
        <v>0.1</v>
      </c>
      <c r="O62">
        <v>2.5</v>
      </c>
      <c r="P62">
        <v>16.100000000000001</v>
      </c>
      <c r="Q62" s="19">
        <f>(G62 - AVERAGE(FG_Range))*F62</f>
        <v>-0.27161608695652079</v>
      </c>
      <c r="R62" s="19">
        <f>(J62 - AVERAGE(FT_RANGE))*I62</f>
        <v>-4.0572173913043637E-2</v>
      </c>
      <c r="S62" s="19">
        <f>(H62 - AVERAGE(Three_Range))/STDEV(Three_Range)</f>
        <v>0.7440384045173235</v>
      </c>
      <c r="T62" s="19">
        <f>(P62 - AVERAGE(Pts_Range))/STDEV(Pts_Range)</f>
        <v>0.37741082503989665</v>
      </c>
      <c r="U62" s="19">
        <f>(K62 - AVERAGE(Reb_Range))/STDEV(Reb_Range)</f>
        <v>-0.79306345857308169</v>
      </c>
      <c r="V62" s="19">
        <f>(L62 - AVERAGE(Ast_Range))/STDEV(Ast_Range)</f>
        <v>1.0292855718232179</v>
      </c>
      <c r="W62" s="19">
        <f>(M62 - AVERAGE(Stl_Range))/STDEV(Stl_Range)</f>
        <v>-0.80522219703203701</v>
      </c>
      <c r="X62" s="19">
        <f>(N62 - AVERAGE(Blk_Range))/STDEV(Blk_Range)</f>
        <v>-0.86238990897104029</v>
      </c>
      <c r="Y62" s="19">
        <f>(O62 - AVERAGE(Tov_Range))/STDEV(Tov_Range)*-1</f>
        <v>-0.92538969375969604</v>
      </c>
      <c r="Z62" s="19">
        <f t="shared" si="0"/>
        <v>-1.5475187178249814</v>
      </c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</row>
    <row r="63" spans="1:40" x14ac:dyDescent="0.55000000000000004">
      <c r="A63" t="s">
        <v>166</v>
      </c>
      <c r="B63" t="s">
        <v>18</v>
      </c>
      <c r="C63" t="s">
        <v>137</v>
      </c>
      <c r="D63">
        <v>8</v>
      </c>
      <c r="E63">
        <v>28.1</v>
      </c>
      <c r="F63">
        <v>13.1</v>
      </c>
      <c r="G63">
        <v>0.55200000000000005</v>
      </c>
      <c r="H63">
        <v>0.5</v>
      </c>
      <c r="I63">
        <v>4.9000000000000004</v>
      </c>
      <c r="J63">
        <v>0.51300000000000001</v>
      </c>
      <c r="K63">
        <v>11.1</v>
      </c>
      <c r="L63">
        <v>1.8</v>
      </c>
      <c r="M63">
        <v>1.5</v>
      </c>
      <c r="N63">
        <v>1.4</v>
      </c>
      <c r="O63">
        <v>3.6</v>
      </c>
      <c r="P63">
        <v>17.5</v>
      </c>
      <c r="Q63" s="19">
        <f>(G63 - AVERAGE(FG_Range))*F63</f>
        <v>1.2172178260869582</v>
      </c>
      <c r="R63" s="19">
        <f>(J63 - AVERAGE(FT_RANGE))*I63</f>
        <v>-1.3028886956521741</v>
      </c>
      <c r="S63" s="19">
        <f>(H63 - AVERAGE(Three_Range))/STDEV(Three_Range)</f>
        <v>-1.1413732362232678</v>
      </c>
      <c r="T63" s="19">
        <f>(P63 - AVERAGE(Pts_Range))/STDEV(Pts_Range)</f>
        <v>0.61310959475061544</v>
      </c>
      <c r="U63" s="19">
        <f>(K63 - AVERAGE(Reb_Range))/STDEV(Reb_Range)</f>
        <v>2.3944349332453378</v>
      </c>
      <c r="V63" s="19">
        <f>(L63 - AVERAGE(Ast_Range))/STDEV(Ast_Range)</f>
        <v>-0.63007668181701781</v>
      </c>
      <c r="W63" s="19">
        <f>(M63 - AVERAGE(Stl_Range))/STDEV(Stl_Range)</f>
        <v>1.6245299135456834</v>
      </c>
      <c r="X63" s="19">
        <f>(N63 - AVERAGE(Blk_Range))/STDEV(Blk_Range)</f>
        <v>1.7058828279048657</v>
      </c>
      <c r="Y63" s="19">
        <f>(O63 - AVERAGE(Tov_Range))/STDEV(Tov_Range)*-1</f>
        <v>-2.1922922506926139</v>
      </c>
      <c r="Z63" s="19">
        <f t="shared" si="0"/>
        <v>2.288544231148387</v>
      </c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</row>
    <row r="64" spans="1:40" x14ac:dyDescent="0.55000000000000004">
      <c r="A64" t="s">
        <v>168</v>
      </c>
      <c r="B64" t="s">
        <v>47</v>
      </c>
      <c r="C64" t="s">
        <v>48</v>
      </c>
      <c r="D64">
        <v>51</v>
      </c>
      <c r="E64">
        <v>24.9</v>
      </c>
      <c r="F64">
        <v>6.7</v>
      </c>
      <c r="G64">
        <v>0.44400000000000001</v>
      </c>
      <c r="H64">
        <v>0.6</v>
      </c>
      <c r="I64">
        <v>1.1000000000000001</v>
      </c>
      <c r="J64">
        <v>0.74099999999999999</v>
      </c>
      <c r="K64">
        <v>3.6</v>
      </c>
      <c r="L64">
        <v>3.4</v>
      </c>
      <c r="M64">
        <v>2</v>
      </c>
      <c r="N64">
        <v>0.3</v>
      </c>
      <c r="O64">
        <v>1.3</v>
      </c>
      <c r="P64">
        <v>7.3</v>
      </c>
      <c r="Q64" s="19">
        <f>(G64 - AVERAGE(FG_Range))*F64</f>
        <v>-0.101053478260869</v>
      </c>
      <c r="R64" s="19">
        <f>(J64 - AVERAGE(FT_RANGE))*I64</f>
        <v>-4.1685217391304423E-2</v>
      </c>
      <c r="S64" s="19">
        <f>(H64 - AVERAGE(Three_Range))/STDEV(Three_Range)</f>
        <v>-1.0304666691208801</v>
      </c>
      <c r="T64" s="19">
        <f>(P64 - AVERAGE(Pts_Range))/STDEV(Pts_Range)</f>
        <v>-1.104124298856052</v>
      </c>
      <c r="U64" s="19">
        <f>(K64 - AVERAGE(Reb_Range))/STDEV(Reb_Range)</f>
        <v>-0.59384480908443049</v>
      </c>
      <c r="V64" s="19">
        <f>(L64 - AVERAGE(Ast_Range))/STDEV(Ast_Range)</f>
        <v>0.17446259267521766</v>
      </c>
      <c r="W64" s="19">
        <f>(M64 - AVERAGE(Stl_Range))/STDEV(Stl_Range)</f>
        <v>2.9743921971999723</v>
      </c>
      <c r="X64" s="19">
        <f>(N64 - AVERAGE(Blk_Range))/STDEV(Blk_Range)</f>
        <v>-0.46727102637474699</v>
      </c>
      <c r="Y64" s="19">
        <f>(O64 - AVERAGE(Tov_Range))/STDEV(Tov_Range)*-1</f>
        <v>0.4566858228943958</v>
      </c>
      <c r="Z64" s="19">
        <f t="shared" si="0"/>
        <v>0.26709511368130279</v>
      </c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</row>
    <row r="65" spans="1:40" x14ac:dyDescent="0.55000000000000004">
      <c r="A65" t="s">
        <v>171</v>
      </c>
      <c r="B65" t="s">
        <v>18</v>
      </c>
      <c r="C65" t="s">
        <v>88</v>
      </c>
      <c r="D65">
        <v>44</v>
      </c>
      <c r="E65">
        <v>30.2</v>
      </c>
      <c r="F65">
        <v>15.9</v>
      </c>
      <c r="G65">
        <v>0.47399999999999998</v>
      </c>
      <c r="H65">
        <v>1.3</v>
      </c>
      <c r="I65">
        <v>8.6999999999999993</v>
      </c>
      <c r="J65">
        <v>0.81399999999999995</v>
      </c>
      <c r="K65">
        <v>11.8</v>
      </c>
      <c r="L65">
        <v>3.1</v>
      </c>
      <c r="M65">
        <v>0.9</v>
      </c>
      <c r="N65">
        <v>1.3</v>
      </c>
      <c r="O65">
        <v>3.1</v>
      </c>
      <c r="P65">
        <v>23.4</v>
      </c>
      <c r="Q65" s="19">
        <f>(G65 - AVERAGE(FG_Range))*F65</f>
        <v>0.23718652173913132</v>
      </c>
      <c r="R65" s="19">
        <f>(J65 - AVERAGE(FT_RANGE))*I65</f>
        <v>0.30540782608695555</v>
      </c>
      <c r="S65" s="19">
        <f>(H65 - AVERAGE(Three_Range))/STDEV(Three_Range)</f>
        <v>-0.25412069940416609</v>
      </c>
      <c r="T65" s="19">
        <f>(P65 - AVERAGE(Pts_Range))/STDEV(Pts_Range)</f>
        <v>1.6064115528172169</v>
      </c>
      <c r="U65" s="19">
        <f>(K65 - AVERAGE(Reb_Range))/STDEV(Reb_Range)</f>
        <v>2.6733410425294499</v>
      </c>
      <c r="V65" s="19">
        <f>(L65 - AVERAGE(Ast_Range))/STDEV(Ast_Range)</f>
        <v>2.361147870792359E-2</v>
      </c>
      <c r="W65" s="19">
        <f>(M65 - AVERAGE(Stl_Range))/STDEV(Stl_Range)</f>
        <v>4.6951731605365706E-3</v>
      </c>
      <c r="X65" s="19">
        <f>(N65 - AVERAGE(Blk_Range))/STDEV(Blk_Range)</f>
        <v>1.5083233866067194</v>
      </c>
      <c r="Y65" s="19">
        <f>(O65 - AVERAGE(Tov_Range))/STDEV(Tov_Range)*-1</f>
        <v>-1.6164274520867421</v>
      </c>
      <c r="Z65" s="19">
        <f t="shared" si="0"/>
        <v>4.4884288301570257</v>
      </c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</row>
    <row r="66" spans="1:40" x14ac:dyDescent="0.55000000000000004">
      <c r="A66" t="s">
        <v>172</v>
      </c>
      <c r="B66" t="s">
        <v>35</v>
      </c>
      <c r="C66" t="s">
        <v>34</v>
      </c>
      <c r="D66">
        <v>12</v>
      </c>
      <c r="E66">
        <v>23.1</v>
      </c>
      <c r="F66">
        <v>5.7</v>
      </c>
      <c r="G66">
        <v>0.41199999999999998</v>
      </c>
      <c r="H66">
        <v>0.8</v>
      </c>
      <c r="I66">
        <v>1.4</v>
      </c>
      <c r="J66">
        <v>0.88200000000000001</v>
      </c>
      <c r="K66">
        <v>4.0999999999999996</v>
      </c>
      <c r="L66">
        <v>1.1000000000000001</v>
      </c>
      <c r="M66">
        <v>0.5</v>
      </c>
      <c r="N66">
        <v>0.5</v>
      </c>
      <c r="O66">
        <v>1</v>
      </c>
      <c r="P66">
        <v>6.8</v>
      </c>
      <c r="Q66" s="19">
        <f>(G66 - AVERAGE(FG_Range))*F66</f>
        <v>-0.26837086956521705</v>
      </c>
      <c r="R66" s="19">
        <f>(J66 - AVERAGE(FT_RANGE))*I66</f>
        <v>0.14434608695652165</v>
      </c>
      <c r="S66" s="19">
        <f>(H66 - AVERAGE(Three_Range))/STDEV(Three_Range)</f>
        <v>-0.8086535349161047</v>
      </c>
      <c r="T66" s="19">
        <f>(P66 - AVERAGE(Pts_Range))/STDEV(Pts_Range)</f>
        <v>-1.1883024308955945</v>
      </c>
      <c r="U66" s="19">
        <f>(K66 - AVERAGE(Reb_Range))/STDEV(Reb_Range)</f>
        <v>-0.3946261595957794</v>
      </c>
      <c r="V66" s="19">
        <f>(L66 - AVERAGE(Ast_Range))/STDEV(Ast_Range)</f>
        <v>-0.98206261440737086</v>
      </c>
      <c r="W66" s="19">
        <f>(M66 - AVERAGE(Stl_Range))/STDEV(Stl_Range)</f>
        <v>-1.0751946537628947</v>
      </c>
      <c r="X66" s="19">
        <f>(N66 - AVERAGE(Blk_Range))/STDEV(Blk_Range)</f>
        <v>-7.2152143778453748E-2</v>
      </c>
      <c r="Y66" s="19">
        <f>(O66 - AVERAGE(Tov_Range))/STDEV(Tov_Range)*-1</f>
        <v>0.80220470205791883</v>
      </c>
      <c r="Z66" s="19">
        <f t="shared" si="0"/>
        <v>-3.8428116179069738</v>
      </c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</row>
    <row r="67" spans="1:40" x14ac:dyDescent="0.55000000000000004">
      <c r="A67" t="s">
        <v>177</v>
      </c>
      <c r="B67" t="s">
        <v>18</v>
      </c>
      <c r="C67" t="s">
        <v>26</v>
      </c>
      <c r="D67">
        <v>45</v>
      </c>
      <c r="E67">
        <v>24.2</v>
      </c>
      <c r="F67">
        <v>6.8</v>
      </c>
      <c r="G67">
        <v>0.62</v>
      </c>
      <c r="H67">
        <v>0</v>
      </c>
      <c r="I67">
        <v>1.4</v>
      </c>
      <c r="J67">
        <v>0.58099999999999996</v>
      </c>
      <c r="K67">
        <v>9.9</v>
      </c>
      <c r="L67">
        <v>1.7</v>
      </c>
      <c r="M67">
        <v>0.6</v>
      </c>
      <c r="N67">
        <v>1</v>
      </c>
      <c r="O67">
        <v>1.1000000000000001</v>
      </c>
      <c r="P67">
        <v>9.1999999999999993</v>
      </c>
      <c r="Q67" s="19">
        <f>(G67 - AVERAGE(FG_Range))*F67</f>
        <v>1.0942382608695658</v>
      </c>
      <c r="R67" s="19">
        <f>(J67 - AVERAGE(FT_RANGE))*I67</f>
        <v>-0.27705391304347837</v>
      </c>
      <c r="S67" s="19">
        <f>(H67 - AVERAGE(Three_Range))/STDEV(Three_Range)</f>
        <v>-1.6959060717352064</v>
      </c>
      <c r="T67" s="19">
        <f>(P67 - AVERAGE(Pts_Range))/STDEV(Pts_Range)</f>
        <v>-0.7842473971057905</v>
      </c>
      <c r="U67" s="19">
        <f>(K67 - AVERAGE(Reb_Range))/STDEV(Reb_Range)</f>
        <v>1.9163101744725752</v>
      </c>
      <c r="V67" s="19">
        <f>(L67 - AVERAGE(Ast_Range))/STDEV(Ast_Range)</f>
        <v>-0.68036038647278263</v>
      </c>
      <c r="W67" s="19">
        <f>(M67 - AVERAGE(Stl_Range))/STDEV(Stl_Range)</f>
        <v>-0.80522219703203701</v>
      </c>
      <c r="X67" s="19">
        <f>(N67 - AVERAGE(Blk_Range))/STDEV(Blk_Range)</f>
        <v>0.91564506271227941</v>
      </c>
      <c r="Y67" s="19">
        <f>(O67 - AVERAGE(Tov_Range))/STDEV(Tov_Range)*-1</f>
        <v>0.68703174233674447</v>
      </c>
      <c r="Z67" s="19">
        <f t="shared" ref="Z67:Z130" si="1">SUM(Q67:Y67)</f>
        <v>0.37043527500187001</v>
      </c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</row>
    <row r="68" spans="1:40" x14ac:dyDescent="0.55000000000000004">
      <c r="A68" t="s">
        <v>178</v>
      </c>
      <c r="B68" t="s">
        <v>35</v>
      </c>
      <c r="C68" t="s">
        <v>19</v>
      </c>
      <c r="D68">
        <v>50</v>
      </c>
      <c r="E68">
        <v>23.4</v>
      </c>
      <c r="F68">
        <v>4</v>
      </c>
      <c r="G68">
        <v>0.372</v>
      </c>
      <c r="H68">
        <v>0.9</v>
      </c>
      <c r="I68">
        <v>0.4</v>
      </c>
      <c r="J68">
        <v>0.78900000000000003</v>
      </c>
      <c r="K68">
        <v>1.5</v>
      </c>
      <c r="L68">
        <v>0.9</v>
      </c>
      <c r="M68">
        <v>0.5</v>
      </c>
      <c r="N68">
        <v>0.3</v>
      </c>
      <c r="O68">
        <v>0.6</v>
      </c>
      <c r="P68">
        <v>4.2</v>
      </c>
      <c r="Q68" s="19">
        <f>(G68 - AVERAGE(FG_Range))*F68</f>
        <v>-0.34833043478260839</v>
      </c>
      <c r="R68" s="19">
        <f>(J68 - AVERAGE(FT_RANGE))*I68</f>
        <v>4.041739130434774E-3</v>
      </c>
      <c r="S68" s="19">
        <f>(H68 - AVERAGE(Three_Range))/STDEV(Three_Range)</f>
        <v>-0.69774696781371692</v>
      </c>
      <c r="T68" s="19">
        <f>(P68 - AVERAGE(Pts_Range))/STDEV(Pts_Range)</f>
        <v>-1.6260287175012156</v>
      </c>
      <c r="U68" s="19">
        <f>(K68 - AVERAGE(Reb_Range))/STDEV(Reb_Range)</f>
        <v>-1.4305631369367657</v>
      </c>
      <c r="V68" s="19">
        <f>(L68 - AVERAGE(Ast_Range))/STDEV(Ast_Range)</f>
        <v>-1.0826300237189004</v>
      </c>
      <c r="W68" s="19">
        <f>(M68 - AVERAGE(Stl_Range))/STDEV(Stl_Range)</f>
        <v>-1.0751946537628947</v>
      </c>
      <c r="X68" s="19">
        <f>(N68 - AVERAGE(Blk_Range))/STDEV(Blk_Range)</f>
        <v>-0.46727102637474699</v>
      </c>
      <c r="Y68" s="19">
        <f>(O68 - AVERAGE(Tov_Range))/STDEV(Tov_Range)*-1</f>
        <v>1.2628965409426163</v>
      </c>
      <c r="Z68" s="19">
        <f t="shared" si="1"/>
        <v>-5.4608266808177968</v>
      </c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</row>
    <row r="69" spans="1:40" x14ac:dyDescent="0.55000000000000004">
      <c r="A69" t="s">
        <v>181</v>
      </c>
      <c r="B69" t="s">
        <v>15</v>
      </c>
      <c r="C69" t="s">
        <v>60</v>
      </c>
      <c r="D69">
        <v>64</v>
      </c>
      <c r="E69">
        <v>29.7</v>
      </c>
      <c r="F69">
        <v>7.1</v>
      </c>
      <c r="G69">
        <v>0.46800000000000003</v>
      </c>
      <c r="H69">
        <v>1.5</v>
      </c>
      <c r="I69">
        <v>1.5</v>
      </c>
      <c r="J69">
        <v>0.72199999999999998</v>
      </c>
      <c r="K69">
        <v>5.5</v>
      </c>
      <c r="L69">
        <v>1.5</v>
      </c>
      <c r="M69">
        <v>0.7</v>
      </c>
      <c r="N69">
        <v>0.6</v>
      </c>
      <c r="O69">
        <v>1</v>
      </c>
      <c r="P69">
        <v>9.3000000000000007</v>
      </c>
      <c r="Q69" s="19">
        <f>(G69 - AVERAGE(FG_Range))*F69</f>
        <v>6.3313478260870318E-2</v>
      </c>
      <c r="R69" s="19">
        <f>(J69 - AVERAGE(FT_RANGE))*I69</f>
        <v>-8.5343478260869687E-2</v>
      </c>
      <c r="S69" s="19">
        <f>(H69 - AVERAGE(Three_Range))/STDEV(Three_Range)</f>
        <v>-3.2307565199390695E-2</v>
      </c>
      <c r="T69" s="19">
        <f>(P69 - AVERAGE(Pts_Range))/STDEV(Pts_Range)</f>
        <v>-0.7674117706978818</v>
      </c>
      <c r="U69" s="19">
        <f>(K69 - AVERAGE(Reb_Range))/STDEV(Reb_Range)</f>
        <v>0.1631860589724442</v>
      </c>
      <c r="V69" s="19">
        <f>(L69 - AVERAGE(Ast_Range))/STDEV(Ast_Range)</f>
        <v>-0.78092779578431204</v>
      </c>
      <c r="W69" s="19">
        <f>(M69 - AVERAGE(Stl_Range))/STDEV(Stl_Range)</f>
        <v>-0.53524974030117922</v>
      </c>
      <c r="X69" s="19">
        <f>(N69 - AVERAGE(Blk_Range))/STDEV(Blk_Range)</f>
        <v>0.12540729751969285</v>
      </c>
      <c r="Y69" s="19">
        <f>(O69 - AVERAGE(Tov_Range))/STDEV(Tov_Range)*-1</f>
        <v>0.80220470205791883</v>
      </c>
      <c r="Z69" s="19">
        <f t="shared" si="1"/>
        <v>-1.047128813432707</v>
      </c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</row>
    <row r="70" spans="1:40" x14ac:dyDescent="0.55000000000000004">
      <c r="A70" t="s">
        <v>182</v>
      </c>
      <c r="B70" t="s">
        <v>25</v>
      </c>
      <c r="C70" t="s">
        <v>23</v>
      </c>
      <c r="D70">
        <v>63</v>
      </c>
      <c r="E70">
        <v>25.1</v>
      </c>
      <c r="F70">
        <v>9.1999999999999993</v>
      </c>
      <c r="G70">
        <v>0.41699999999999998</v>
      </c>
      <c r="H70">
        <v>2.2999999999999998</v>
      </c>
      <c r="I70">
        <v>1.4</v>
      </c>
      <c r="J70">
        <v>0.83299999999999996</v>
      </c>
      <c r="K70">
        <v>2</v>
      </c>
      <c r="L70">
        <v>1.7</v>
      </c>
      <c r="M70">
        <v>0.5</v>
      </c>
      <c r="N70">
        <v>0</v>
      </c>
      <c r="O70">
        <v>0.9</v>
      </c>
      <c r="P70">
        <v>11.2</v>
      </c>
      <c r="Q70" s="19">
        <f>(G70 - AVERAGE(FG_Range))*F70</f>
        <v>-0.38715999999999939</v>
      </c>
      <c r="R70" s="19">
        <f>(J70 - AVERAGE(FT_RANGE))*I70</f>
        <v>7.5746086956521602E-2</v>
      </c>
      <c r="S70" s="19">
        <f>(H70 - AVERAGE(Three_Range))/STDEV(Three_Range)</f>
        <v>0.85494497161971084</v>
      </c>
      <c r="T70" s="19">
        <f>(P70 - AVERAGE(Pts_Range))/STDEV(Pts_Range)</f>
        <v>-0.44753486894762046</v>
      </c>
      <c r="U70" s="19">
        <f>(K70 - AVERAGE(Reb_Range))/STDEV(Reb_Range)</f>
        <v>-1.2313444874481145</v>
      </c>
      <c r="V70" s="19">
        <f>(L70 - AVERAGE(Ast_Range))/STDEV(Ast_Range)</f>
        <v>-0.68036038647278263</v>
      </c>
      <c r="W70" s="19">
        <f>(M70 - AVERAGE(Stl_Range))/STDEV(Stl_Range)</f>
        <v>-1.0751946537628947</v>
      </c>
      <c r="X70" s="19">
        <f>(N70 - AVERAGE(Blk_Range))/STDEV(Blk_Range)</f>
        <v>-1.0599493502691868</v>
      </c>
      <c r="Y70" s="19">
        <f>(O70 - AVERAGE(Tov_Range))/STDEV(Tov_Range)*-1</f>
        <v>0.91737766177909319</v>
      </c>
      <c r="Z70" s="19">
        <f t="shared" si="1"/>
        <v>-3.0334750265452728</v>
      </c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</row>
    <row r="71" spans="1:40" x14ac:dyDescent="0.55000000000000004">
      <c r="A71" t="s">
        <v>183</v>
      </c>
      <c r="B71" t="s">
        <v>25</v>
      </c>
      <c r="C71" t="s">
        <v>34</v>
      </c>
      <c r="D71">
        <v>61</v>
      </c>
      <c r="E71">
        <v>31.7</v>
      </c>
      <c r="F71">
        <v>14.2</v>
      </c>
      <c r="G71">
        <v>0.47</v>
      </c>
      <c r="H71">
        <v>2.7</v>
      </c>
      <c r="I71">
        <v>3.4</v>
      </c>
      <c r="J71">
        <v>0.82</v>
      </c>
      <c r="K71">
        <v>2.6</v>
      </c>
      <c r="L71">
        <v>3.2</v>
      </c>
      <c r="M71">
        <v>1.1000000000000001</v>
      </c>
      <c r="N71">
        <v>0.2</v>
      </c>
      <c r="O71">
        <v>2</v>
      </c>
      <c r="P71">
        <v>18.8</v>
      </c>
      <c r="Q71" s="19">
        <f>(G71 - AVERAGE(FG_Range))*F71</f>
        <v>0.15502695652173987</v>
      </c>
      <c r="R71" s="19">
        <f>(J71 - AVERAGE(FT_RANGE))*I71</f>
        <v>0.13975478260869528</v>
      </c>
      <c r="S71" s="19">
        <f>(H71 - AVERAGE(Three_Range))/STDEV(Three_Range)</f>
        <v>1.2985712400292622</v>
      </c>
      <c r="T71" s="19">
        <f>(P71 - AVERAGE(Pts_Range))/STDEV(Pts_Range)</f>
        <v>0.8319727380534262</v>
      </c>
      <c r="U71" s="19">
        <f>(K71 - AVERAGE(Reb_Range))/STDEV(Reb_Range)</f>
        <v>-0.99228210806173289</v>
      </c>
      <c r="V71" s="19">
        <f>(L71 - AVERAGE(Ast_Range))/STDEV(Ast_Range)</f>
        <v>7.389518336368836E-2</v>
      </c>
      <c r="W71" s="19">
        <f>(M71 - AVERAGE(Stl_Range))/STDEV(Stl_Range)</f>
        <v>0.54464008662225238</v>
      </c>
      <c r="X71" s="19">
        <f>(N71 - AVERAGE(Blk_Range))/STDEV(Blk_Range)</f>
        <v>-0.66483046767289355</v>
      </c>
      <c r="Y71" s="19">
        <f>(O71 - AVERAGE(Tov_Range))/STDEV(Tov_Range)*-1</f>
        <v>-0.3495248951538244</v>
      </c>
      <c r="Z71" s="19">
        <f t="shared" si="1"/>
        <v>1.0372235163106136</v>
      </c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</row>
    <row r="72" spans="1:40" x14ac:dyDescent="0.55000000000000004">
      <c r="A72" t="s">
        <v>184</v>
      </c>
      <c r="B72" t="s">
        <v>47</v>
      </c>
      <c r="C72" t="s">
        <v>51</v>
      </c>
      <c r="D72">
        <v>45</v>
      </c>
      <c r="E72">
        <v>31.7</v>
      </c>
      <c r="F72">
        <v>15.4</v>
      </c>
      <c r="G72">
        <v>0.47499999999999998</v>
      </c>
      <c r="H72">
        <v>1</v>
      </c>
      <c r="I72">
        <v>6.8</v>
      </c>
      <c r="J72">
        <v>0.70299999999999996</v>
      </c>
      <c r="K72">
        <v>4</v>
      </c>
      <c r="L72">
        <v>6.8</v>
      </c>
      <c r="M72">
        <v>1.4</v>
      </c>
      <c r="N72">
        <v>0.5</v>
      </c>
      <c r="O72">
        <v>3.1</v>
      </c>
      <c r="P72">
        <v>20.399999999999999</v>
      </c>
      <c r="Q72" s="19">
        <f>(G72 - AVERAGE(FG_Range))*F72</f>
        <v>0.24512782608695741</v>
      </c>
      <c r="R72" s="19">
        <f>(J72 - AVERAGE(FT_RANGE))*I72</f>
        <v>-0.5160904347826093</v>
      </c>
      <c r="S72" s="19">
        <f>(H72 - AVERAGE(Three_Range))/STDEV(Three_Range)</f>
        <v>-0.58684040071132926</v>
      </c>
      <c r="T72" s="19">
        <f>(P72 - AVERAGE(Pts_Range))/STDEV(Pts_Range)</f>
        <v>1.1013427605799619</v>
      </c>
      <c r="U72" s="19">
        <f>(K72 - AVERAGE(Reb_Range))/STDEV(Reb_Range)</f>
        <v>-0.43446988949350951</v>
      </c>
      <c r="V72" s="19">
        <f>(L72 - AVERAGE(Ast_Range))/STDEV(Ast_Range)</f>
        <v>1.8841085509712183</v>
      </c>
      <c r="W72" s="19">
        <f>(M72 - AVERAGE(Stl_Range))/STDEV(Stl_Range)</f>
        <v>1.3545574568148253</v>
      </c>
      <c r="X72" s="19">
        <f>(N72 - AVERAGE(Blk_Range))/STDEV(Blk_Range)</f>
        <v>-7.2152143778453748E-2</v>
      </c>
      <c r="Y72" s="19">
        <f>(O72 - AVERAGE(Tov_Range))/STDEV(Tov_Range)*-1</f>
        <v>-1.6164274520867421</v>
      </c>
      <c r="Z72" s="19">
        <f t="shared" si="1"/>
        <v>1.3591562736003193</v>
      </c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</row>
    <row r="73" spans="1:40" x14ac:dyDescent="0.55000000000000004">
      <c r="A73" t="s">
        <v>187</v>
      </c>
      <c r="B73" t="s">
        <v>47</v>
      </c>
      <c r="C73" t="s">
        <v>34</v>
      </c>
      <c r="D73">
        <v>64</v>
      </c>
      <c r="E73">
        <v>28.3</v>
      </c>
      <c r="F73">
        <v>10.6</v>
      </c>
      <c r="G73">
        <v>0.47299999999999998</v>
      </c>
      <c r="H73">
        <v>0.5</v>
      </c>
      <c r="I73">
        <v>2.2000000000000002</v>
      </c>
      <c r="J73">
        <v>0.72299999999999998</v>
      </c>
      <c r="K73">
        <v>3.3</v>
      </c>
      <c r="L73">
        <v>5.2</v>
      </c>
      <c r="M73">
        <v>1.3</v>
      </c>
      <c r="N73">
        <v>0.2</v>
      </c>
      <c r="O73">
        <v>2</v>
      </c>
      <c r="P73">
        <v>12.1</v>
      </c>
      <c r="Q73" s="19">
        <f>(G73 - AVERAGE(FG_Range))*F73</f>
        <v>0.14752434782608753</v>
      </c>
      <c r="R73" s="19">
        <f>(J73 - AVERAGE(FT_RANGE))*I73</f>
        <v>-0.12297043478260888</v>
      </c>
      <c r="S73" s="19">
        <f>(H73 - AVERAGE(Three_Range))/STDEV(Three_Range)</f>
        <v>-1.1413732362232678</v>
      </c>
      <c r="T73" s="19">
        <f>(P73 - AVERAGE(Pts_Range))/STDEV(Pts_Range)</f>
        <v>-0.29601423127644383</v>
      </c>
      <c r="U73" s="19">
        <f>(K73 - AVERAGE(Reb_Range))/STDEV(Reb_Range)</f>
        <v>-0.71337599877762126</v>
      </c>
      <c r="V73" s="19">
        <f>(L73 - AVERAGE(Ast_Range))/STDEV(Ast_Range)</f>
        <v>1.0795692764789828</v>
      </c>
      <c r="W73" s="19">
        <f>(M73 - AVERAGE(Stl_Range))/STDEV(Stl_Range)</f>
        <v>1.0845850000839679</v>
      </c>
      <c r="X73" s="19">
        <f>(N73 - AVERAGE(Blk_Range))/STDEV(Blk_Range)</f>
        <v>-0.66483046767289355</v>
      </c>
      <c r="Y73" s="19">
        <f>(O73 - AVERAGE(Tov_Range))/STDEV(Tov_Range)*-1</f>
        <v>-0.3495248951538244</v>
      </c>
      <c r="Z73" s="19">
        <f t="shared" si="1"/>
        <v>-0.9764106394976213</v>
      </c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</row>
    <row r="74" spans="1:40" x14ac:dyDescent="0.55000000000000004">
      <c r="A74" t="s">
        <v>190</v>
      </c>
      <c r="B74" t="s">
        <v>15</v>
      </c>
      <c r="C74" t="s">
        <v>19</v>
      </c>
      <c r="D74">
        <v>55</v>
      </c>
      <c r="E74">
        <v>30.7</v>
      </c>
      <c r="F74">
        <v>13.6</v>
      </c>
      <c r="G74">
        <v>0.439</v>
      </c>
      <c r="H74">
        <v>3</v>
      </c>
      <c r="I74">
        <v>4.8</v>
      </c>
      <c r="J74">
        <v>0.88600000000000001</v>
      </c>
      <c r="K74">
        <v>5.5</v>
      </c>
      <c r="L74">
        <v>2.1</v>
      </c>
      <c r="M74">
        <v>0.7</v>
      </c>
      <c r="N74">
        <v>0.1</v>
      </c>
      <c r="O74">
        <v>1.3</v>
      </c>
      <c r="P74">
        <v>19.2</v>
      </c>
      <c r="Q74" s="19">
        <f>(G74 - AVERAGE(FG_Range))*F74</f>
        <v>-0.27312347826086847</v>
      </c>
      <c r="R74" s="19">
        <f>(J74 - AVERAGE(FT_RANGE))*I74</f>
        <v>0.51410086956521717</v>
      </c>
      <c r="S74" s="19">
        <f>(H74 - AVERAGE(Three_Range))/STDEV(Three_Range)</f>
        <v>1.6312909413364252</v>
      </c>
      <c r="T74" s="19">
        <f>(P74 - AVERAGE(Pts_Range))/STDEV(Pts_Range)</f>
        <v>0.89931524368505988</v>
      </c>
      <c r="U74" s="19">
        <f>(K74 - AVERAGE(Reb_Range))/STDEV(Reb_Range)</f>
        <v>0.1631860589724442</v>
      </c>
      <c r="V74" s="19">
        <f>(L74 - AVERAGE(Ast_Range))/STDEV(Ast_Range)</f>
        <v>-0.47922556784972364</v>
      </c>
      <c r="W74" s="19">
        <f>(M74 - AVERAGE(Stl_Range))/STDEV(Stl_Range)</f>
        <v>-0.53524974030117922</v>
      </c>
      <c r="X74" s="19">
        <f>(N74 - AVERAGE(Blk_Range))/STDEV(Blk_Range)</f>
        <v>-0.86238990897104029</v>
      </c>
      <c r="Y74" s="19">
        <f>(O74 - AVERAGE(Tov_Range))/STDEV(Tov_Range)*-1</f>
        <v>0.4566858228943958</v>
      </c>
      <c r="Z74" s="19">
        <f t="shared" si="1"/>
        <v>1.5145902410707306</v>
      </c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</row>
    <row r="75" spans="1:40" x14ac:dyDescent="0.55000000000000004">
      <c r="A75" t="s">
        <v>191</v>
      </c>
      <c r="B75" t="s">
        <v>25</v>
      </c>
      <c r="C75" t="s">
        <v>90</v>
      </c>
      <c r="D75">
        <v>66</v>
      </c>
      <c r="E75">
        <v>25.8</v>
      </c>
      <c r="F75">
        <v>8.1999999999999993</v>
      </c>
      <c r="G75">
        <v>0.435</v>
      </c>
      <c r="H75">
        <v>2</v>
      </c>
      <c r="I75">
        <v>1.3</v>
      </c>
      <c r="J75">
        <v>0.85899999999999999</v>
      </c>
      <c r="K75">
        <v>2.2999999999999998</v>
      </c>
      <c r="L75">
        <v>1.5</v>
      </c>
      <c r="M75">
        <v>0.7</v>
      </c>
      <c r="N75">
        <v>0.2</v>
      </c>
      <c r="O75">
        <v>0.6</v>
      </c>
      <c r="P75">
        <v>10.3</v>
      </c>
      <c r="Q75" s="19">
        <f>(G75 - AVERAGE(FG_Range))*F75</f>
        <v>-0.19747739130434719</v>
      </c>
      <c r="R75" s="19">
        <f>(J75 - AVERAGE(FT_RANGE))*I75</f>
        <v>0.10413565217391295</v>
      </c>
      <c r="S75" s="19">
        <f>(H75 - AVERAGE(Three_Range))/STDEV(Three_Range)</f>
        <v>0.52222527031254784</v>
      </c>
      <c r="T75" s="19">
        <f>(P75 - AVERAGE(Pts_Range))/STDEV(Pts_Range)</f>
        <v>-0.59905550661879681</v>
      </c>
      <c r="U75" s="19">
        <f>(K75 - AVERAGE(Reb_Range))/STDEV(Reb_Range)</f>
        <v>-1.1118132977549238</v>
      </c>
      <c r="V75" s="19">
        <f>(L75 - AVERAGE(Ast_Range))/STDEV(Ast_Range)</f>
        <v>-0.78092779578431204</v>
      </c>
      <c r="W75" s="19">
        <f>(M75 - AVERAGE(Stl_Range))/STDEV(Stl_Range)</f>
        <v>-0.53524974030117922</v>
      </c>
      <c r="X75" s="19">
        <f>(N75 - AVERAGE(Blk_Range))/STDEV(Blk_Range)</f>
        <v>-0.66483046767289355</v>
      </c>
      <c r="Y75" s="19">
        <f>(O75 - AVERAGE(Tov_Range))/STDEV(Tov_Range)*-1</f>
        <v>1.2628965409426163</v>
      </c>
      <c r="Z75" s="19">
        <f t="shared" si="1"/>
        <v>-2.000096736007376</v>
      </c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</row>
    <row r="76" spans="1:40" x14ac:dyDescent="0.55000000000000004">
      <c r="A76" t="s">
        <v>192</v>
      </c>
      <c r="B76" t="s">
        <v>47</v>
      </c>
      <c r="C76" t="s">
        <v>137</v>
      </c>
      <c r="D76">
        <v>59</v>
      </c>
      <c r="E76">
        <v>30.9</v>
      </c>
      <c r="F76">
        <v>11.8</v>
      </c>
      <c r="G76">
        <v>0.40100000000000002</v>
      </c>
      <c r="H76">
        <v>1.8</v>
      </c>
      <c r="I76">
        <v>1.2</v>
      </c>
      <c r="J76">
        <v>0.875</v>
      </c>
      <c r="K76">
        <v>1.9</v>
      </c>
      <c r="L76">
        <v>3.9</v>
      </c>
      <c r="M76">
        <v>0.7</v>
      </c>
      <c r="N76">
        <v>0.1</v>
      </c>
      <c r="O76">
        <v>2.6</v>
      </c>
      <c r="P76">
        <v>12.3</v>
      </c>
      <c r="Q76" s="19">
        <f>(G76 - AVERAGE(FG_Range))*F76</f>
        <v>-0.68537478260869444</v>
      </c>
      <c r="R76" s="19">
        <f>(J76 - AVERAGE(FT_RANGE))*I76</f>
        <v>0.11532521739130427</v>
      </c>
      <c r="S76" s="19">
        <f>(H76 - AVERAGE(Three_Range))/STDEV(Three_Range)</f>
        <v>0.30041213610777251</v>
      </c>
      <c r="T76" s="19">
        <f>(P76 - AVERAGE(Pts_Range))/STDEV(Pts_Range)</f>
        <v>-0.26234297846062665</v>
      </c>
      <c r="U76" s="19">
        <f>(K76 - AVERAGE(Reb_Range))/STDEV(Reb_Range)</f>
        <v>-1.2711882173458446</v>
      </c>
      <c r="V76" s="19">
        <f>(L76 - AVERAGE(Ast_Range))/STDEV(Ast_Range)</f>
        <v>0.42588111595404127</v>
      </c>
      <c r="W76" s="19">
        <f>(M76 - AVERAGE(Stl_Range))/STDEV(Stl_Range)</f>
        <v>-0.53524974030117922</v>
      </c>
      <c r="X76" s="19">
        <f>(N76 - AVERAGE(Blk_Range))/STDEV(Blk_Range)</f>
        <v>-0.86238990897104029</v>
      </c>
      <c r="Y76" s="19">
        <f>(O76 - AVERAGE(Tov_Range))/STDEV(Tov_Range)*-1</f>
        <v>-1.0405626534808705</v>
      </c>
      <c r="Z76" s="19">
        <f t="shared" si="1"/>
        <v>-3.8154898117151381</v>
      </c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</row>
    <row r="77" spans="1:40" x14ac:dyDescent="0.55000000000000004">
      <c r="A77" t="s">
        <v>193</v>
      </c>
      <c r="B77" t="s">
        <v>18</v>
      </c>
      <c r="C77" t="s">
        <v>45</v>
      </c>
      <c r="D77">
        <v>36</v>
      </c>
      <c r="E77">
        <v>27.5</v>
      </c>
      <c r="F77">
        <v>6.6</v>
      </c>
      <c r="G77">
        <v>0.41899999999999998</v>
      </c>
      <c r="H77">
        <v>1.4</v>
      </c>
      <c r="I77">
        <v>1</v>
      </c>
      <c r="J77">
        <v>0.72199999999999998</v>
      </c>
      <c r="K77">
        <v>6.3</v>
      </c>
      <c r="L77">
        <v>3.4</v>
      </c>
      <c r="M77">
        <v>0.8</v>
      </c>
      <c r="N77">
        <v>0.9</v>
      </c>
      <c r="O77">
        <v>1.2</v>
      </c>
      <c r="P77">
        <v>7.6</v>
      </c>
      <c r="Q77" s="19">
        <f>(G77 - AVERAGE(FG_Range))*F77</f>
        <v>-0.26454521739130393</v>
      </c>
      <c r="R77" s="19">
        <f>(J77 - AVERAGE(FT_RANGE))*I77</f>
        <v>-5.6895652173913125E-2</v>
      </c>
      <c r="S77" s="19">
        <f>(H77 - AVERAGE(Three_Range))/STDEV(Three_Range)</f>
        <v>-0.14321413230177851</v>
      </c>
      <c r="T77" s="19">
        <f>(P77 - AVERAGE(Pts_Range))/STDEV(Pts_Range)</f>
        <v>-1.0536174196323265</v>
      </c>
      <c r="U77" s="19">
        <f>(K77 - AVERAGE(Reb_Range))/STDEV(Reb_Range)</f>
        <v>0.48193589815428611</v>
      </c>
      <c r="V77" s="19">
        <f>(L77 - AVERAGE(Ast_Range))/STDEV(Ast_Range)</f>
        <v>0.17446259267521766</v>
      </c>
      <c r="W77" s="19">
        <f>(M77 - AVERAGE(Stl_Range))/STDEV(Stl_Range)</f>
        <v>-0.26527728357032115</v>
      </c>
      <c r="X77" s="19">
        <f>(N77 - AVERAGE(Blk_Range))/STDEV(Blk_Range)</f>
        <v>0.71808562141413279</v>
      </c>
      <c r="Y77" s="19">
        <f>(O77 - AVERAGE(Tov_Range))/STDEV(Tov_Range)*-1</f>
        <v>0.57185878261557022</v>
      </c>
      <c r="Z77" s="19">
        <f t="shared" si="1"/>
        <v>0.16279318978956336</v>
      </c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</row>
    <row r="78" spans="1:40" x14ac:dyDescent="0.55000000000000004">
      <c r="A78" t="s">
        <v>194</v>
      </c>
      <c r="B78" t="s">
        <v>15</v>
      </c>
      <c r="C78" t="s">
        <v>23</v>
      </c>
      <c r="D78">
        <v>60</v>
      </c>
      <c r="E78">
        <v>21.5</v>
      </c>
      <c r="F78">
        <v>8.4</v>
      </c>
      <c r="G78">
        <v>0.442</v>
      </c>
      <c r="H78">
        <v>1</v>
      </c>
      <c r="I78">
        <v>1.9</v>
      </c>
      <c r="J78">
        <v>0.876</v>
      </c>
      <c r="K78">
        <v>5.4</v>
      </c>
      <c r="L78">
        <v>1.7</v>
      </c>
      <c r="M78">
        <v>0.4</v>
      </c>
      <c r="N78">
        <v>0.5</v>
      </c>
      <c r="O78">
        <v>1.3</v>
      </c>
      <c r="P78">
        <v>10</v>
      </c>
      <c r="Q78" s="19">
        <f>(G78 - AVERAGE(FG_Range))*F78</f>
        <v>-0.14349391304347756</v>
      </c>
      <c r="R78" s="19">
        <f>(J78 - AVERAGE(FT_RANGE))*I78</f>
        <v>0.18449826086956511</v>
      </c>
      <c r="S78" s="19">
        <f>(H78 - AVERAGE(Three_Range))/STDEV(Three_Range)</f>
        <v>-0.58684040071132926</v>
      </c>
      <c r="T78" s="19">
        <f>(P78 - AVERAGE(Pts_Range))/STDEV(Pts_Range)</f>
        <v>-0.64956238584252235</v>
      </c>
      <c r="U78" s="19">
        <f>(K78 - AVERAGE(Reb_Range))/STDEV(Reb_Range)</f>
        <v>0.12334232907471411</v>
      </c>
      <c r="V78" s="19">
        <f>(L78 - AVERAGE(Ast_Range))/STDEV(Ast_Range)</f>
        <v>-0.68036038647278263</v>
      </c>
      <c r="W78" s="19">
        <f>(M78 - AVERAGE(Stl_Range))/STDEV(Stl_Range)</f>
        <v>-1.3451671104937524</v>
      </c>
      <c r="X78" s="19">
        <f>(N78 - AVERAGE(Blk_Range))/STDEV(Blk_Range)</f>
        <v>-7.2152143778453748E-2</v>
      </c>
      <c r="Y78" s="19">
        <f>(O78 - AVERAGE(Tov_Range))/STDEV(Tov_Range)*-1</f>
        <v>0.4566858228943958</v>
      </c>
      <c r="Z78" s="19">
        <f t="shared" si="1"/>
        <v>-2.7130499275036426</v>
      </c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</row>
    <row r="79" spans="1:40" x14ac:dyDescent="0.55000000000000004">
      <c r="A79" t="s">
        <v>195</v>
      </c>
      <c r="B79" t="s">
        <v>35</v>
      </c>
      <c r="C79" t="s">
        <v>80</v>
      </c>
      <c r="D79">
        <v>42</v>
      </c>
      <c r="E79">
        <v>29.1</v>
      </c>
      <c r="F79">
        <v>16</v>
      </c>
      <c r="G79">
        <v>0.432</v>
      </c>
      <c r="H79">
        <v>3.2</v>
      </c>
      <c r="I79">
        <v>4.5</v>
      </c>
      <c r="J79">
        <v>0.88200000000000001</v>
      </c>
      <c r="K79">
        <v>5.7</v>
      </c>
      <c r="L79">
        <v>3.9</v>
      </c>
      <c r="M79">
        <v>1.3</v>
      </c>
      <c r="N79">
        <v>0.5</v>
      </c>
      <c r="O79">
        <v>2.7</v>
      </c>
      <c r="P79">
        <v>21</v>
      </c>
      <c r="Q79" s="19">
        <f>(G79 - AVERAGE(FG_Range))*F79</f>
        <v>-0.43332173913043359</v>
      </c>
      <c r="R79" s="19">
        <f>(J79 - AVERAGE(FT_RANGE))*I79</f>
        <v>0.46396956521739108</v>
      </c>
      <c r="S79" s="19">
        <f>(H79 - AVERAGE(Three_Range))/STDEV(Three_Range)</f>
        <v>1.8531040755412007</v>
      </c>
      <c r="T79" s="19">
        <f>(P79 - AVERAGE(Pts_Range))/STDEV(Pts_Range)</f>
        <v>1.202356519027413</v>
      </c>
      <c r="U79" s="19">
        <f>(K79 - AVERAGE(Reb_Range))/STDEV(Reb_Range)</f>
        <v>0.24287351876790478</v>
      </c>
      <c r="V79" s="19">
        <f>(L79 - AVERAGE(Ast_Range))/STDEV(Ast_Range)</f>
        <v>0.42588111595404127</v>
      </c>
      <c r="W79" s="19">
        <f>(M79 - AVERAGE(Stl_Range))/STDEV(Stl_Range)</f>
        <v>1.0845850000839679</v>
      </c>
      <c r="X79" s="19">
        <f>(N79 - AVERAGE(Blk_Range))/STDEV(Blk_Range)</f>
        <v>-7.2152143778453748E-2</v>
      </c>
      <c r="Y79" s="19">
        <f>(O79 - AVERAGE(Tov_Range))/STDEV(Tov_Range)*-1</f>
        <v>-1.1557356132020449</v>
      </c>
      <c r="Z79" s="19">
        <f t="shared" si="1"/>
        <v>3.6115602984809865</v>
      </c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</row>
    <row r="80" spans="1:40" x14ac:dyDescent="0.55000000000000004">
      <c r="A80" t="s">
        <v>198</v>
      </c>
      <c r="B80" t="s">
        <v>25</v>
      </c>
      <c r="C80" t="s">
        <v>19</v>
      </c>
      <c r="D80">
        <v>63</v>
      </c>
      <c r="E80">
        <v>35.1</v>
      </c>
      <c r="F80">
        <v>14.8</v>
      </c>
      <c r="G80">
        <v>0.47299999999999998</v>
      </c>
      <c r="H80">
        <v>1.2</v>
      </c>
      <c r="I80">
        <v>5</v>
      </c>
      <c r="J80">
        <v>0.80100000000000005</v>
      </c>
      <c r="K80">
        <v>6.1</v>
      </c>
      <c r="L80">
        <v>3.3</v>
      </c>
      <c r="M80">
        <v>1.1000000000000001</v>
      </c>
      <c r="N80">
        <v>0.7</v>
      </c>
      <c r="O80">
        <v>1.9</v>
      </c>
      <c r="P80">
        <v>19.3</v>
      </c>
      <c r="Q80" s="19">
        <f>(G80 - AVERAGE(FG_Range))*F80</f>
        <v>0.20597739130434867</v>
      </c>
      <c r="R80" s="19">
        <f>(J80 - AVERAGE(FT_RANGE))*I80</f>
        <v>0.11052173913043473</v>
      </c>
      <c r="S80" s="19">
        <f>(H80 - AVERAGE(Three_Range))/STDEV(Three_Range)</f>
        <v>-0.36502726650655393</v>
      </c>
      <c r="T80" s="19">
        <f>(P80 - AVERAGE(Pts_Range))/STDEV(Pts_Range)</f>
        <v>0.91615087009296869</v>
      </c>
      <c r="U80" s="19">
        <f>(K80 - AVERAGE(Reb_Range))/STDEV(Reb_Range)</f>
        <v>0.40224843835882557</v>
      </c>
      <c r="V80" s="19">
        <f>(L80 - AVERAGE(Ast_Range))/STDEV(Ast_Range)</f>
        <v>0.1241788880194529</v>
      </c>
      <c r="W80" s="19">
        <f>(M80 - AVERAGE(Stl_Range))/STDEV(Stl_Range)</f>
        <v>0.54464008662225238</v>
      </c>
      <c r="X80" s="19">
        <f>(N80 - AVERAGE(Blk_Range))/STDEV(Blk_Range)</f>
        <v>0.32296673881783944</v>
      </c>
      <c r="Y80" s="19">
        <f>(O80 - AVERAGE(Tov_Range))/STDEV(Tov_Range)*-1</f>
        <v>-0.23435193543264998</v>
      </c>
      <c r="Z80" s="19">
        <f t="shared" si="1"/>
        <v>2.0273049504069185</v>
      </c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</row>
    <row r="81" spans="1:40" x14ac:dyDescent="0.55000000000000004">
      <c r="A81" t="s">
        <v>199</v>
      </c>
      <c r="B81" t="s">
        <v>18</v>
      </c>
      <c r="C81" t="s">
        <v>87</v>
      </c>
      <c r="D81">
        <v>62</v>
      </c>
      <c r="E81">
        <v>34.5</v>
      </c>
      <c r="F81">
        <v>8.1999999999999993</v>
      </c>
      <c r="G81">
        <v>0.69799999999999995</v>
      </c>
      <c r="H81">
        <v>0</v>
      </c>
      <c r="I81">
        <v>5.9</v>
      </c>
      <c r="J81">
        <v>0.621</v>
      </c>
      <c r="K81">
        <v>13.7</v>
      </c>
      <c r="L81">
        <v>1.5</v>
      </c>
      <c r="M81">
        <v>0.8</v>
      </c>
      <c r="N81">
        <v>2</v>
      </c>
      <c r="O81">
        <v>1.9</v>
      </c>
      <c r="P81">
        <v>15.1</v>
      </c>
      <c r="Q81" s="19">
        <f>(G81 - AVERAGE(FG_Range))*F81</f>
        <v>1.9591226086956524</v>
      </c>
      <c r="R81" s="19">
        <f>(J81 - AVERAGE(FT_RANGE))*I81</f>
        <v>-0.93158434782608734</v>
      </c>
      <c r="S81" s="19">
        <f>(H81 - AVERAGE(Three_Range))/STDEV(Three_Range)</f>
        <v>-1.6959060717352064</v>
      </c>
      <c r="T81" s="19">
        <f>(P81 - AVERAGE(Pts_Range))/STDEV(Pts_Range)</f>
        <v>0.20905456096081129</v>
      </c>
      <c r="U81" s="19">
        <f>(K81 - AVERAGE(Reb_Range))/STDEV(Reb_Range)</f>
        <v>3.4303719105863242</v>
      </c>
      <c r="V81" s="19">
        <f>(L81 - AVERAGE(Ast_Range))/STDEV(Ast_Range)</f>
        <v>-0.78092779578431204</v>
      </c>
      <c r="W81" s="19">
        <f>(M81 - AVERAGE(Stl_Range))/STDEV(Stl_Range)</f>
        <v>-0.26527728357032115</v>
      </c>
      <c r="X81" s="19">
        <f>(N81 - AVERAGE(Blk_Range))/STDEV(Blk_Range)</f>
        <v>2.8912394756937454</v>
      </c>
      <c r="Y81" s="19">
        <f>(O81 - AVERAGE(Tov_Range))/STDEV(Tov_Range)*-1</f>
        <v>-0.23435193543264998</v>
      </c>
      <c r="Z81" s="19">
        <f t="shared" si="1"/>
        <v>4.5817411215879567</v>
      </c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</row>
    <row r="82" spans="1:40" x14ac:dyDescent="0.55000000000000004">
      <c r="A82" t="s">
        <v>201</v>
      </c>
      <c r="B82" t="s">
        <v>15</v>
      </c>
      <c r="C82" t="s">
        <v>34</v>
      </c>
      <c r="D82">
        <v>58</v>
      </c>
      <c r="E82">
        <v>33</v>
      </c>
      <c r="F82">
        <v>12.5</v>
      </c>
      <c r="G82">
        <v>0.433</v>
      </c>
      <c r="H82">
        <v>1.2</v>
      </c>
      <c r="I82">
        <v>3.5</v>
      </c>
      <c r="J82">
        <v>0.67500000000000004</v>
      </c>
      <c r="K82">
        <v>7.6</v>
      </c>
      <c r="L82">
        <v>3.7</v>
      </c>
      <c r="M82">
        <v>0.9</v>
      </c>
      <c r="N82">
        <v>0.6</v>
      </c>
      <c r="O82">
        <v>1.6</v>
      </c>
      <c r="P82">
        <v>14.4</v>
      </c>
      <c r="Q82" s="19">
        <f>(G82 - AVERAGE(FG_Range))*F82</f>
        <v>-0.3260326086956512</v>
      </c>
      <c r="R82" s="19">
        <f>(J82 - AVERAGE(FT_RANGE))*I82</f>
        <v>-0.36363478260869569</v>
      </c>
      <c r="S82" s="19">
        <f>(H82 - AVERAGE(Three_Range))/STDEV(Three_Range)</f>
        <v>-0.36502726650655393</v>
      </c>
      <c r="T82" s="19">
        <f>(P82 - AVERAGE(Pts_Range))/STDEV(Pts_Range)</f>
        <v>9.1205176105451882E-2</v>
      </c>
      <c r="U82" s="19">
        <f>(K82 - AVERAGE(Reb_Range))/STDEV(Reb_Range)</f>
        <v>0.99990438682477922</v>
      </c>
      <c r="V82" s="19">
        <f>(L82 - AVERAGE(Ast_Range))/STDEV(Ast_Range)</f>
        <v>0.32531370664251197</v>
      </c>
      <c r="W82" s="19">
        <f>(M82 - AVERAGE(Stl_Range))/STDEV(Stl_Range)</f>
        <v>4.6951731605365706E-3</v>
      </c>
      <c r="X82" s="19">
        <f>(N82 - AVERAGE(Blk_Range))/STDEV(Blk_Range)</f>
        <v>0.12540729751969285</v>
      </c>
      <c r="Y82" s="19">
        <f>(O82 - AVERAGE(Tov_Range))/STDEV(Tov_Range)*-1</f>
        <v>0.11116694373087278</v>
      </c>
      <c r="Z82" s="19">
        <f t="shared" si="1"/>
        <v>0.6029980261729444</v>
      </c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</row>
    <row r="83" spans="1:40" x14ac:dyDescent="0.55000000000000004">
      <c r="A83" t="s">
        <v>202</v>
      </c>
      <c r="B83" t="s">
        <v>25</v>
      </c>
      <c r="C83" t="s">
        <v>37</v>
      </c>
      <c r="D83">
        <v>34</v>
      </c>
      <c r="E83">
        <v>28.6</v>
      </c>
      <c r="F83">
        <v>12.9</v>
      </c>
      <c r="G83">
        <v>0.37</v>
      </c>
      <c r="H83">
        <v>2.7</v>
      </c>
      <c r="I83">
        <v>3</v>
      </c>
      <c r="J83">
        <v>0.75700000000000001</v>
      </c>
      <c r="K83">
        <v>1.9</v>
      </c>
      <c r="L83">
        <v>1.5</v>
      </c>
      <c r="M83">
        <v>0.6</v>
      </c>
      <c r="N83">
        <v>0.4</v>
      </c>
      <c r="O83">
        <v>1.1000000000000001</v>
      </c>
      <c r="P83">
        <v>14.5</v>
      </c>
      <c r="Q83" s="19">
        <f>(G83 - AVERAGE(FG_Range))*F83</f>
        <v>-1.1491656521739122</v>
      </c>
      <c r="R83" s="19">
        <f>(J83 - AVERAGE(FT_RANGE))*I83</f>
        <v>-6.5686956521739281E-2</v>
      </c>
      <c r="S83" s="19">
        <f>(H83 - AVERAGE(Three_Range))/STDEV(Three_Range)</f>
        <v>1.2985712400292622</v>
      </c>
      <c r="T83" s="19">
        <f>(P83 - AVERAGE(Pts_Range))/STDEV(Pts_Range)</f>
        <v>0.10804080251336033</v>
      </c>
      <c r="U83" s="19">
        <f>(K83 - AVERAGE(Reb_Range))/STDEV(Reb_Range)</f>
        <v>-1.2711882173458446</v>
      </c>
      <c r="V83" s="19">
        <f>(L83 - AVERAGE(Ast_Range))/STDEV(Ast_Range)</f>
        <v>-0.78092779578431204</v>
      </c>
      <c r="W83" s="19">
        <f>(M83 - AVERAGE(Stl_Range))/STDEV(Stl_Range)</f>
        <v>-0.80522219703203701</v>
      </c>
      <c r="X83" s="19">
        <f>(N83 - AVERAGE(Blk_Range))/STDEV(Blk_Range)</f>
        <v>-0.26971158507660031</v>
      </c>
      <c r="Y83" s="19">
        <f>(O83 - AVERAGE(Tov_Range))/STDEV(Tov_Range)*-1</f>
        <v>0.68703174233674447</v>
      </c>
      <c r="Z83" s="19">
        <f t="shared" si="1"/>
        <v>-2.2482586190550791</v>
      </c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</row>
    <row r="84" spans="1:40" x14ac:dyDescent="0.55000000000000004">
      <c r="A84" t="s">
        <v>203</v>
      </c>
      <c r="B84" t="s">
        <v>47</v>
      </c>
      <c r="C84" t="s">
        <v>56</v>
      </c>
      <c r="D84">
        <v>63</v>
      </c>
      <c r="E84">
        <v>35.1</v>
      </c>
      <c r="F84">
        <v>15.3</v>
      </c>
      <c r="G84">
        <v>0.38200000000000001</v>
      </c>
      <c r="H84">
        <v>3.5</v>
      </c>
      <c r="I84">
        <v>3.7</v>
      </c>
      <c r="J84">
        <v>0.82</v>
      </c>
      <c r="K84">
        <v>3.4</v>
      </c>
      <c r="L84">
        <v>7.5</v>
      </c>
      <c r="M84">
        <v>1</v>
      </c>
      <c r="N84">
        <v>0.2</v>
      </c>
      <c r="O84">
        <v>2.9</v>
      </c>
      <c r="P84">
        <v>18.2</v>
      </c>
      <c r="Q84" s="19">
        <f>(G84 - AVERAGE(FG_Range))*F84</f>
        <v>-1.179363913043477</v>
      </c>
      <c r="R84" s="19">
        <f>(J84 - AVERAGE(FT_RANGE))*I84</f>
        <v>0.15208608695652134</v>
      </c>
      <c r="S84" s="19">
        <f>(H84 - AVERAGE(Three_Range))/STDEV(Three_Range)</f>
        <v>2.1858237768483635</v>
      </c>
      <c r="T84" s="19">
        <f>(P84 - AVERAGE(Pts_Range))/STDEV(Pts_Range)</f>
        <v>0.73095897960597489</v>
      </c>
      <c r="U84" s="19">
        <f>(K84 - AVERAGE(Reb_Range))/STDEV(Reb_Range)</f>
        <v>-0.67353226887989104</v>
      </c>
      <c r="V84" s="19">
        <f>(L84 - AVERAGE(Ast_Range))/STDEV(Ast_Range)</f>
        <v>2.2360944835615713</v>
      </c>
      <c r="W84" s="19">
        <f>(M84 - AVERAGE(Stl_Range))/STDEV(Stl_Range)</f>
        <v>0.27466762989139432</v>
      </c>
      <c r="X84" s="19">
        <f>(N84 - AVERAGE(Blk_Range))/STDEV(Blk_Range)</f>
        <v>-0.66483046767289355</v>
      </c>
      <c r="Y84" s="19">
        <f>(O84 - AVERAGE(Tov_Range))/STDEV(Tov_Range)*-1</f>
        <v>-1.3860815326443932</v>
      </c>
      <c r="Z84" s="19">
        <f t="shared" si="1"/>
        <v>1.6758227746231704</v>
      </c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</row>
    <row r="85" spans="1:40" x14ac:dyDescent="0.55000000000000004">
      <c r="A85" t="s">
        <v>205</v>
      </c>
      <c r="B85" t="s">
        <v>15</v>
      </c>
      <c r="C85" t="s">
        <v>63</v>
      </c>
      <c r="D85">
        <v>64</v>
      </c>
      <c r="E85">
        <v>26.2</v>
      </c>
      <c r="F85">
        <v>8.6999999999999993</v>
      </c>
      <c r="G85">
        <v>0.47099999999999997</v>
      </c>
      <c r="H85">
        <v>1.4</v>
      </c>
      <c r="I85">
        <v>2.7</v>
      </c>
      <c r="J85">
        <v>0.74399999999999999</v>
      </c>
      <c r="K85">
        <v>3.5</v>
      </c>
      <c r="L85">
        <v>1.2</v>
      </c>
      <c r="M85">
        <v>0.7</v>
      </c>
      <c r="N85">
        <v>0.8</v>
      </c>
      <c r="O85">
        <v>0.9</v>
      </c>
      <c r="P85">
        <v>11.6</v>
      </c>
      <c r="Q85" s="19">
        <f>(G85 - AVERAGE(FG_Range))*F85</f>
        <v>0.10368130434782655</v>
      </c>
      <c r="R85" s="19">
        <f>(J85 - AVERAGE(FT_RANGE))*I85</f>
        <v>-9.421826086956539E-2</v>
      </c>
      <c r="S85" s="19">
        <f>(H85 - AVERAGE(Three_Range))/STDEV(Three_Range)</f>
        <v>-0.14321413230177851</v>
      </c>
      <c r="T85" s="19">
        <f>(P85 - AVERAGE(Pts_Range))/STDEV(Pts_Range)</f>
        <v>-0.38019236331598638</v>
      </c>
      <c r="U85" s="19">
        <f>(K85 - AVERAGE(Reb_Range))/STDEV(Reb_Range)</f>
        <v>-0.63368853898216071</v>
      </c>
      <c r="V85" s="19">
        <f>(L85 - AVERAGE(Ast_Range))/STDEV(Ast_Range)</f>
        <v>-0.93177890975160627</v>
      </c>
      <c r="W85" s="19">
        <f>(M85 - AVERAGE(Stl_Range))/STDEV(Stl_Range)</f>
        <v>-0.53524974030117922</v>
      </c>
      <c r="X85" s="19">
        <f>(N85 - AVERAGE(Blk_Range))/STDEV(Blk_Range)</f>
        <v>0.52052618011598617</v>
      </c>
      <c r="Y85" s="19">
        <f>(O85 - AVERAGE(Tov_Range))/STDEV(Tov_Range)*-1</f>
        <v>0.91737766177909319</v>
      </c>
      <c r="Z85" s="19">
        <f t="shared" si="1"/>
        <v>-1.1767567992793706</v>
      </c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</row>
    <row r="86" spans="1:40" x14ac:dyDescent="0.55000000000000004">
      <c r="A86" t="s">
        <v>206</v>
      </c>
      <c r="B86" t="s">
        <v>25</v>
      </c>
      <c r="C86" t="s">
        <v>41</v>
      </c>
      <c r="D86">
        <v>61</v>
      </c>
      <c r="E86">
        <v>25.1</v>
      </c>
      <c r="F86">
        <v>7</v>
      </c>
      <c r="G86">
        <v>0.41899999999999998</v>
      </c>
      <c r="H86">
        <v>1.9</v>
      </c>
      <c r="I86">
        <v>0.7</v>
      </c>
      <c r="J86">
        <v>0.72699999999999998</v>
      </c>
      <c r="K86">
        <v>3.4</v>
      </c>
      <c r="L86">
        <v>1.4</v>
      </c>
      <c r="M86">
        <v>1.2</v>
      </c>
      <c r="N86">
        <v>0.5</v>
      </c>
      <c r="O86">
        <v>0.9</v>
      </c>
      <c r="P86">
        <v>8.1999999999999993</v>
      </c>
      <c r="Q86" s="19">
        <f>(G86 - AVERAGE(FG_Range))*F86</f>
        <v>-0.28057826086956478</v>
      </c>
      <c r="R86" s="19">
        <f>(J86 - AVERAGE(FT_RANGE))*I86</f>
        <v>-3.632695652173918E-2</v>
      </c>
      <c r="S86" s="19">
        <f>(H86 - AVERAGE(Three_Range))/STDEV(Three_Range)</f>
        <v>0.41131870321016006</v>
      </c>
      <c r="T86" s="19">
        <f>(P86 - AVERAGE(Pts_Range))/STDEV(Pts_Range)</f>
        <v>-0.95260366118487561</v>
      </c>
      <c r="U86" s="19">
        <f>(K86 - AVERAGE(Reb_Range))/STDEV(Reb_Range)</f>
        <v>-0.67353226887989104</v>
      </c>
      <c r="V86" s="19">
        <f>(L86 - AVERAGE(Ast_Range))/STDEV(Ast_Range)</f>
        <v>-0.83121150044007674</v>
      </c>
      <c r="W86" s="19">
        <f>(M86 - AVERAGE(Stl_Range))/STDEV(Stl_Range)</f>
        <v>0.81461254335310984</v>
      </c>
      <c r="X86" s="19">
        <f>(N86 - AVERAGE(Blk_Range))/STDEV(Blk_Range)</f>
        <v>-7.2152143778453748E-2</v>
      </c>
      <c r="Y86" s="19">
        <f>(O86 - AVERAGE(Tov_Range))/STDEV(Tov_Range)*-1</f>
        <v>0.91737766177909319</v>
      </c>
      <c r="Z86" s="19">
        <f t="shared" si="1"/>
        <v>-0.70309588333223783</v>
      </c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</row>
    <row r="87" spans="1:40" x14ac:dyDescent="0.55000000000000004">
      <c r="A87" t="s">
        <v>207</v>
      </c>
      <c r="B87" t="s">
        <v>15</v>
      </c>
      <c r="C87" t="s">
        <v>96</v>
      </c>
      <c r="D87">
        <v>43</v>
      </c>
      <c r="E87">
        <v>28.4</v>
      </c>
      <c r="F87">
        <v>7.3</v>
      </c>
      <c r="G87">
        <v>0.38900000000000001</v>
      </c>
      <c r="H87">
        <v>0.8</v>
      </c>
      <c r="I87">
        <v>1.9</v>
      </c>
      <c r="J87">
        <v>0.75900000000000001</v>
      </c>
      <c r="K87">
        <v>6.2</v>
      </c>
      <c r="L87">
        <v>6.2</v>
      </c>
      <c r="M87">
        <v>1.4</v>
      </c>
      <c r="N87">
        <v>0.8</v>
      </c>
      <c r="O87">
        <v>2.2999999999999998</v>
      </c>
      <c r="P87">
        <v>8</v>
      </c>
      <c r="Q87" s="19">
        <f>(G87 - AVERAGE(FG_Range))*F87</f>
        <v>-0.51160304347826013</v>
      </c>
      <c r="R87" s="19">
        <f>(J87 - AVERAGE(FT_RANGE))*I87</f>
        <v>-3.7801739130434872E-2</v>
      </c>
      <c r="S87" s="19">
        <f>(H87 - AVERAGE(Three_Range))/STDEV(Three_Range)</f>
        <v>-0.8086535349161047</v>
      </c>
      <c r="T87" s="19">
        <f>(P87 - AVERAGE(Pts_Range))/STDEV(Pts_Range)</f>
        <v>-0.98627491400069245</v>
      </c>
      <c r="U87" s="19">
        <f>(K87 - AVERAGE(Reb_Range))/STDEV(Reb_Range)</f>
        <v>0.44209216825655601</v>
      </c>
      <c r="V87" s="19">
        <f>(L87 - AVERAGE(Ast_Range))/STDEV(Ast_Range)</f>
        <v>1.5824063230366301</v>
      </c>
      <c r="W87" s="19">
        <f>(M87 - AVERAGE(Stl_Range))/STDEV(Stl_Range)</f>
        <v>1.3545574568148253</v>
      </c>
      <c r="X87" s="19">
        <f>(N87 - AVERAGE(Blk_Range))/STDEV(Blk_Range)</f>
        <v>0.52052618011598617</v>
      </c>
      <c r="Y87" s="19">
        <f>(O87 - AVERAGE(Tov_Range))/STDEV(Tov_Range)*-1</f>
        <v>-0.69504377431734721</v>
      </c>
      <c r="Z87" s="19">
        <f t="shared" si="1"/>
        <v>0.86020512238115843</v>
      </c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</row>
    <row r="88" spans="1:40" x14ac:dyDescent="0.55000000000000004">
      <c r="A88" t="s">
        <v>208</v>
      </c>
      <c r="B88" t="s">
        <v>15</v>
      </c>
      <c r="C88" t="s">
        <v>80</v>
      </c>
      <c r="D88">
        <v>55</v>
      </c>
      <c r="E88">
        <v>20.5</v>
      </c>
      <c r="F88">
        <v>5.5</v>
      </c>
      <c r="G88">
        <v>0.41399999999999998</v>
      </c>
      <c r="H88">
        <v>1.3</v>
      </c>
      <c r="I88">
        <v>0.8</v>
      </c>
      <c r="J88">
        <v>0.72699999999999998</v>
      </c>
      <c r="K88">
        <v>6.3</v>
      </c>
      <c r="L88">
        <v>0.8</v>
      </c>
      <c r="M88">
        <v>0.5</v>
      </c>
      <c r="N88">
        <v>0.4</v>
      </c>
      <c r="O88">
        <v>0.8</v>
      </c>
      <c r="P88">
        <v>6.5</v>
      </c>
      <c r="Q88" s="19">
        <f>(G88 - AVERAGE(FG_Range))*F88</f>
        <v>-0.24795434782608664</v>
      </c>
      <c r="R88" s="19">
        <f>(J88 - AVERAGE(FT_RANGE))*I88</f>
        <v>-4.1516521739130501E-2</v>
      </c>
      <c r="S88" s="19">
        <f>(H88 - AVERAGE(Three_Range))/STDEV(Three_Range)</f>
        <v>-0.25412069940416609</v>
      </c>
      <c r="T88" s="19">
        <f>(P88 - AVERAGE(Pts_Range))/STDEV(Pts_Range)</f>
        <v>-1.2388093101193201</v>
      </c>
      <c r="U88" s="19">
        <f>(K88 - AVERAGE(Reb_Range))/STDEV(Reb_Range)</f>
        <v>0.48193589815428611</v>
      </c>
      <c r="V88" s="19">
        <f>(L88 - AVERAGE(Ast_Range))/STDEV(Ast_Range)</f>
        <v>-1.1329137283746649</v>
      </c>
      <c r="W88" s="19">
        <f>(M88 - AVERAGE(Stl_Range))/STDEV(Stl_Range)</f>
        <v>-1.0751946537628947</v>
      </c>
      <c r="X88" s="19">
        <f>(N88 - AVERAGE(Blk_Range))/STDEV(Blk_Range)</f>
        <v>-0.26971158507660031</v>
      </c>
      <c r="Y88" s="19">
        <f>(O88 - AVERAGE(Tov_Range))/STDEV(Tov_Range)*-1</f>
        <v>1.0325506215002676</v>
      </c>
      <c r="Z88" s="19">
        <f t="shared" si="1"/>
        <v>-2.745734326648309</v>
      </c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</row>
    <row r="89" spans="1:40" x14ac:dyDescent="0.55000000000000004">
      <c r="A89" t="s">
        <v>210</v>
      </c>
      <c r="B89" t="s">
        <v>15</v>
      </c>
      <c r="C89" t="s">
        <v>37</v>
      </c>
      <c r="D89">
        <v>10</v>
      </c>
      <c r="E89">
        <v>20.100000000000001</v>
      </c>
      <c r="F89">
        <v>6.6</v>
      </c>
      <c r="G89">
        <v>0.621</v>
      </c>
      <c r="H89">
        <v>1.4</v>
      </c>
      <c r="I89">
        <v>1</v>
      </c>
      <c r="J89">
        <v>0.8</v>
      </c>
      <c r="K89">
        <v>3.2</v>
      </c>
      <c r="L89">
        <v>1.2</v>
      </c>
      <c r="M89">
        <v>0.9</v>
      </c>
      <c r="N89">
        <v>0.5</v>
      </c>
      <c r="O89">
        <v>0.9</v>
      </c>
      <c r="P89">
        <v>10.4</v>
      </c>
      <c r="Q89" s="19">
        <f>(G89 - AVERAGE(FG_Range))*F89</f>
        <v>1.0686547826086961</v>
      </c>
      <c r="R89" s="19">
        <f>(J89 - AVERAGE(FT_RANGE))*I89</f>
        <v>2.1104347826086944E-2</v>
      </c>
      <c r="S89" s="19">
        <f>(H89 - AVERAGE(Three_Range))/STDEV(Three_Range)</f>
        <v>-0.14321413230177851</v>
      </c>
      <c r="T89" s="19">
        <f>(P89 - AVERAGE(Pts_Range))/STDEV(Pts_Range)</f>
        <v>-0.58221988021088833</v>
      </c>
      <c r="U89" s="19">
        <f>(K89 - AVERAGE(Reb_Range))/STDEV(Reb_Range)</f>
        <v>-0.75321972867535136</v>
      </c>
      <c r="V89" s="19">
        <f>(L89 - AVERAGE(Ast_Range))/STDEV(Ast_Range)</f>
        <v>-0.93177890975160627</v>
      </c>
      <c r="W89" s="19">
        <f>(M89 - AVERAGE(Stl_Range))/STDEV(Stl_Range)</f>
        <v>4.6951731605365706E-3</v>
      </c>
      <c r="X89" s="19">
        <f>(N89 - AVERAGE(Blk_Range))/STDEV(Blk_Range)</f>
        <v>-7.2152143778453748E-2</v>
      </c>
      <c r="Y89" s="19">
        <f>(O89 - AVERAGE(Tov_Range))/STDEV(Tov_Range)*-1</f>
        <v>0.91737766177909319</v>
      </c>
      <c r="Z89" s="19">
        <f t="shared" si="1"/>
        <v>-0.4707528293436658</v>
      </c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</row>
    <row r="90" spans="1:40" x14ac:dyDescent="0.55000000000000004">
      <c r="A90" t="s">
        <v>211</v>
      </c>
      <c r="B90" t="s">
        <v>15</v>
      </c>
      <c r="C90" t="s">
        <v>90</v>
      </c>
      <c r="D90">
        <v>18</v>
      </c>
      <c r="E90">
        <v>28.4</v>
      </c>
      <c r="F90">
        <v>13.9</v>
      </c>
      <c r="G90">
        <v>0.35199999999999998</v>
      </c>
      <c r="H90">
        <v>1.5</v>
      </c>
      <c r="I90">
        <v>5.4</v>
      </c>
      <c r="J90">
        <v>0.77600000000000002</v>
      </c>
      <c r="K90">
        <v>4.7</v>
      </c>
      <c r="L90">
        <v>3.3</v>
      </c>
      <c r="M90">
        <v>0.4</v>
      </c>
      <c r="N90">
        <v>0.4</v>
      </c>
      <c r="O90">
        <v>2.2000000000000002</v>
      </c>
      <c r="P90">
        <v>15.5</v>
      </c>
      <c r="Q90" s="19">
        <f>(G90 - AVERAGE(FG_Range))*F90</f>
        <v>-1.4884482608695644</v>
      </c>
      <c r="R90" s="19">
        <f>(J90 - AVERAGE(FT_RANGE))*I90</f>
        <v>-1.5636521739130615E-2</v>
      </c>
      <c r="S90" s="19">
        <f>(H90 - AVERAGE(Three_Range))/STDEV(Three_Range)</f>
        <v>-3.2307565199390695E-2</v>
      </c>
      <c r="T90" s="19">
        <f>(P90 - AVERAGE(Pts_Range))/STDEV(Pts_Range)</f>
        <v>0.2763970665924454</v>
      </c>
      <c r="U90" s="19">
        <f>(K90 - AVERAGE(Reb_Range))/STDEV(Reb_Range)</f>
        <v>-0.15556378020939771</v>
      </c>
      <c r="V90" s="19">
        <f>(L90 - AVERAGE(Ast_Range))/STDEV(Ast_Range)</f>
        <v>0.1241788880194529</v>
      </c>
      <c r="W90" s="19">
        <f>(M90 - AVERAGE(Stl_Range))/STDEV(Stl_Range)</f>
        <v>-1.3451671104937524</v>
      </c>
      <c r="X90" s="19">
        <f>(N90 - AVERAGE(Blk_Range))/STDEV(Blk_Range)</f>
        <v>-0.26971158507660031</v>
      </c>
      <c r="Y90" s="19">
        <f>(O90 - AVERAGE(Tov_Range))/STDEV(Tov_Range)*-1</f>
        <v>-0.57987081459617329</v>
      </c>
      <c r="Z90" s="19">
        <f t="shared" si="1"/>
        <v>-3.4861296835721109</v>
      </c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</row>
    <row r="91" spans="1:40" x14ac:dyDescent="0.55000000000000004">
      <c r="A91" t="s">
        <v>214</v>
      </c>
      <c r="B91" t="s">
        <v>15</v>
      </c>
      <c r="C91" t="s">
        <v>72</v>
      </c>
      <c r="D91">
        <v>41</v>
      </c>
      <c r="E91">
        <v>29.7</v>
      </c>
      <c r="F91">
        <v>11.1</v>
      </c>
      <c r="G91">
        <v>0.47799999999999998</v>
      </c>
      <c r="H91">
        <v>0.5</v>
      </c>
      <c r="I91">
        <v>2.7</v>
      </c>
      <c r="J91">
        <v>0.82899999999999996</v>
      </c>
      <c r="K91">
        <v>6</v>
      </c>
      <c r="L91">
        <v>1.7</v>
      </c>
      <c r="M91">
        <v>0.8</v>
      </c>
      <c r="N91">
        <v>0.2</v>
      </c>
      <c r="O91">
        <v>1</v>
      </c>
      <c r="P91">
        <v>13.4</v>
      </c>
      <c r="Q91" s="19">
        <f>(G91 - AVERAGE(FG_Range))*F91</f>
        <v>0.20998304347826152</v>
      </c>
      <c r="R91" s="19">
        <f>(J91 - AVERAGE(FT_RANGE))*I91</f>
        <v>0.13528173913043454</v>
      </c>
      <c r="S91" s="19">
        <f>(H91 - AVERAGE(Three_Range))/STDEV(Three_Range)</f>
        <v>-1.1413732362232678</v>
      </c>
      <c r="T91" s="19">
        <f>(P91 - AVERAGE(Pts_Range))/STDEV(Pts_Range)</f>
        <v>-7.7151087973633167E-2</v>
      </c>
      <c r="U91" s="19">
        <f>(K91 - AVERAGE(Reb_Range))/STDEV(Reb_Range)</f>
        <v>0.36240470846109546</v>
      </c>
      <c r="V91" s="19">
        <f>(L91 - AVERAGE(Ast_Range))/STDEV(Ast_Range)</f>
        <v>-0.68036038647278263</v>
      </c>
      <c r="W91" s="19">
        <f>(M91 - AVERAGE(Stl_Range))/STDEV(Stl_Range)</f>
        <v>-0.26527728357032115</v>
      </c>
      <c r="X91" s="19">
        <f>(N91 - AVERAGE(Blk_Range))/STDEV(Blk_Range)</f>
        <v>-0.66483046767289355</v>
      </c>
      <c r="Y91" s="19">
        <f>(O91 - AVERAGE(Tov_Range))/STDEV(Tov_Range)*-1</f>
        <v>0.80220470205791883</v>
      </c>
      <c r="Z91" s="19">
        <f t="shared" si="1"/>
        <v>-1.3191182687851881</v>
      </c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</row>
    <row r="92" spans="1:40" x14ac:dyDescent="0.55000000000000004">
      <c r="A92" t="s">
        <v>216</v>
      </c>
      <c r="B92" t="s">
        <v>25</v>
      </c>
      <c r="C92" t="s">
        <v>37</v>
      </c>
      <c r="D92">
        <v>61</v>
      </c>
      <c r="E92">
        <v>36.700000000000003</v>
      </c>
      <c r="F92">
        <v>22.7</v>
      </c>
      <c r="G92">
        <v>0.435</v>
      </c>
      <c r="H92">
        <v>4.4000000000000004</v>
      </c>
      <c r="I92">
        <v>11.8</v>
      </c>
      <c r="J92">
        <v>0.86099999999999999</v>
      </c>
      <c r="K92">
        <v>6.4</v>
      </c>
      <c r="L92">
        <v>7.4</v>
      </c>
      <c r="M92">
        <v>1.7</v>
      </c>
      <c r="N92">
        <v>0.9</v>
      </c>
      <c r="O92">
        <v>4.5</v>
      </c>
      <c r="P92">
        <v>34.4</v>
      </c>
      <c r="Q92" s="19">
        <f>(G92 - AVERAGE(FG_Range))*F92</f>
        <v>-0.54667521739130254</v>
      </c>
      <c r="R92" s="19">
        <f>(J92 - AVERAGE(FT_RANGE))*I92</f>
        <v>0.96883130434782538</v>
      </c>
      <c r="S92" s="19">
        <f>(H92 - AVERAGE(Three_Range))/STDEV(Three_Range)</f>
        <v>3.1839828807698534</v>
      </c>
      <c r="T92" s="19">
        <f>(P92 - AVERAGE(Pts_Range))/STDEV(Pts_Range)</f>
        <v>3.4583304576871523</v>
      </c>
      <c r="U92" s="19">
        <f>(K92 - AVERAGE(Reb_Range))/STDEV(Reb_Range)</f>
        <v>0.52177962805201661</v>
      </c>
      <c r="V92" s="19">
        <f>(L92 - AVERAGE(Ast_Range))/STDEV(Ast_Range)</f>
        <v>2.1858107789058066</v>
      </c>
      <c r="W92" s="19">
        <f>(M92 - AVERAGE(Stl_Range))/STDEV(Stl_Range)</f>
        <v>2.1644748270073988</v>
      </c>
      <c r="X92" s="19">
        <f>(N92 - AVERAGE(Blk_Range))/STDEV(Blk_Range)</f>
        <v>0.71808562141413279</v>
      </c>
      <c r="Y92" s="19">
        <f>(O92 - AVERAGE(Tov_Range))/STDEV(Tov_Range)*-1</f>
        <v>-3.2288488881831827</v>
      </c>
      <c r="Z92" s="19">
        <f t="shared" si="1"/>
        <v>9.4257713926097004</v>
      </c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</row>
    <row r="93" spans="1:40" x14ac:dyDescent="0.55000000000000004">
      <c r="A93" t="s">
        <v>217</v>
      </c>
      <c r="B93" t="s">
        <v>35</v>
      </c>
      <c r="C93" t="s">
        <v>32</v>
      </c>
      <c r="D93">
        <v>12</v>
      </c>
      <c r="E93">
        <v>23.8</v>
      </c>
      <c r="F93">
        <v>5.5</v>
      </c>
      <c r="G93">
        <v>0.45500000000000002</v>
      </c>
      <c r="H93">
        <v>0.6</v>
      </c>
      <c r="I93">
        <v>2</v>
      </c>
      <c r="J93">
        <v>0.625</v>
      </c>
      <c r="K93">
        <v>3.3</v>
      </c>
      <c r="L93">
        <v>1.7</v>
      </c>
      <c r="M93">
        <v>0.8</v>
      </c>
      <c r="N93">
        <v>0.3</v>
      </c>
      <c r="O93">
        <v>0.6</v>
      </c>
      <c r="P93">
        <v>6.8</v>
      </c>
      <c r="Q93" s="19">
        <f>(G93 - AVERAGE(FG_Range))*F93</f>
        <v>-2.2454347826086435E-2</v>
      </c>
      <c r="R93" s="19">
        <f>(J93 - AVERAGE(FT_RANGE))*I93</f>
        <v>-0.3077913043478262</v>
      </c>
      <c r="S93" s="19">
        <f>(H93 - AVERAGE(Three_Range))/STDEV(Three_Range)</f>
        <v>-1.0304666691208801</v>
      </c>
      <c r="T93" s="19">
        <f>(P93 - AVERAGE(Pts_Range))/STDEV(Pts_Range)</f>
        <v>-1.1883024308955945</v>
      </c>
      <c r="U93" s="19">
        <f>(K93 - AVERAGE(Reb_Range))/STDEV(Reb_Range)</f>
        <v>-0.71337599877762126</v>
      </c>
      <c r="V93" s="19">
        <f>(L93 - AVERAGE(Ast_Range))/STDEV(Ast_Range)</f>
        <v>-0.68036038647278263</v>
      </c>
      <c r="W93" s="19">
        <f>(M93 - AVERAGE(Stl_Range))/STDEV(Stl_Range)</f>
        <v>-0.26527728357032115</v>
      </c>
      <c r="X93" s="19">
        <f>(N93 - AVERAGE(Blk_Range))/STDEV(Blk_Range)</f>
        <v>-0.46727102637474699</v>
      </c>
      <c r="Y93" s="19">
        <f>(O93 - AVERAGE(Tov_Range))/STDEV(Tov_Range)*-1</f>
        <v>1.2628965409426163</v>
      </c>
      <c r="Z93" s="19">
        <f t="shared" si="1"/>
        <v>-3.4124029064432424</v>
      </c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</row>
    <row r="94" spans="1:40" x14ac:dyDescent="0.55000000000000004">
      <c r="A94" t="s">
        <v>219</v>
      </c>
      <c r="B94" t="s">
        <v>18</v>
      </c>
      <c r="C94" t="s">
        <v>80</v>
      </c>
      <c r="D94">
        <v>63</v>
      </c>
      <c r="E94">
        <v>27.8</v>
      </c>
      <c r="F94">
        <v>12.9</v>
      </c>
      <c r="G94">
        <v>0.57999999999999996</v>
      </c>
      <c r="H94">
        <v>0</v>
      </c>
      <c r="I94">
        <v>5.6</v>
      </c>
      <c r="J94">
        <v>0.65800000000000003</v>
      </c>
      <c r="K94">
        <v>7.1</v>
      </c>
      <c r="L94">
        <v>1.7</v>
      </c>
      <c r="M94">
        <v>0.6</v>
      </c>
      <c r="N94">
        <v>1.1000000000000001</v>
      </c>
      <c r="O94">
        <v>1.7</v>
      </c>
      <c r="P94">
        <v>18.600000000000001</v>
      </c>
      <c r="Q94" s="19">
        <f>(G94 - AVERAGE(FG_Range))*F94</f>
        <v>1.5598343478260874</v>
      </c>
      <c r="R94" s="19">
        <f>(J94 - AVERAGE(FT_RANGE))*I94</f>
        <v>-0.67701565217391313</v>
      </c>
      <c r="S94" s="19">
        <f>(H94 - AVERAGE(Three_Range))/STDEV(Three_Range)</f>
        <v>-1.6959060717352064</v>
      </c>
      <c r="T94" s="19">
        <f>(P94 - AVERAGE(Pts_Range))/STDEV(Pts_Range)</f>
        <v>0.79830148523760924</v>
      </c>
      <c r="U94" s="19">
        <f>(K94 - AVERAGE(Reb_Range))/STDEV(Reb_Range)</f>
        <v>0.80068573733612802</v>
      </c>
      <c r="V94" s="19">
        <f>(L94 - AVERAGE(Ast_Range))/STDEV(Ast_Range)</f>
        <v>-0.68036038647278263</v>
      </c>
      <c r="W94" s="19">
        <f>(M94 - AVERAGE(Stl_Range))/STDEV(Stl_Range)</f>
        <v>-0.80522219703203701</v>
      </c>
      <c r="X94" s="19">
        <f>(N94 - AVERAGE(Blk_Range))/STDEV(Blk_Range)</f>
        <v>1.1132045040104261</v>
      </c>
      <c r="Y94" s="19">
        <f>(O94 - AVERAGE(Tov_Range))/STDEV(Tov_Range)*-1</f>
        <v>-4.006015990301386E-3</v>
      </c>
      <c r="Z94" s="19">
        <f t="shared" si="1"/>
        <v>0.40951575100601034</v>
      </c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</row>
    <row r="95" spans="1:40" x14ac:dyDescent="0.55000000000000004">
      <c r="A95" t="s">
        <v>220</v>
      </c>
      <c r="B95" t="s">
        <v>25</v>
      </c>
      <c r="C95" t="s">
        <v>63</v>
      </c>
      <c r="D95">
        <v>56</v>
      </c>
      <c r="E95">
        <v>31.8</v>
      </c>
      <c r="F95">
        <v>9.3000000000000007</v>
      </c>
      <c r="G95">
        <v>0.42</v>
      </c>
      <c r="H95">
        <v>1.3</v>
      </c>
      <c r="I95">
        <v>1.6</v>
      </c>
      <c r="J95">
        <v>0.81499999999999995</v>
      </c>
      <c r="K95">
        <v>2.9</v>
      </c>
      <c r="L95">
        <v>2.1</v>
      </c>
      <c r="M95">
        <v>1.4</v>
      </c>
      <c r="N95">
        <v>0.3</v>
      </c>
      <c r="O95">
        <v>1.1000000000000001</v>
      </c>
      <c r="P95">
        <v>10.4</v>
      </c>
      <c r="Q95" s="19">
        <f>(G95 - AVERAGE(FG_Range))*F95</f>
        <v>-0.36346826086956463</v>
      </c>
      <c r="R95" s="19">
        <f>(J95 - AVERAGE(FT_RANGE))*I95</f>
        <v>5.7766956521738959E-2</v>
      </c>
      <c r="S95" s="19">
        <f>(H95 - AVERAGE(Three_Range))/STDEV(Three_Range)</f>
        <v>-0.25412069940416609</v>
      </c>
      <c r="T95" s="19">
        <f>(P95 - AVERAGE(Pts_Range))/STDEV(Pts_Range)</f>
        <v>-0.58221988021088833</v>
      </c>
      <c r="U95" s="19">
        <f>(K95 - AVERAGE(Reb_Range))/STDEV(Reb_Range)</f>
        <v>-0.87275091836854224</v>
      </c>
      <c r="V95" s="19">
        <f>(L95 - AVERAGE(Ast_Range))/STDEV(Ast_Range)</f>
        <v>-0.47922556784972364</v>
      </c>
      <c r="W95" s="19">
        <f>(M95 - AVERAGE(Stl_Range))/STDEV(Stl_Range)</f>
        <v>1.3545574568148253</v>
      </c>
      <c r="X95" s="19">
        <f>(N95 - AVERAGE(Blk_Range))/STDEV(Blk_Range)</f>
        <v>-0.46727102637474699</v>
      </c>
      <c r="Y95" s="19">
        <f>(O95 - AVERAGE(Tov_Range))/STDEV(Tov_Range)*-1</f>
        <v>0.68703174233674447</v>
      </c>
      <c r="Z95" s="19">
        <f t="shared" si="1"/>
        <v>-0.91970019740432352</v>
      </c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</row>
    <row r="96" spans="1:40" x14ac:dyDescent="0.55000000000000004">
      <c r="A96" t="s">
        <v>221</v>
      </c>
      <c r="B96" t="s">
        <v>35</v>
      </c>
      <c r="C96" t="s">
        <v>30</v>
      </c>
      <c r="D96">
        <v>63</v>
      </c>
      <c r="E96">
        <v>30.9</v>
      </c>
      <c r="F96">
        <v>11.2</v>
      </c>
      <c r="G96">
        <v>0.47099999999999997</v>
      </c>
      <c r="H96">
        <v>2.4</v>
      </c>
      <c r="I96">
        <v>1.3</v>
      </c>
      <c r="J96">
        <v>0.747</v>
      </c>
      <c r="K96">
        <v>4.3</v>
      </c>
      <c r="L96">
        <v>2.1</v>
      </c>
      <c r="M96">
        <v>0.6</v>
      </c>
      <c r="N96">
        <v>0.3</v>
      </c>
      <c r="O96">
        <v>1.5</v>
      </c>
      <c r="P96">
        <v>13.9</v>
      </c>
      <c r="Q96" s="19">
        <f>(G96 - AVERAGE(FG_Range))*F96</f>
        <v>0.13347478260869625</v>
      </c>
      <c r="R96" s="19">
        <f>(J96 - AVERAGE(FT_RANGE))*I96</f>
        <v>-4.1464347826087038E-2</v>
      </c>
      <c r="S96" s="19">
        <f>(H96 - AVERAGE(Three_Range))/STDEV(Three_Range)</f>
        <v>0.96585153872209861</v>
      </c>
      <c r="T96" s="19">
        <f>(P96 - AVERAGE(Pts_Range))/STDEV(Pts_Range)</f>
        <v>7.0270440659093566E-3</v>
      </c>
      <c r="U96" s="19">
        <f>(K96 - AVERAGE(Reb_Range))/STDEV(Reb_Range)</f>
        <v>-0.3149386998003188</v>
      </c>
      <c r="V96" s="19">
        <f>(L96 - AVERAGE(Ast_Range))/STDEV(Ast_Range)</f>
        <v>-0.47922556784972364</v>
      </c>
      <c r="W96" s="19">
        <f>(M96 - AVERAGE(Stl_Range))/STDEV(Stl_Range)</f>
        <v>-0.80522219703203701</v>
      </c>
      <c r="X96" s="19">
        <f>(N96 - AVERAGE(Blk_Range))/STDEV(Blk_Range)</f>
        <v>-0.46727102637474699</v>
      </c>
      <c r="Y96" s="19">
        <f>(O96 - AVERAGE(Tov_Range))/STDEV(Tov_Range)*-1</f>
        <v>0.22633990345204721</v>
      </c>
      <c r="Z96" s="19">
        <f t="shared" si="1"/>
        <v>-0.7754285700341621</v>
      </c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</row>
    <row r="97" spans="1:40" x14ac:dyDescent="0.55000000000000004">
      <c r="A97" t="s">
        <v>222</v>
      </c>
      <c r="B97" t="s">
        <v>15</v>
      </c>
      <c r="C97" t="s">
        <v>88</v>
      </c>
      <c r="D97">
        <v>65</v>
      </c>
      <c r="E97">
        <v>34.5</v>
      </c>
      <c r="F97">
        <v>16.100000000000001</v>
      </c>
      <c r="G97">
        <v>0.47199999999999998</v>
      </c>
      <c r="H97">
        <v>1.8</v>
      </c>
      <c r="I97">
        <v>2.9</v>
      </c>
      <c r="J97">
        <v>0.80600000000000005</v>
      </c>
      <c r="K97">
        <v>6.8</v>
      </c>
      <c r="L97">
        <v>3.2</v>
      </c>
      <c r="M97">
        <v>0.8</v>
      </c>
      <c r="N97">
        <v>0.5</v>
      </c>
      <c r="O97">
        <v>1.5</v>
      </c>
      <c r="P97">
        <v>19.399999999999999</v>
      </c>
      <c r="Q97" s="19">
        <f>(G97 - AVERAGE(FG_Range))*F97</f>
        <v>0.2079700000000009</v>
      </c>
      <c r="R97" s="19">
        <f>(J97 - AVERAGE(FT_RANGE))*I97</f>
        <v>7.8602608695652151E-2</v>
      </c>
      <c r="S97" s="19">
        <f>(H97 - AVERAGE(Three_Range))/STDEV(Three_Range)</f>
        <v>0.30041213610777251</v>
      </c>
      <c r="T97" s="19">
        <f>(P97 - AVERAGE(Pts_Range))/STDEV(Pts_Range)</f>
        <v>0.93298649650087684</v>
      </c>
      <c r="U97" s="19">
        <f>(K97 - AVERAGE(Reb_Range))/STDEV(Reb_Range)</f>
        <v>0.68115454764293737</v>
      </c>
      <c r="V97" s="19">
        <f>(L97 - AVERAGE(Ast_Range))/STDEV(Ast_Range)</f>
        <v>7.389518336368836E-2</v>
      </c>
      <c r="W97" s="19">
        <f>(M97 - AVERAGE(Stl_Range))/STDEV(Stl_Range)</f>
        <v>-0.26527728357032115</v>
      </c>
      <c r="X97" s="19">
        <f>(N97 - AVERAGE(Blk_Range))/STDEV(Blk_Range)</f>
        <v>-7.2152143778453748E-2</v>
      </c>
      <c r="Y97" s="19">
        <f>(O97 - AVERAGE(Tov_Range))/STDEV(Tov_Range)*-1</f>
        <v>0.22633990345204721</v>
      </c>
      <c r="Z97" s="19">
        <f t="shared" si="1"/>
        <v>2.1639314484142003</v>
      </c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</row>
    <row r="98" spans="1:40" x14ac:dyDescent="0.55000000000000004">
      <c r="A98" t="s">
        <v>224</v>
      </c>
      <c r="B98" t="s">
        <v>35</v>
      </c>
      <c r="C98" t="s">
        <v>26</v>
      </c>
      <c r="D98">
        <v>57</v>
      </c>
      <c r="E98">
        <v>27.4</v>
      </c>
      <c r="F98">
        <v>8.4</v>
      </c>
      <c r="G98">
        <v>0.41599999999999998</v>
      </c>
      <c r="H98">
        <v>1.9</v>
      </c>
      <c r="I98">
        <v>1.6</v>
      </c>
      <c r="J98">
        <v>0.747</v>
      </c>
      <c r="K98">
        <v>6.5</v>
      </c>
      <c r="L98">
        <v>1.6</v>
      </c>
      <c r="M98">
        <v>1</v>
      </c>
      <c r="N98">
        <v>0.4</v>
      </c>
      <c r="O98">
        <v>1.1000000000000001</v>
      </c>
      <c r="P98">
        <v>10.199999999999999</v>
      </c>
      <c r="Q98" s="19">
        <f>(G98 - AVERAGE(FG_Range))*F98</f>
        <v>-0.36189391304347779</v>
      </c>
      <c r="R98" s="19">
        <f>(J98 - AVERAGE(FT_RANGE))*I98</f>
        <v>-5.1033043478260966E-2</v>
      </c>
      <c r="S98" s="19">
        <f>(H98 - AVERAGE(Three_Range))/STDEV(Three_Range)</f>
        <v>0.41131870321016006</v>
      </c>
      <c r="T98" s="19">
        <f>(P98 - AVERAGE(Pts_Range))/STDEV(Pts_Range)</f>
        <v>-0.61589113302670551</v>
      </c>
      <c r="U98" s="19">
        <f>(K98 - AVERAGE(Reb_Range))/STDEV(Reb_Range)</f>
        <v>0.56162335794974672</v>
      </c>
      <c r="V98" s="19">
        <f>(L98 - AVERAGE(Ast_Range))/STDEV(Ast_Range)</f>
        <v>-0.73064409112854722</v>
      </c>
      <c r="W98" s="19">
        <f>(M98 - AVERAGE(Stl_Range))/STDEV(Stl_Range)</f>
        <v>0.27466762989139432</v>
      </c>
      <c r="X98" s="19">
        <f>(N98 - AVERAGE(Blk_Range))/STDEV(Blk_Range)</f>
        <v>-0.26971158507660031</v>
      </c>
      <c r="Y98" s="19">
        <f>(O98 - AVERAGE(Tov_Range))/STDEV(Tov_Range)*-1</f>
        <v>0.68703174233674447</v>
      </c>
      <c r="Z98" s="19">
        <f t="shared" si="1"/>
        <v>-9.4532332365546257E-2</v>
      </c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</row>
    <row r="99" spans="1:40" x14ac:dyDescent="0.55000000000000004">
      <c r="A99" t="s">
        <v>228</v>
      </c>
      <c r="B99" t="s">
        <v>35</v>
      </c>
      <c r="C99" t="s">
        <v>109</v>
      </c>
      <c r="D99">
        <v>45</v>
      </c>
      <c r="E99">
        <v>33.4</v>
      </c>
      <c r="F99">
        <v>13.5</v>
      </c>
      <c r="G99">
        <v>0.502</v>
      </c>
      <c r="H99">
        <v>1.6</v>
      </c>
      <c r="I99">
        <v>2.5</v>
      </c>
      <c r="J99">
        <v>0.84699999999999998</v>
      </c>
      <c r="K99">
        <v>6.5</v>
      </c>
      <c r="L99">
        <v>4.0999999999999996</v>
      </c>
      <c r="M99">
        <v>0.8</v>
      </c>
      <c r="N99">
        <v>0.4</v>
      </c>
      <c r="O99">
        <v>1.8</v>
      </c>
      <c r="P99">
        <v>17.3</v>
      </c>
      <c r="Q99" s="19">
        <f>(G99 - AVERAGE(FG_Range))*F99</f>
        <v>0.57938478260869675</v>
      </c>
      <c r="R99" s="19">
        <f>(J99 - AVERAGE(FT_RANGE))*I99</f>
        <v>0.17026086956521719</v>
      </c>
      <c r="S99" s="19">
        <f>(H99 - AVERAGE(Three_Range))/STDEV(Three_Range)</f>
        <v>7.8599001902997123E-2</v>
      </c>
      <c r="T99" s="19">
        <f>(P99 - AVERAGE(Pts_Range))/STDEV(Pts_Range)</f>
        <v>0.5794383419347986</v>
      </c>
      <c r="U99" s="19">
        <f>(K99 - AVERAGE(Reb_Range))/STDEV(Reb_Range)</f>
        <v>0.56162335794974672</v>
      </c>
      <c r="V99" s="19">
        <f>(L99 - AVERAGE(Ast_Range))/STDEV(Ast_Range)</f>
        <v>0.52644852526557062</v>
      </c>
      <c r="W99" s="19">
        <f>(M99 - AVERAGE(Stl_Range))/STDEV(Stl_Range)</f>
        <v>-0.26527728357032115</v>
      </c>
      <c r="X99" s="19">
        <f>(N99 - AVERAGE(Blk_Range))/STDEV(Blk_Range)</f>
        <v>-0.26971158507660031</v>
      </c>
      <c r="Y99" s="19">
        <f>(O99 - AVERAGE(Tov_Range))/STDEV(Tov_Range)*-1</f>
        <v>-0.11917897571147582</v>
      </c>
      <c r="Z99" s="19">
        <f t="shared" si="1"/>
        <v>1.8415870348686296</v>
      </c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</row>
    <row r="100" spans="1:40" x14ac:dyDescent="0.55000000000000004">
      <c r="A100" t="s">
        <v>657</v>
      </c>
      <c r="B100" t="s">
        <v>15</v>
      </c>
      <c r="C100" t="s">
        <v>65</v>
      </c>
      <c r="D100">
        <v>14</v>
      </c>
      <c r="E100">
        <v>29.4</v>
      </c>
      <c r="F100">
        <v>9.8000000000000007</v>
      </c>
      <c r="G100">
        <v>0.45300000000000001</v>
      </c>
      <c r="H100">
        <v>2.1</v>
      </c>
      <c r="I100">
        <v>3.3</v>
      </c>
      <c r="J100">
        <v>0.60899999999999999</v>
      </c>
      <c r="K100">
        <v>7.3</v>
      </c>
      <c r="L100">
        <v>1.3</v>
      </c>
      <c r="M100">
        <v>1</v>
      </c>
      <c r="N100">
        <v>0.3</v>
      </c>
      <c r="O100">
        <v>1</v>
      </c>
      <c r="P100">
        <v>12.9</v>
      </c>
      <c r="Q100" s="19">
        <f>(G100 - AVERAGE(FG_Range))*F100</f>
        <v>-5.9609565217390394E-2</v>
      </c>
      <c r="R100" s="19">
        <f>(J100 - AVERAGE(FT_RANGE))*I100</f>
        <v>-0.56065565217391322</v>
      </c>
      <c r="S100" s="19">
        <f>(H100 - AVERAGE(Three_Range))/STDEV(Three_Range)</f>
        <v>0.63313183741493573</v>
      </c>
      <c r="T100" s="19">
        <f>(P100 - AVERAGE(Pts_Range))/STDEV(Pts_Range)</f>
        <v>-0.16132922001317568</v>
      </c>
      <c r="U100" s="19">
        <f>(K100 - AVERAGE(Reb_Range))/STDEV(Reb_Range)</f>
        <v>0.88037319713158857</v>
      </c>
      <c r="V100" s="19">
        <f>(L100 - AVERAGE(Ast_Range))/STDEV(Ast_Range)</f>
        <v>-0.88149520509584145</v>
      </c>
      <c r="W100" s="19">
        <f>(M100 - AVERAGE(Stl_Range))/STDEV(Stl_Range)</f>
        <v>0.27466762989139432</v>
      </c>
      <c r="X100" s="19">
        <f>(N100 - AVERAGE(Blk_Range))/STDEV(Blk_Range)</f>
        <v>-0.46727102637474699</v>
      </c>
      <c r="Y100" s="19">
        <f>(O100 - AVERAGE(Tov_Range))/STDEV(Tov_Range)*-1</f>
        <v>0.80220470205791883</v>
      </c>
      <c r="Z100" s="19">
        <f t="shared" si="1"/>
        <v>0.46001669762076969</v>
      </c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</row>
    <row r="101" spans="1:40" x14ac:dyDescent="0.55000000000000004">
      <c r="A101" t="s">
        <v>231</v>
      </c>
      <c r="B101" t="s">
        <v>25</v>
      </c>
      <c r="C101" t="s">
        <v>21</v>
      </c>
      <c r="D101">
        <v>47</v>
      </c>
      <c r="E101">
        <v>27.2</v>
      </c>
      <c r="F101">
        <v>11.3</v>
      </c>
      <c r="G101">
        <v>0.41399999999999998</v>
      </c>
      <c r="H101">
        <v>2.1</v>
      </c>
      <c r="I101">
        <v>1.7</v>
      </c>
      <c r="J101">
        <v>0.83499999999999996</v>
      </c>
      <c r="K101">
        <v>4</v>
      </c>
      <c r="L101">
        <v>1.9</v>
      </c>
      <c r="M101">
        <v>0.6</v>
      </c>
      <c r="N101">
        <v>0.1</v>
      </c>
      <c r="O101">
        <v>1.5</v>
      </c>
      <c r="P101">
        <v>12.9</v>
      </c>
      <c r="Q101" s="19">
        <f>(G101 - AVERAGE(FG_Range))*F101</f>
        <v>-0.50943347826086893</v>
      </c>
      <c r="R101" s="19">
        <f>(J101 - AVERAGE(FT_RANGE))*I101</f>
        <v>9.5377391304347664E-2</v>
      </c>
      <c r="S101" s="19">
        <f>(H101 - AVERAGE(Three_Range))/STDEV(Three_Range)</f>
        <v>0.63313183741493573</v>
      </c>
      <c r="T101" s="19">
        <f>(P101 - AVERAGE(Pts_Range))/STDEV(Pts_Range)</f>
        <v>-0.16132922001317568</v>
      </c>
      <c r="U101" s="19">
        <f>(K101 - AVERAGE(Reb_Range))/STDEV(Reb_Range)</f>
        <v>-0.43446988949350951</v>
      </c>
      <c r="V101" s="19">
        <f>(L101 - AVERAGE(Ast_Range))/STDEV(Ast_Range)</f>
        <v>-0.57979297716125322</v>
      </c>
      <c r="W101" s="19">
        <f>(M101 - AVERAGE(Stl_Range))/STDEV(Stl_Range)</f>
        <v>-0.80522219703203701</v>
      </c>
      <c r="X101" s="19">
        <f>(N101 - AVERAGE(Blk_Range))/STDEV(Blk_Range)</f>
        <v>-0.86238990897104029</v>
      </c>
      <c r="Y101" s="19">
        <f>(O101 - AVERAGE(Tov_Range))/STDEV(Tov_Range)*-1</f>
        <v>0.22633990345204721</v>
      </c>
      <c r="Z101" s="19">
        <f t="shared" si="1"/>
        <v>-2.3977885387605542</v>
      </c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</row>
    <row r="102" spans="1:40" x14ac:dyDescent="0.55000000000000004">
      <c r="A102" t="s">
        <v>234</v>
      </c>
      <c r="B102" t="s">
        <v>25</v>
      </c>
      <c r="C102" t="s">
        <v>51</v>
      </c>
      <c r="D102">
        <v>64</v>
      </c>
      <c r="E102">
        <v>32</v>
      </c>
      <c r="F102">
        <v>16.600000000000001</v>
      </c>
      <c r="G102">
        <v>0.42899999999999999</v>
      </c>
      <c r="H102">
        <v>3.8</v>
      </c>
      <c r="I102">
        <v>2</v>
      </c>
      <c r="J102">
        <v>0.85499999999999998</v>
      </c>
      <c r="K102">
        <v>4.8</v>
      </c>
      <c r="L102">
        <v>3.1</v>
      </c>
      <c r="M102">
        <v>0.9</v>
      </c>
      <c r="N102">
        <v>0.3</v>
      </c>
      <c r="O102">
        <v>2.2999999999999998</v>
      </c>
      <c r="P102">
        <v>19.8</v>
      </c>
      <c r="Q102" s="19">
        <f>(G102 - AVERAGE(FG_Range))*F102</f>
        <v>-0.49937130434782495</v>
      </c>
      <c r="R102" s="19">
        <f>(J102 - AVERAGE(FT_RANGE))*I102</f>
        <v>0.15220869565217376</v>
      </c>
      <c r="S102" s="19">
        <f>(H102 - AVERAGE(Three_Range))/STDEV(Three_Range)</f>
        <v>2.5185434781555265</v>
      </c>
      <c r="T102" s="19">
        <f>(P102 - AVERAGE(Pts_Range))/STDEV(Pts_Range)</f>
        <v>1.0003290021325113</v>
      </c>
      <c r="U102" s="19">
        <f>(K102 - AVERAGE(Reb_Range))/STDEV(Reb_Range)</f>
        <v>-0.11572005031166759</v>
      </c>
      <c r="V102" s="19">
        <f>(L102 - AVERAGE(Ast_Range))/STDEV(Ast_Range)</f>
        <v>2.361147870792359E-2</v>
      </c>
      <c r="W102" s="19">
        <f>(M102 - AVERAGE(Stl_Range))/STDEV(Stl_Range)</f>
        <v>4.6951731605365706E-3</v>
      </c>
      <c r="X102" s="19">
        <f>(N102 - AVERAGE(Blk_Range))/STDEV(Blk_Range)</f>
        <v>-0.46727102637474699</v>
      </c>
      <c r="Y102" s="19">
        <f>(O102 - AVERAGE(Tov_Range))/STDEV(Tov_Range)*-1</f>
        <v>-0.69504377431734721</v>
      </c>
      <c r="Z102" s="19">
        <f t="shared" si="1"/>
        <v>1.9219816724570848</v>
      </c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</row>
    <row r="103" spans="1:40" x14ac:dyDescent="0.55000000000000004">
      <c r="A103" t="s">
        <v>235</v>
      </c>
      <c r="B103" t="s">
        <v>47</v>
      </c>
      <c r="C103" t="s">
        <v>39</v>
      </c>
      <c r="D103">
        <v>52</v>
      </c>
      <c r="E103">
        <v>21.2</v>
      </c>
      <c r="F103">
        <v>6.5</v>
      </c>
      <c r="G103">
        <v>0.53</v>
      </c>
      <c r="H103">
        <v>1.4</v>
      </c>
      <c r="I103">
        <v>1.6</v>
      </c>
      <c r="J103">
        <v>0.83099999999999996</v>
      </c>
      <c r="K103">
        <v>3</v>
      </c>
      <c r="L103">
        <v>2.9</v>
      </c>
      <c r="M103">
        <v>0.8</v>
      </c>
      <c r="N103">
        <v>0.1</v>
      </c>
      <c r="O103">
        <v>0.9</v>
      </c>
      <c r="P103">
        <v>9.6</v>
      </c>
      <c r="Q103" s="19">
        <f>(G103 - AVERAGE(FG_Range))*F103</f>
        <v>0.46096304347826156</v>
      </c>
      <c r="R103" s="19">
        <f>(J103 - AVERAGE(FT_RANGE))*I103</f>
        <v>8.3366956521738977E-2</v>
      </c>
      <c r="S103" s="19">
        <f>(H103 - AVERAGE(Three_Range))/STDEV(Three_Range)</f>
        <v>-0.14321413230177851</v>
      </c>
      <c r="T103" s="19">
        <f>(P103 - AVERAGE(Pts_Range))/STDEV(Pts_Range)</f>
        <v>-0.71690489147415648</v>
      </c>
      <c r="U103" s="19">
        <f>(K103 - AVERAGE(Reb_Range))/STDEV(Reb_Range)</f>
        <v>-0.83290718847081202</v>
      </c>
      <c r="V103" s="19">
        <f>(L103 - AVERAGE(Ast_Range))/STDEV(Ast_Range)</f>
        <v>-7.6955930603605949E-2</v>
      </c>
      <c r="W103" s="19">
        <f>(M103 - AVERAGE(Stl_Range))/STDEV(Stl_Range)</f>
        <v>-0.26527728357032115</v>
      </c>
      <c r="X103" s="19">
        <f>(N103 - AVERAGE(Blk_Range))/STDEV(Blk_Range)</f>
        <v>-0.86238990897104029</v>
      </c>
      <c r="Y103" s="19">
        <f>(O103 - AVERAGE(Tov_Range))/STDEV(Tov_Range)*-1</f>
        <v>0.91737766177909319</v>
      </c>
      <c r="Z103" s="19">
        <f t="shared" si="1"/>
        <v>-1.4359416736126212</v>
      </c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</row>
    <row r="104" spans="1:40" x14ac:dyDescent="0.55000000000000004">
      <c r="A104" t="s">
        <v>238</v>
      </c>
      <c r="B104" t="s">
        <v>47</v>
      </c>
      <c r="C104" t="s">
        <v>83</v>
      </c>
      <c r="D104">
        <v>58</v>
      </c>
      <c r="E104">
        <v>23.6</v>
      </c>
      <c r="F104">
        <v>8.6</v>
      </c>
      <c r="G104">
        <v>0.40699999999999997</v>
      </c>
      <c r="H104">
        <v>1.4</v>
      </c>
      <c r="I104">
        <v>1.2</v>
      </c>
      <c r="J104">
        <v>0.86099999999999999</v>
      </c>
      <c r="K104">
        <v>2.2999999999999998</v>
      </c>
      <c r="L104">
        <v>3.3</v>
      </c>
      <c r="M104">
        <v>0.8</v>
      </c>
      <c r="N104">
        <v>0.2</v>
      </c>
      <c r="O104">
        <v>1.3</v>
      </c>
      <c r="P104">
        <v>9.4</v>
      </c>
      <c r="Q104" s="19">
        <f>(G104 - AVERAGE(FG_Range))*F104</f>
        <v>-0.44791043478260822</v>
      </c>
      <c r="R104" s="19">
        <f>(J104 - AVERAGE(FT_RANGE))*I104</f>
        <v>9.8525217391304265E-2</v>
      </c>
      <c r="S104" s="19">
        <f>(H104 - AVERAGE(Three_Range))/STDEV(Three_Range)</f>
        <v>-0.14321413230177851</v>
      </c>
      <c r="T104" s="19">
        <f>(P104 - AVERAGE(Pts_Range))/STDEV(Pts_Range)</f>
        <v>-0.75057614428997332</v>
      </c>
      <c r="U104" s="19">
        <f>(K104 - AVERAGE(Reb_Range))/STDEV(Reb_Range)</f>
        <v>-1.1118132977549238</v>
      </c>
      <c r="V104" s="19">
        <f>(L104 - AVERAGE(Ast_Range))/STDEV(Ast_Range)</f>
        <v>0.1241788880194529</v>
      </c>
      <c r="W104" s="19">
        <f>(M104 - AVERAGE(Stl_Range))/STDEV(Stl_Range)</f>
        <v>-0.26527728357032115</v>
      </c>
      <c r="X104" s="19">
        <f>(N104 - AVERAGE(Blk_Range))/STDEV(Blk_Range)</f>
        <v>-0.66483046767289355</v>
      </c>
      <c r="Y104" s="19">
        <f>(O104 - AVERAGE(Tov_Range))/STDEV(Tov_Range)*-1</f>
        <v>0.4566858228943958</v>
      </c>
      <c r="Z104" s="19">
        <f t="shared" si="1"/>
        <v>-2.7042318320673457</v>
      </c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</row>
    <row r="105" spans="1:40" x14ac:dyDescent="0.55000000000000004">
      <c r="A105" t="s">
        <v>239</v>
      </c>
      <c r="B105" t="s">
        <v>25</v>
      </c>
      <c r="C105" t="s">
        <v>26</v>
      </c>
      <c r="D105">
        <v>55</v>
      </c>
      <c r="E105">
        <v>34.9</v>
      </c>
      <c r="F105">
        <v>16.899999999999999</v>
      </c>
      <c r="G105">
        <v>0.45200000000000001</v>
      </c>
      <c r="H105">
        <v>2.1</v>
      </c>
      <c r="I105">
        <v>3.1</v>
      </c>
      <c r="J105">
        <v>0.7</v>
      </c>
      <c r="K105">
        <v>4.9000000000000004</v>
      </c>
      <c r="L105">
        <v>6.9</v>
      </c>
      <c r="M105">
        <v>1.7</v>
      </c>
      <c r="N105">
        <v>0.8</v>
      </c>
      <c r="O105">
        <v>2.9</v>
      </c>
      <c r="P105">
        <v>19.600000000000001</v>
      </c>
      <c r="Q105" s="19">
        <f>(G105 - AVERAGE(FG_Range))*F105</f>
        <v>-0.11969608695652018</v>
      </c>
      <c r="R105" s="19">
        <f>(J105 - AVERAGE(FT_RANGE))*I105</f>
        <v>-0.24457652173913075</v>
      </c>
      <c r="S105" s="19">
        <f>(H105 - AVERAGE(Three_Range))/STDEV(Three_Range)</f>
        <v>0.63313183741493573</v>
      </c>
      <c r="T105" s="19">
        <f>(P105 - AVERAGE(Pts_Range))/STDEV(Pts_Range)</f>
        <v>0.96665774931669435</v>
      </c>
      <c r="U105" s="19">
        <f>(K105 - AVERAGE(Reb_Range))/STDEV(Reb_Range)</f>
        <v>-7.5876320413937132E-2</v>
      </c>
      <c r="V105" s="19">
        <f>(L105 - AVERAGE(Ast_Range))/STDEV(Ast_Range)</f>
        <v>1.9343922556269832</v>
      </c>
      <c r="W105" s="19">
        <f>(M105 - AVERAGE(Stl_Range))/STDEV(Stl_Range)</f>
        <v>2.1644748270073988</v>
      </c>
      <c r="X105" s="19">
        <f>(N105 - AVERAGE(Blk_Range))/STDEV(Blk_Range)</f>
        <v>0.52052618011598617</v>
      </c>
      <c r="Y105" s="19">
        <f>(O105 - AVERAGE(Tov_Range))/STDEV(Tov_Range)*-1</f>
        <v>-1.3860815326443932</v>
      </c>
      <c r="Z105" s="19">
        <f t="shared" si="1"/>
        <v>4.392952387728017</v>
      </c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</row>
    <row r="106" spans="1:40" x14ac:dyDescent="0.55000000000000004">
      <c r="A106" t="s">
        <v>240</v>
      </c>
      <c r="B106" t="s">
        <v>25</v>
      </c>
      <c r="C106" t="s">
        <v>83</v>
      </c>
      <c r="D106">
        <v>65</v>
      </c>
      <c r="E106">
        <v>24.9</v>
      </c>
      <c r="F106">
        <v>6.6</v>
      </c>
      <c r="G106">
        <v>0.44</v>
      </c>
      <c r="H106">
        <v>1.9</v>
      </c>
      <c r="I106">
        <v>0.9</v>
      </c>
      <c r="J106">
        <v>0.78</v>
      </c>
      <c r="K106">
        <v>3.2</v>
      </c>
      <c r="L106">
        <v>1.3</v>
      </c>
      <c r="M106">
        <v>1.2</v>
      </c>
      <c r="N106">
        <v>0.6</v>
      </c>
      <c r="O106">
        <v>0.6</v>
      </c>
      <c r="P106">
        <v>8.4</v>
      </c>
      <c r="Q106" s="19">
        <f>(G106 - AVERAGE(FG_Range))*F106</f>
        <v>-0.12594521739130379</v>
      </c>
      <c r="R106" s="19">
        <f>(J106 - AVERAGE(FT_RANGE))*I106</f>
        <v>9.9391304347823395E-4</v>
      </c>
      <c r="S106" s="19">
        <f>(H106 - AVERAGE(Three_Range))/STDEV(Three_Range)</f>
        <v>0.41131870321016006</v>
      </c>
      <c r="T106" s="19">
        <f>(P106 - AVERAGE(Pts_Range))/STDEV(Pts_Range)</f>
        <v>-0.91893240836905843</v>
      </c>
      <c r="U106" s="19">
        <f>(K106 - AVERAGE(Reb_Range))/STDEV(Reb_Range)</f>
        <v>-0.75321972867535136</v>
      </c>
      <c r="V106" s="19">
        <f>(L106 - AVERAGE(Ast_Range))/STDEV(Ast_Range)</f>
        <v>-0.88149520509584145</v>
      </c>
      <c r="W106" s="19">
        <f>(M106 - AVERAGE(Stl_Range))/STDEV(Stl_Range)</f>
        <v>0.81461254335310984</v>
      </c>
      <c r="X106" s="19">
        <f>(N106 - AVERAGE(Blk_Range))/STDEV(Blk_Range)</f>
        <v>0.12540729751969285</v>
      </c>
      <c r="Y106" s="19">
        <f>(O106 - AVERAGE(Tov_Range))/STDEV(Tov_Range)*-1</f>
        <v>1.2628965409426163</v>
      </c>
      <c r="Z106" s="19">
        <f t="shared" si="1"/>
        <v>-6.4363561462497332E-2</v>
      </c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</row>
    <row r="107" spans="1:40" x14ac:dyDescent="0.55000000000000004">
      <c r="A107" t="s">
        <v>242</v>
      </c>
      <c r="B107" t="s">
        <v>18</v>
      </c>
      <c r="C107" t="s">
        <v>51</v>
      </c>
      <c r="D107">
        <v>39</v>
      </c>
      <c r="E107">
        <v>28.8</v>
      </c>
      <c r="F107">
        <v>8.1999999999999993</v>
      </c>
      <c r="G107">
        <v>0.65400000000000003</v>
      </c>
      <c r="H107">
        <v>0</v>
      </c>
      <c r="I107">
        <v>2.6</v>
      </c>
      <c r="J107">
        <v>0.8</v>
      </c>
      <c r="K107">
        <v>8.3000000000000007</v>
      </c>
      <c r="L107">
        <v>1</v>
      </c>
      <c r="M107">
        <v>1</v>
      </c>
      <c r="N107">
        <v>1.4</v>
      </c>
      <c r="O107">
        <v>1.3</v>
      </c>
      <c r="P107">
        <v>12.8</v>
      </c>
      <c r="Q107" s="19">
        <f>(G107 - AVERAGE(FG_Range))*F107</f>
        <v>1.5983226086956528</v>
      </c>
      <c r="R107" s="19">
        <f>(J107 - AVERAGE(FT_RANGE))*I107</f>
        <v>5.4871304347826055E-2</v>
      </c>
      <c r="S107" s="19">
        <f>(H107 - AVERAGE(Three_Range))/STDEV(Three_Range)</f>
        <v>-1.6959060717352064</v>
      </c>
      <c r="T107" s="19">
        <f>(P107 - AVERAGE(Pts_Range))/STDEV(Pts_Range)</f>
        <v>-0.17816484642108413</v>
      </c>
      <c r="U107" s="19">
        <f>(K107 - AVERAGE(Reb_Range))/STDEV(Reb_Range)</f>
        <v>1.2788104961088913</v>
      </c>
      <c r="V107" s="19">
        <f>(L107 - AVERAGE(Ast_Range))/STDEV(Ast_Range)</f>
        <v>-1.0323463190631357</v>
      </c>
      <c r="W107" s="19">
        <f>(M107 - AVERAGE(Stl_Range))/STDEV(Stl_Range)</f>
        <v>0.27466762989139432</v>
      </c>
      <c r="X107" s="19">
        <f>(N107 - AVERAGE(Blk_Range))/STDEV(Blk_Range)</f>
        <v>1.7058828279048657</v>
      </c>
      <c r="Y107" s="19">
        <f>(O107 - AVERAGE(Tov_Range))/STDEV(Tov_Range)*-1</f>
        <v>0.4566858228943958</v>
      </c>
      <c r="Z107" s="19">
        <f t="shared" si="1"/>
        <v>2.4628234526236001</v>
      </c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</row>
    <row r="108" spans="1:40" x14ac:dyDescent="0.55000000000000004">
      <c r="A108" t="s">
        <v>243</v>
      </c>
      <c r="B108" t="s">
        <v>35</v>
      </c>
      <c r="C108" t="s">
        <v>44</v>
      </c>
      <c r="D108">
        <v>21</v>
      </c>
      <c r="E108">
        <v>29.5</v>
      </c>
      <c r="F108">
        <v>8.1999999999999993</v>
      </c>
      <c r="G108">
        <v>0.50600000000000001</v>
      </c>
      <c r="H108">
        <v>1.7</v>
      </c>
      <c r="I108">
        <v>1.3</v>
      </c>
      <c r="J108">
        <v>0.77800000000000002</v>
      </c>
      <c r="K108">
        <v>3.4</v>
      </c>
      <c r="L108">
        <v>1.5</v>
      </c>
      <c r="M108">
        <v>0.8</v>
      </c>
      <c r="N108">
        <v>0.2</v>
      </c>
      <c r="O108">
        <v>0.9</v>
      </c>
      <c r="P108">
        <v>11</v>
      </c>
      <c r="Q108" s="19">
        <f>(G108 - AVERAGE(FG_Range))*F108</f>
        <v>0.38472260869565283</v>
      </c>
      <c r="R108" s="19">
        <f>(J108 - AVERAGE(FT_RANGE))*I108</f>
        <v>-1.1643478260869977E-3</v>
      </c>
      <c r="S108" s="19">
        <f>(H108 - AVERAGE(Three_Range))/STDEV(Three_Range)</f>
        <v>0.18950556900538468</v>
      </c>
      <c r="T108" s="19">
        <f>(P108 - AVERAGE(Pts_Range))/STDEV(Pts_Range)</f>
        <v>-0.48120612176343736</v>
      </c>
      <c r="U108" s="19">
        <f>(K108 - AVERAGE(Reb_Range))/STDEV(Reb_Range)</f>
        <v>-0.67353226887989104</v>
      </c>
      <c r="V108" s="19">
        <f>(L108 - AVERAGE(Ast_Range))/STDEV(Ast_Range)</f>
        <v>-0.78092779578431204</v>
      </c>
      <c r="W108" s="19">
        <f>(M108 - AVERAGE(Stl_Range))/STDEV(Stl_Range)</f>
        <v>-0.26527728357032115</v>
      </c>
      <c r="X108" s="19">
        <f>(N108 - AVERAGE(Blk_Range))/STDEV(Blk_Range)</f>
        <v>-0.66483046767289355</v>
      </c>
      <c r="Y108" s="19">
        <f>(O108 - AVERAGE(Tov_Range))/STDEV(Tov_Range)*-1</f>
        <v>0.91737766177909319</v>
      </c>
      <c r="Z108" s="19">
        <f t="shared" si="1"/>
        <v>-1.3753324460168115</v>
      </c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</row>
    <row r="109" spans="1:40" x14ac:dyDescent="0.55000000000000004">
      <c r="A109" t="s">
        <v>244</v>
      </c>
      <c r="B109" t="s">
        <v>18</v>
      </c>
      <c r="C109" t="s">
        <v>88</v>
      </c>
      <c r="D109">
        <v>60</v>
      </c>
      <c r="E109">
        <v>30.8</v>
      </c>
      <c r="F109">
        <v>10.9</v>
      </c>
      <c r="G109">
        <v>0.442</v>
      </c>
      <c r="H109">
        <v>1.5</v>
      </c>
      <c r="I109">
        <v>1.2</v>
      </c>
      <c r="J109">
        <v>0.753</v>
      </c>
      <c r="K109">
        <v>6.9</v>
      </c>
      <c r="L109">
        <v>4.0999999999999996</v>
      </c>
      <c r="M109">
        <v>0.9</v>
      </c>
      <c r="N109">
        <v>0.9</v>
      </c>
      <c r="O109">
        <v>1.1000000000000001</v>
      </c>
      <c r="P109">
        <v>12</v>
      </c>
      <c r="Q109" s="19">
        <f>(G109 - AVERAGE(FG_Range))*F109</f>
        <v>-0.18620043478260778</v>
      </c>
      <c r="R109" s="19">
        <f>(J109 - AVERAGE(FT_RANGE))*I109</f>
        <v>-3.1074782608695714E-2</v>
      </c>
      <c r="S109" s="19">
        <f>(H109 - AVERAGE(Three_Range))/STDEV(Three_Range)</f>
        <v>-3.2307565199390695E-2</v>
      </c>
      <c r="T109" s="19">
        <f>(P109 - AVERAGE(Pts_Range))/STDEV(Pts_Range)</f>
        <v>-0.31284985768435231</v>
      </c>
      <c r="U109" s="19">
        <f>(K109 - AVERAGE(Reb_Range))/STDEV(Reb_Range)</f>
        <v>0.72099827754066781</v>
      </c>
      <c r="V109" s="19">
        <f>(L109 - AVERAGE(Ast_Range))/STDEV(Ast_Range)</f>
        <v>0.52644852526557062</v>
      </c>
      <c r="W109" s="19">
        <f>(M109 - AVERAGE(Stl_Range))/STDEV(Stl_Range)</f>
        <v>4.6951731605365706E-3</v>
      </c>
      <c r="X109" s="19">
        <f>(N109 - AVERAGE(Blk_Range))/STDEV(Blk_Range)</f>
        <v>0.71808562141413279</v>
      </c>
      <c r="Y109" s="19">
        <f>(O109 - AVERAGE(Tov_Range))/STDEV(Tov_Range)*-1</f>
        <v>0.68703174233674447</v>
      </c>
      <c r="Z109" s="19">
        <f t="shared" si="1"/>
        <v>2.0948266994426055</v>
      </c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</row>
    <row r="110" spans="1:40" x14ac:dyDescent="0.55000000000000004">
      <c r="A110" t="s">
        <v>246</v>
      </c>
      <c r="B110" t="s">
        <v>35</v>
      </c>
      <c r="C110" t="s">
        <v>37</v>
      </c>
      <c r="D110">
        <v>58</v>
      </c>
      <c r="E110">
        <v>30</v>
      </c>
      <c r="F110">
        <v>8.3000000000000007</v>
      </c>
      <c r="G110">
        <v>0.42699999999999999</v>
      </c>
      <c r="H110">
        <v>1.9</v>
      </c>
      <c r="I110">
        <v>1.5</v>
      </c>
      <c r="J110">
        <v>0.8</v>
      </c>
      <c r="K110">
        <v>4.2</v>
      </c>
      <c r="L110">
        <v>1.3</v>
      </c>
      <c r="M110">
        <v>1.1000000000000001</v>
      </c>
      <c r="N110">
        <v>0.6</v>
      </c>
      <c r="O110">
        <v>0.8</v>
      </c>
      <c r="P110">
        <v>10.199999999999999</v>
      </c>
      <c r="Q110" s="19">
        <f>(G110 - AVERAGE(FG_Range))*F110</f>
        <v>-0.26628565217391248</v>
      </c>
      <c r="R110" s="19">
        <f>(J110 - AVERAGE(FT_RANGE))*I110</f>
        <v>3.1656521739130417E-2</v>
      </c>
      <c r="S110" s="19">
        <f>(H110 - AVERAGE(Three_Range))/STDEV(Three_Range)</f>
        <v>0.41131870321016006</v>
      </c>
      <c r="T110" s="19">
        <f>(P110 - AVERAGE(Pts_Range))/STDEV(Pts_Range)</f>
        <v>-0.61589113302670551</v>
      </c>
      <c r="U110" s="19">
        <f>(K110 - AVERAGE(Reb_Range))/STDEV(Reb_Range)</f>
        <v>-0.35478242969804891</v>
      </c>
      <c r="V110" s="19">
        <f>(L110 - AVERAGE(Ast_Range))/STDEV(Ast_Range)</f>
        <v>-0.88149520509584145</v>
      </c>
      <c r="W110" s="19">
        <f>(M110 - AVERAGE(Stl_Range))/STDEV(Stl_Range)</f>
        <v>0.54464008662225238</v>
      </c>
      <c r="X110" s="19">
        <f>(N110 - AVERAGE(Blk_Range))/STDEV(Blk_Range)</f>
        <v>0.12540729751969285</v>
      </c>
      <c r="Y110" s="19">
        <f>(O110 - AVERAGE(Tov_Range))/STDEV(Tov_Range)*-1</f>
        <v>1.0325506215002676</v>
      </c>
      <c r="Z110" s="19">
        <f t="shared" si="1"/>
        <v>2.7118810596994836E-2</v>
      </c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</row>
    <row r="111" spans="1:40" x14ac:dyDescent="0.55000000000000004">
      <c r="A111" t="s">
        <v>248</v>
      </c>
      <c r="B111" t="s">
        <v>25</v>
      </c>
      <c r="C111" t="s">
        <v>77</v>
      </c>
      <c r="D111">
        <v>56</v>
      </c>
      <c r="E111">
        <v>31.4</v>
      </c>
      <c r="F111">
        <v>10.9</v>
      </c>
      <c r="G111">
        <v>0.41299999999999998</v>
      </c>
      <c r="H111">
        <v>2.2999999999999998</v>
      </c>
      <c r="I111">
        <v>1.1000000000000001</v>
      </c>
      <c r="J111">
        <v>0.82799999999999996</v>
      </c>
      <c r="K111">
        <v>4.0999999999999996</v>
      </c>
      <c r="L111">
        <v>3.8</v>
      </c>
      <c r="M111">
        <v>0.9</v>
      </c>
      <c r="N111">
        <v>0.5</v>
      </c>
      <c r="O111">
        <v>1.6</v>
      </c>
      <c r="P111">
        <v>12.2</v>
      </c>
      <c r="Q111" s="19">
        <f>(G111 - AVERAGE(FG_Range))*F111</f>
        <v>-0.50230043478260811</v>
      </c>
      <c r="R111" s="19">
        <f>(J111 - AVERAGE(FT_RANGE))*I111</f>
        <v>5.401478260869555E-2</v>
      </c>
      <c r="S111" s="19">
        <f>(H111 - AVERAGE(Three_Range))/STDEV(Three_Range)</f>
        <v>0.85494497161971084</v>
      </c>
      <c r="T111" s="19">
        <f>(P111 - AVERAGE(Pts_Range))/STDEV(Pts_Range)</f>
        <v>-0.27917860486853541</v>
      </c>
      <c r="U111" s="19">
        <f>(K111 - AVERAGE(Reb_Range))/STDEV(Reb_Range)</f>
        <v>-0.3946261595957794</v>
      </c>
      <c r="V111" s="19">
        <f>(L111 - AVERAGE(Ast_Range))/STDEV(Ast_Range)</f>
        <v>0.37559741129827651</v>
      </c>
      <c r="W111" s="19">
        <f>(M111 - AVERAGE(Stl_Range))/STDEV(Stl_Range)</f>
        <v>4.6951731605365706E-3</v>
      </c>
      <c r="X111" s="19">
        <f>(N111 - AVERAGE(Blk_Range))/STDEV(Blk_Range)</f>
        <v>-7.2152143778453748E-2</v>
      </c>
      <c r="Y111" s="19">
        <f>(O111 - AVERAGE(Tov_Range))/STDEV(Tov_Range)*-1</f>
        <v>0.11116694373087278</v>
      </c>
      <c r="Z111" s="19">
        <f t="shared" si="1"/>
        <v>0.15216193939271555</v>
      </c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</row>
    <row r="112" spans="1:40" x14ac:dyDescent="0.55000000000000004">
      <c r="A112" t="s">
        <v>249</v>
      </c>
      <c r="B112" t="s">
        <v>35</v>
      </c>
      <c r="C112" t="s">
        <v>77</v>
      </c>
      <c r="D112">
        <v>63</v>
      </c>
      <c r="E112">
        <v>32</v>
      </c>
      <c r="F112">
        <v>10.8</v>
      </c>
      <c r="G112">
        <v>0.41</v>
      </c>
      <c r="H112">
        <v>1.7</v>
      </c>
      <c r="I112">
        <v>2.2999999999999998</v>
      </c>
      <c r="J112">
        <v>0.76400000000000001</v>
      </c>
      <c r="K112">
        <v>4.5</v>
      </c>
      <c r="L112">
        <v>1.8</v>
      </c>
      <c r="M112">
        <v>0.7</v>
      </c>
      <c r="N112">
        <v>0.3</v>
      </c>
      <c r="O112">
        <v>1.6</v>
      </c>
      <c r="P112">
        <v>12.3</v>
      </c>
      <c r="Q112" s="19">
        <f>(G112 - AVERAGE(FG_Range))*F112</f>
        <v>-0.53009217391304297</v>
      </c>
      <c r="R112" s="19">
        <f>(J112 - AVERAGE(FT_RANGE))*I112</f>
        <v>-3.4260000000000096E-2</v>
      </c>
      <c r="S112" s="19">
        <f>(H112 - AVERAGE(Three_Range))/STDEV(Three_Range)</f>
        <v>0.18950556900538468</v>
      </c>
      <c r="T112" s="19">
        <f>(P112 - AVERAGE(Pts_Range))/STDEV(Pts_Range)</f>
        <v>-0.26234297846062665</v>
      </c>
      <c r="U112" s="19">
        <f>(K112 - AVERAGE(Reb_Range))/STDEV(Reb_Range)</f>
        <v>-0.23525124000485825</v>
      </c>
      <c r="V112" s="19">
        <f>(L112 - AVERAGE(Ast_Range))/STDEV(Ast_Range)</f>
        <v>-0.63007668181701781</v>
      </c>
      <c r="W112" s="19">
        <f>(M112 - AVERAGE(Stl_Range))/STDEV(Stl_Range)</f>
        <v>-0.53524974030117922</v>
      </c>
      <c r="X112" s="19">
        <f>(N112 - AVERAGE(Blk_Range))/STDEV(Blk_Range)</f>
        <v>-0.46727102637474699</v>
      </c>
      <c r="Y112" s="19">
        <f>(O112 - AVERAGE(Tov_Range))/STDEV(Tov_Range)*-1</f>
        <v>0.11116694373087278</v>
      </c>
      <c r="Z112" s="19">
        <f t="shared" si="1"/>
        <v>-2.3938713281352144</v>
      </c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</row>
    <row r="113" spans="1:40" x14ac:dyDescent="0.55000000000000004">
      <c r="A113" t="s">
        <v>251</v>
      </c>
      <c r="B113" t="s">
        <v>18</v>
      </c>
      <c r="C113" t="s">
        <v>45</v>
      </c>
      <c r="D113">
        <v>50</v>
      </c>
      <c r="E113">
        <v>27.5</v>
      </c>
      <c r="F113">
        <v>12.5</v>
      </c>
      <c r="G113">
        <v>0.51800000000000002</v>
      </c>
      <c r="H113">
        <v>1.3</v>
      </c>
      <c r="I113">
        <v>2.4</v>
      </c>
      <c r="J113">
        <v>0.748</v>
      </c>
      <c r="K113">
        <v>8.3000000000000007</v>
      </c>
      <c r="L113">
        <v>1.5</v>
      </c>
      <c r="M113">
        <v>0.5</v>
      </c>
      <c r="N113">
        <v>0.8</v>
      </c>
      <c r="O113">
        <v>2</v>
      </c>
      <c r="P113">
        <v>16</v>
      </c>
      <c r="Q113" s="19">
        <f>(G113 - AVERAGE(FG_Range))*F113</f>
        <v>0.73646739130434902</v>
      </c>
      <c r="R113" s="19">
        <f>(J113 - AVERAGE(FT_RANGE))*I113</f>
        <v>-7.4149565217391439E-2</v>
      </c>
      <c r="S113" s="19">
        <f>(H113 - AVERAGE(Three_Range))/STDEV(Three_Range)</f>
        <v>-0.25412069940416609</v>
      </c>
      <c r="T113" s="19">
        <f>(P113 - AVERAGE(Pts_Range))/STDEV(Pts_Range)</f>
        <v>0.36057519863198789</v>
      </c>
      <c r="U113" s="19">
        <f>(K113 - AVERAGE(Reb_Range))/STDEV(Reb_Range)</f>
        <v>1.2788104961088913</v>
      </c>
      <c r="V113" s="19">
        <f>(L113 - AVERAGE(Ast_Range))/STDEV(Ast_Range)</f>
        <v>-0.78092779578431204</v>
      </c>
      <c r="W113" s="19">
        <f>(M113 - AVERAGE(Stl_Range))/STDEV(Stl_Range)</f>
        <v>-1.0751946537628947</v>
      </c>
      <c r="X113" s="19">
        <f>(N113 - AVERAGE(Blk_Range))/STDEV(Blk_Range)</f>
        <v>0.52052618011598617</v>
      </c>
      <c r="Y113" s="19">
        <f>(O113 - AVERAGE(Tov_Range))/STDEV(Tov_Range)*-1</f>
        <v>-0.3495248951538244</v>
      </c>
      <c r="Z113" s="19">
        <f t="shared" si="1"/>
        <v>0.3624616568386258</v>
      </c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</row>
    <row r="114" spans="1:40" x14ac:dyDescent="0.55000000000000004">
      <c r="A114" t="s">
        <v>252</v>
      </c>
      <c r="B114" t="s">
        <v>35</v>
      </c>
      <c r="C114" t="s">
        <v>87</v>
      </c>
      <c r="D114">
        <v>64</v>
      </c>
      <c r="E114">
        <v>29.9</v>
      </c>
      <c r="F114">
        <v>7.7</v>
      </c>
      <c r="G114">
        <v>0.441</v>
      </c>
      <c r="H114">
        <v>1.9</v>
      </c>
      <c r="I114">
        <v>1.3</v>
      </c>
      <c r="J114">
        <v>0.77400000000000002</v>
      </c>
      <c r="K114">
        <v>4</v>
      </c>
      <c r="L114">
        <v>5.2</v>
      </c>
      <c r="M114">
        <v>0.9</v>
      </c>
      <c r="N114">
        <v>0.1</v>
      </c>
      <c r="O114">
        <v>1.9</v>
      </c>
      <c r="P114">
        <v>9.8000000000000007</v>
      </c>
      <c r="Q114" s="19">
        <f>(G114 - AVERAGE(FG_Range))*F114</f>
        <v>-0.13923608695652112</v>
      </c>
      <c r="R114" s="19">
        <f>(J114 - AVERAGE(FT_RANGE))*I114</f>
        <v>-6.3643478260870029E-3</v>
      </c>
      <c r="S114" s="19">
        <f>(H114 - AVERAGE(Three_Range))/STDEV(Three_Range)</f>
        <v>0.41131870321016006</v>
      </c>
      <c r="T114" s="19">
        <f>(P114 - AVERAGE(Pts_Range))/STDEV(Pts_Range)</f>
        <v>-0.6832336386583393</v>
      </c>
      <c r="U114" s="19">
        <f>(K114 - AVERAGE(Reb_Range))/STDEV(Reb_Range)</f>
        <v>-0.43446988949350951</v>
      </c>
      <c r="V114" s="19">
        <f>(L114 - AVERAGE(Ast_Range))/STDEV(Ast_Range)</f>
        <v>1.0795692764789828</v>
      </c>
      <c r="W114" s="19">
        <f>(M114 - AVERAGE(Stl_Range))/STDEV(Stl_Range)</f>
        <v>4.6951731605365706E-3</v>
      </c>
      <c r="X114" s="19">
        <f>(N114 - AVERAGE(Blk_Range))/STDEV(Blk_Range)</f>
        <v>-0.86238990897104029</v>
      </c>
      <c r="Y114" s="19">
        <f>(O114 - AVERAGE(Tov_Range))/STDEV(Tov_Range)*-1</f>
        <v>-0.23435193543264998</v>
      </c>
      <c r="Z114" s="19">
        <f t="shared" si="1"/>
        <v>-0.86446265448846771</v>
      </c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</row>
    <row r="115" spans="1:40" x14ac:dyDescent="0.55000000000000004">
      <c r="A115" t="s">
        <v>253</v>
      </c>
      <c r="B115" t="s">
        <v>15</v>
      </c>
      <c r="C115" t="s">
        <v>26</v>
      </c>
      <c r="D115">
        <v>56</v>
      </c>
      <c r="E115">
        <v>34.299999999999997</v>
      </c>
      <c r="F115">
        <v>18</v>
      </c>
      <c r="G115">
        <v>0.46600000000000003</v>
      </c>
      <c r="H115">
        <v>2.4</v>
      </c>
      <c r="I115">
        <v>5.9</v>
      </c>
      <c r="J115">
        <v>0.85799999999999998</v>
      </c>
      <c r="K115">
        <v>6.3</v>
      </c>
      <c r="L115">
        <v>4.3</v>
      </c>
      <c r="M115">
        <v>1</v>
      </c>
      <c r="N115">
        <v>0.7</v>
      </c>
      <c r="O115">
        <v>3.1</v>
      </c>
      <c r="P115">
        <v>24.3</v>
      </c>
      <c r="Q115" s="19">
        <f>(G115 - AVERAGE(FG_Range))*F115</f>
        <v>0.12451304347826275</v>
      </c>
      <c r="R115" s="19">
        <f>(J115 - AVERAGE(FT_RANGE))*I115</f>
        <v>0.46671565217391264</v>
      </c>
      <c r="S115" s="19">
        <f>(H115 - AVERAGE(Three_Range))/STDEV(Three_Range)</f>
        <v>0.96585153872209861</v>
      </c>
      <c r="T115" s="19">
        <f>(P115 - AVERAGE(Pts_Range))/STDEV(Pts_Range)</f>
        <v>1.757932190488394</v>
      </c>
      <c r="U115" s="19">
        <f>(K115 - AVERAGE(Reb_Range))/STDEV(Reb_Range)</f>
        <v>0.48193589815428611</v>
      </c>
      <c r="V115" s="19">
        <f>(L115 - AVERAGE(Ast_Range))/STDEV(Ast_Range)</f>
        <v>0.62701593457710014</v>
      </c>
      <c r="W115" s="19">
        <f>(M115 - AVERAGE(Stl_Range))/STDEV(Stl_Range)</f>
        <v>0.27466762989139432</v>
      </c>
      <c r="X115" s="19">
        <f>(N115 - AVERAGE(Blk_Range))/STDEV(Blk_Range)</f>
        <v>0.32296673881783944</v>
      </c>
      <c r="Y115" s="19">
        <f>(O115 - AVERAGE(Tov_Range))/STDEV(Tov_Range)*-1</f>
        <v>-1.6164274520867421</v>
      </c>
      <c r="Z115" s="19">
        <f t="shared" si="1"/>
        <v>3.4051711742165454</v>
      </c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</row>
    <row r="116" spans="1:40" x14ac:dyDescent="0.55000000000000004">
      <c r="A116" t="s">
        <v>254</v>
      </c>
      <c r="B116" t="s">
        <v>47</v>
      </c>
      <c r="C116" t="s">
        <v>30</v>
      </c>
      <c r="D116">
        <v>20</v>
      </c>
      <c r="E116">
        <v>32.9</v>
      </c>
      <c r="F116">
        <v>20.8</v>
      </c>
      <c r="G116">
        <v>0.47799999999999998</v>
      </c>
      <c r="H116">
        <v>2.8</v>
      </c>
      <c r="I116">
        <v>5.0999999999999996</v>
      </c>
      <c r="J116">
        <v>0.92200000000000004</v>
      </c>
      <c r="K116">
        <v>5.2</v>
      </c>
      <c r="L116">
        <v>6.4</v>
      </c>
      <c r="M116">
        <v>1.4</v>
      </c>
      <c r="N116">
        <v>0.5</v>
      </c>
      <c r="O116">
        <v>2.6</v>
      </c>
      <c r="P116">
        <v>27.4</v>
      </c>
      <c r="Q116" s="19">
        <f>(G116 - AVERAGE(FG_Range))*F116</f>
        <v>0.39348173913043605</v>
      </c>
      <c r="R116" s="19">
        <f>(J116 - AVERAGE(FT_RANGE))*I116</f>
        <v>0.72983217391304334</v>
      </c>
      <c r="S116" s="19">
        <f>(H116 - AVERAGE(Three_Range))/STDEV(Three_Range)</f>
        <v>1.4094778071316494</v>
      </c>
      <c r="T116" s="19">
        <f>(P116 - AVERAGE(Pts_Range))/STDEV(Pts_Range)</f>
        <v>2.2798366091335573</v>
      </c>
      <c r="U116" s="19">
        <f>(K116 - AVERAGE(Reb_Range))/STDEV(Reb_Range)</f>
        <v>4.3654869279253543E-2</v>
      </c>
      <c r="V116" s="19">
        <f>(L116 - AVERAGE(Ast_Range))/STDEV(Ast_Range)</f>
        <v>1.6829737323481595</v>
      </c>
      <c r="W116" s="19">
        <f>(M116 - AVERAGE(Stl_Range))/STDEV(Stl_Range)</f>
        <v>1.3545574568148253</v>
      </c>
      <c r="X116" s="19">
        <f>(N116 - AVERAGE(Blk_Range))/STDEV(Blk_Range)</f>
        <v>-7.2152143778453748E-2</v>
      </c>
      <c r="Y116" s="19">
        <f>(O116 - AVERAGE(Tov_Range))/STDEV(Tov_Range)*-1</f>
        <v>-1.0405626534808705</v>
      </c>
      <c r="Z116" s="19">
        <f t="shared" si="1"/>
        <v>6.7810995904915989</v>
      </c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</row>
    <row r="117" spans="1:40" x14ac:dyDescent="0.55000000000000004">
      <c r="A117" t="s">
        <v>255</v>
      </c>
      <c r="B117" t="s">
        <v>35</v>
      </c>
      <c r="C117" t="s">
        <v>34</v>
      </c>
      <c r="D117">
        <v>32</v>
      </c>
      <c r="E117">
        <v>29.7</v>
      </c>
      <c r="F117">
        <v>10.1</v>
      </c>
      <c r="G117">
        <v>0.46300000000000002</v>
      </c>
      <c r="H117">
        <v>0.9</v>
      </c>
      <c r="I117">
        <v>2.2999999999999998</v>
      </c>
      <c r="J117">
        <v>0.76700000000000002</v>
      </c>
      <c r="K117">
        <v>6.9</v>
      </c>
      <c r="L117">
        <v>1.4</v>
      </c>
      <c r="M117">
        <v>1.6</v>
      </c>
      <c r="N117">
        <v>2.4</v>
      </c>
      <c r="O117">
        <v>1.5</v>
      </c>
      <c r="P117">
        <v>12</v>
      </c>
      <c r="Q117" s="19">
        <f>(G117 - AVERAGE(FG_Range))*F117</f>
        <v>3.956565217391407E-2</v>
      </c>
      <c r="R117" s="19">
        <f>(J117 - AVERAGE(FT_RANGE))*I117</f>
        <v>-2.7360000000000093E-2</v>
      </c>
      <c r="S117" s="19">
        <f>(H117 - AVERAGE(Three_Range))/STDEV(Three_Range)</f>
        <v>-0.69774696781371692</v>
      </c>
      <c r="T117" s="19">
        <f>(P117 - AVERAGE(Pts_Range))/STDEV(Pts_Range)</f>
        <v>-0.31284985768435231</v>
      </c>
      <c r="U117" s="19">
        <f>(K117 - AVERAGE(Reb_Range))/STDEV(Reb_Range)</f>
        <v>0.72099827754066781</v>
      </c>
      <c r="V117" s="19">
        <f>(L117 - AVERAGE(Ast_Range))/STDEV(Ast_Range)</f>
        <v>-0.83121150044007674</v>
      </c>
      <c r="W117" s="19">
        <f>(M117 - AVERAGE(Stl_Range))/STDEV(Stl_Range)</f>
        <v>1.8945023702765413</v>
      </c>
      <c r="X117" s="19">
        <f>(N117 - AVERAGE(Blk_Range))/STDEV(Blk_Range)</f>
        <v>3.6814772408863319</v>
      </c>
      <c r="Y117" s="19">
        <f>(O117 - AVERAGE(Tov_Range))/STDEV(Tov_Range)*-1</f>
        <v>0.22633990345204721</v>
      </c>
      <c r="Z117" s="19">
        <f t="shared" si="1"/>
        <v>4.6937151183913555</v>
      </c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</row>
    <row r="118" spans="1:40" x14ac:dyDescent="0.55000000000000004">
      <c r="A118" t="s">
        <v>262</v>
      </c>
      <c r="B118" t="s">
        <v>47</v>
      </c>
      <c r="C118" t="s">
        <v>41</v>
      </c>
      <c r="D118">
        <v>60</v>
      </c>
      <c r="E118">
        <v>34.9</v>
      </c>
      <c r="F118">
        <v>19.600000000000001</v>
      </c>
      <c r="G118">
        <v>0.498</v>
      </c>
      <c r="H118">
        <v>2.2000000000000002</v>
      </c>
      <c r="I118">
        <v>5.7</v>
      </c>
      <c r="J118">
        <v>0.69699999999999995</v>
      </c>
      <c r="K118">
        <v>7.9</v>
      </c>
      <c r="L118">
        <v>10.6</v>
      </c>
      <c r="M118">
        <v>1.2</v>
      </c>
      <c r="N118">
        <v>0.5</v>
      </c>
      <c r="O118">
        <v>4</v>
      </c>
      <c r="P118">
        <v>25.7</v>
      </c>
      <c r="Q118" s="19">
        <f>(G118 - AVERAGE(FG_Range))*F118</f>
        <v>0.76278086956521896</v>
      </c>
      <c r="R118" s="19">
        <f>(J118 - AVERAGE(FT_RANGE))*I118</f>
        <v>-0.46680521739130493</v>
      </c>
      <c r="S118" s="19">
        <f>(H118 - AVERAGE(Three_Range))/STDEV(Three_Range)</f>
        <v>0.7440384045173235</v>
      </c>
      <c r="T118" s="19">
        <f>(P118 - AVERAGE(Pts_Range))/STDEV(Pts_Range)</f>
        <v>1.9936309601991127</v>
      </c>
      <c r="U118" s="19">
        <f>(K118 - AVERAGE(Reb_Range))/STDEV(Reb_Range)</f>
        <v>1.1194355765179702</v>
      </c>
      <c r="V118" s="19">
        <f>(L118 - AVERAGE(Ast_Range))/STDEV(Ast_Range)</f>
        <v>3.7948893278902776</v>
      </c>
      <c r="W118" s="19">
        <f>(M118 - AVERAGE(Stl_Range))/STDEV(Stl_Range)</f>
        <v>0.81461254335310984</v>
      </c>
      <c r="X118" s="19">
        <f>(N118 - AVERAGE(Blk_Range))/STDEV(Blk_Range)</f>
        <v>-7.2152143778453748E-2</v>
      </c>
      <c r="Y118" s="19">
        <f>(O118 - AVERAGE(Tov_Range))/STDEV(Tov_Range)*-1</f>
        <v>-2.6529840895773114</v>
      </c>
      <c r="Z118" s="19">
        <f t="shared" si="1"/>
        <v>6.0374462312959452</v>
      </c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</row>
    <row r="119" spans="1:40" x14ac:dyDescent="0.55000000000000004">
      <c r="A119" t="s">
        <v>267</v>
      </c>
      <c r="B119" t="s">
        <v>15</v>
      </c>
      <c r="C119" t="s">
        <v>54</v>
      </c>
      <c r="D119">
        <v>49</v>
      </c>
      <c r="E119">
        <v>20.3</v>
      </c>
      <c r="F119">
        <v>6.6</v>
      </c>
      <c r="G119">
        <v>0.41799999999999998</v>
      </c>
      <c r="H119">
        <v>1.9</v>
      </c>
      <c r="I119">
        <v>0.9</v>
      </c>
      <c r="J119">
        <v>0.76100000000000001</v>
      </c>
      <c r="K119">
        <v>2.9</v>
      </c>
      <c r="L119">
        <v>1.1000000000000001</v>
      </c>
      <c r="M119">
        <v>0.6</v>
      </c>
      <c r="N119">
        <v>0.3</v>
      </c>
      <c r="O119">
        <v>0.6</v>
      </c>
      <c r="P119">
        <v>8.1</v>
      </c>
      <c r="Q119" s="19">
        <f>(G119 - AVERAGE(FG_Range))*F119</f>
        <v>-0.27114521739130393</v>
      </c>
      <c r="R119" s="19">
        <f>(J119 - AVERAGE(FT_RANGE))*I119</f>
        <v>-1.6106086956521781E-2</v>
      </c>
      <c r="S119" s="19">
        <f>(H119 - AVERAGE(Three_Range))/STDEV(Three_Range)</f>
        <v>0.41131870321016006</v>
      </c>
      <c r="T119" s="19">
        <f>(P119 - AVERAGE(Pts_Range))/STDEV(Pts_Range)</f>
        <v>-0.96943928759278408</v>
      </c>
      <c r="U119" s="19">
        <f>(K119 - AVERAGE(Reb_Range))/STDEV(Reb_Range)</f>
        <v>-0.87275091836854224</v>
      </c>
      <c r="V119" s="19">
        <f>(L119 - AVERAGE(Ast_Range))/STDEV(Ast_Range)</f>
        <v>-0.98206261440737086</v>
      </c>
      <c r="W119" s="19">
        <f>(M119 - AVERAGE(Stl_Range))/STDEV(Stl_Range)</f>
        <v>-0.80522219703203701</v>
      </c>
      <c r="X119" s="19">
        <f>(N119 - AVERAGE(Blk_Range))/STDEV(Blk_Range)</f>
        <v>-0.46727102637474699</v>
      </c>
      <c r="Y119" s="19">
        <f>(O119 - AVERAGE(Tov_Range))/STDEV(Tov_Range)*-1</f>
        <v>1.2628965409426163</v>
      </c>
      <c r="Z119" s="19">
        <f t="shared" si="1"/>
        <v>-2.7097821039705305</v>
      </c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</row>
    <row r="120" spans="1:40" x14ac:dyDescent="0.55000000000000004">
      <c r="A120" t="s">
        <v>268</v>
      </c>
      <c r="B120" t="s">
        <v>15</v>
      </c>
      <c r="C120" t="s">
        <v>65</v>
      </c>
      <c r="D120">
        <v>14</v>
      </c>
      <c r="E120">
        <v>24.1</v>
      </c>
      <c r="F120">
        <v>9.1</v>
      </c>
      <c r="G120">
        <v>0.5</v>
      </c>
      <c r="H120">
        <v>1.2</v>
      </c>
      <c r="I120">
        <v>2.4</v>
      </c>
      <c r="J120">
        <v>0.67600000000000005</v>
      </c>
      <c r="K120">
        <v>4.7</v>
      </c>
      <c r="L120">
        <v>3.8</v>
      </c>
      <c r="M120">
        <v>1.4</v>
      </c>
      <c r="N120">
        <v>1.4</v>
      </c>
      <c r="O120">
        <v>2.4</v>
      </c>
      <c r="P120">
        <v>12</v>
      </c>
      <c r="Q120" s="19">
        <f>(G120 - AVERAGE(FG_Range))*F120</f>
        <v>0.37234826086956591</v>
      </c>
      <c r="R120" s="19">
        <f>(J120 - AVERAGE(FT_RANGE))*I120</f>
        <v>-0.24694956521739131</v>
      </c>
      <c r="S120" s="19">
        <f>(H120 - AVERAGE(Three_Range))/STDEV(Three_Range)</f>
        <v>-0.36502726650655393</v>
      </c>
      <c r="T120" s="19">
        <f>(P120 - AVERAGE(Pts_Range))/STDEV(Pts_Range)</f>
        <v>-0.31284985768435231</v>
      </c>
      <c r="U120" s="19">
        <f>(K120 - AVERAGE(Reb_Range))/STDEV(Reb_Range)</f>
        <v>-0.15556378020939771</v>
      </c>
      <c r="V120" s="19">
        <f>(L120 - AVERAGE(Ast_Range))/STDEV(Ast_Range)</f>
        <v>0.37559741129827651</v>
      </c>
      <c r="W120" s="19">
        <f>(M120 - AVERAGE(Stl_Range))/STDEV(Stl_Range)</f>
        <v>1.3545574568148253</v>
      </c>
      <c r="X120" s="19">
        <f>(N120 - AVERAGE(Blk_Range))/STDEV(Blk_Range)</f>
        <v>1.7058828279048657</v>
      </c>
      <c r="Y120" s="19">
        <f>(O120 - AVERAGE(Tov_Range))/STDEV(Tov_Range)*-1</f>
        <v>-0.81021673403852157</v>
      </c>
      <c r="Z120" s="19">
        <f t="shared" si="1"/>
        <v>1.9177787532313166</v>
      </c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</row>
    <row r="121" spans="1:40" x14ac:dyDescent="0.55000000000000004">
      <c r="A121" t="s">
        <v>660</v>
      </c>
      <c r="B121" t="s">
        <v>18</v>
      </c>
      <c r="C121" t="s">
        <v>63</v>
      </c>
      <c r="D121">
        <v>65</v>
      </c>
      <c r="E121">
        <v>32.299999999999997</v>
      </c>
      <c r="F121">
        <v>14.9</v>
      </c>
      <c r="G121">
        <v>0.52800000000000002</v>
      </c>
      <c r="H121">
        <v>1.1000000000000001</v>
      </c>
      <c r="I121">
        <v>4.0999999999999996</v>
      </c>
      <c r="J121">
        <v>0.81299999999999994</v>
      </c>
      <c r="K121">
        <v>10.199999999999999</v>
      </c>
      <c r="L121">
        <v>6.9</v>
      </c>
      <c r="M121">
        <v>1.2</v>
      </c>
      <c r="N121">
        <v>0.7</v>
      </c>
      <c r="O121">
        <v>3.1</v>
      </c>
      <c r="P121">
        <v>20.2</v>
      </c>
      <c r="Q121" s="19">
        <f>(G121 - AVERAGE(FG_Range))*F121</f>
        <v>1.0268691304347841</v>
      </c>
      <c r="R121" s="19">
        <f>(J121 - AVERAGE(FT_RANGE))*I121</f>
        <v>0.13982782608695604</v>
      </c>
      <c r="S121" s="19">
        <f>(H121 - AVERAGE(Three_Range))/STDEV(Three_Range)</f>
        <v>-0.47593383360894148</v>
      </c>
      <c r="T121" s="19">
        <f>(P121 - AVERAGE(Pts_Range))/STDEV(Pts_Range)</f>
        <v>1.067671507764145</v>
      </c>
      <c r="U121" s="19">
        <f>(K121 - AVERAGE(Reb_Range))/STDEV(Reb_Range)</f>
        <v>2.0358413641657656</v>
      </c>
      <c r="V121" s="19">
        <f>(L121 - AVERAGE(Ast_Range))/STDEV(Ast_Range)</f>
        <v>1.9343922556269832</v>
      </c>
      <c r="W121" s="19">
        <f>(M121 - AVERAGE(Stl_Range))/STDEV(Stl_Range)</f>
        <v>0.81461254335310984</v>
      </c>
      <c r="X121" s="19">
        <f>(N121 - AVERAGE(Blk_Range))/STDEV(Blk_Range)</f>
        <v>0.32296673881783944</v>
      </c>
      <c r="Y121" s="19">
        <f>(O121 - AVERAGE(Tov_Range))/STDEV(Tov_Range)*-1</f>
        <v>-1.6164274520867421</v>
      </c>
      <c r="Z121" s="19">
        <f t="shared" si="1"/>
        <v>5.2498200805539001</v>
      </c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</row>
    <row r="122" spans="1:40" x14ac:dyDescent="0.55000000000000004">
      <c r="A122" t="s">
        <v>274</v>
      </c>
      <c r="B122" t="s">
        <v>18</v>
      </c>
      <c r="C122" t="s">
        <v>30</v>
      </c>
      <c r="D122">
        <v>56</v>
      </c>
      <c r="E122">
        <v>22</v>
      </c>
      <c r="F122">
        <v>5.0999999999999996</v>
      </c>
      <c r="G122">
        <v>0.66600000000000004</v>
      </c>
      <c r="H122">
        <v>0</v>
      </c>
      <c r="I122">
        <v>2.2000000000000002</v>
      </c>
      <c r="J122">
        <v>0.68</v>
      </c>
      <c r="K122">
        <v>10</v>
      </c>
      <c r="L122">
        <v>1.9</v>
      </c>
      <c r="M122">
        <v>0.3</v>
      </c>
      <c r="N122">
        <v>0.9</v>
      </c>
      <c r="O122">
        <v>1.3</v>
      </c>
      <c r="P122">
        <v>8.3000000000000007</v>
      </c>
      <c r="Q122" s="19">
        <f>(G122 - AVERAGE(FG_Range))*F122</f>
        <v>1.0552786956521745</v>
      </c>
      <c r="R122" s="19">
        <f>(J122 - AVERAGE(FT_RANGE))*I122</f>
        <v>-0.21757043478260873</v>
      </c>
      <c r="S122" s="19">
        <f>(H122 - AVERAGE(Three_Range))/STDEV(Three_Range)</f>
        <v>-1.6959060717352064</v>
      </c>
      <c r="T122" s="19">
        <f>(P122 - AVERAGE(Pts_Range))/STDEV(Pts_Range)</f>
        <v>-0.9357680347769668</v>
      </c>
      <c r="U122" s="19">
        <f>(K122 - AVERAGE(Reb_Range))/STDEV(Reb_Range)</f>
        <v>1.9561539043703053</v>
      </c>
      <c r="V122" s="19">
        <f>(L122 - AVERAGE(Ast_Range))/STDEV(Ast_Range)</f>
        <v>-0.57979297716125322</v>
      </c>
      <c r="W122" s="19">
        <f>(M122 - AVERAGE(Stl_Range))/STDEV(Stl_Range)</f>
        <v>-1.6151395672246103</v>
      </c>
      <c r="X122" s="19">
        <f>(N122 - AVERAGE(Blk_Range))/STDEV(Blk_Range)</f>
        <v>0.71808562141413279</v>
      </c>
      <c r="Y122" s="19">
        <f>(O122 - AVERAGE(Tov_Range))/STDEV(Tov_Range)*-1</f>
        <v>0.4566858228943958</v>
      </c>
      <c r="Z122" s="19">
        <f t="shared" si="1"/>
        <v>-0.85797304134963714</v>
      </c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</row>
    <row r="123" spans="1:40" x14ac:dyDescent="0.55000000000000004">
      <c r="A123" t="s">
        <v>275</v>
      </c>
      <c r="B123" t="s">
        <v>47</v>
      </c>
      <c r="C123" t="s">
        <v>51</v>
      </c>
      <c r="D123">
        <v>64</v>
      </c>
      <c r="E123">
        <v>24</v>
      </c>
      <c r="F123">
        <v>5.8</v>
      </c>
      <c r="G123">
        <v>0.42</v>
      </c>
      <c r="H123">
        <v>0.7</v>
      </c>
      <c r="I123">
        <v>0.9</v>
      </c>
      <c r="J123">
        <v>0.82799999999999996</v>
      </c>
      <c r="K123">
        <v>2.5</v>
      </c>
      <c r="L123">
        <v>3.4</v>
      </c>
      <c r="M123">
        <v>0.7</v>
      </c>
      <c r="N123">
        <v>0.3</v>
      </c>
      <c r="O123">
        <v>1</v>
      </c>
      <c r="P123">
        <v>6.3</v>
      </c>
      <c r="Q123" s="19">
        <f>(G123 - AVERAGE(FG_Range))*F123</f>
        <v>-0.22667913043478224</v>
      </c>
      <c r="R123" s="19">
        <f>(J123 - AVERAGE(FT_RANGE))*I123</f>
        <v>4.4193913043478174E-2</v>
      </c>
      <c r="S123" s="19">
        <f>(H123 - AVERAGE(Three_Range))/STDEV(Three_Range)</f>
        <v>-0.91956010201849248</v>
      </c>
      <c r="T123" s="19">
        <f>(P123 - AVERAGE(Pts_Range))/STDEV(Pts_Range)</f>
        <v>-1.272480562935137</v>
      </c>
      <c r="U123" s="19">
        <f>(K123 - AVERAGE(Reb_Range))/STDEV(Reb_Range)</f>
        <v>-1.0321258379594631</v>
      </c>
      <c r="V123" s="19">
        <f>(L123 - AVERAGE(Ast_Range))/STDEV(Ast_Range)</f>
        <v>0.17446259267521766</v>
      </c>
      <c r="W123" s="19">
        <f>(M123 - AVERAGE(Stl_Range))/STDEV(Stl_Range)</f>
        <v>-0.53524974030117922</v>
      </c>
      <c r="X123" s="19">
        <f>(N123 - AVERAGE(Blk_Range))/STDEV(Blk_Range)</f>
        <v>-0.46727102637474699</v>
      </c>
      <c r="Y123" s="19">
        <f>(O123 - AVERAGE(Tov_Range))/STDEV(Tov_Range)*-1</f>
        <v>0.80220470205791883</v>
      </c>
      <c r="Z123" s="19">
        <f t="shared" si="1"/>
        <v>-3.4325051922471861</v>
      </c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</row>
    <row r="124" spans="1:40" x14ac:dyDescent="0.55000000000000004">
      <c r="A124" t="s">
        <v>277</v>
      </c>
      <c r="B124" t="s">
        <v>18</v>
      </c>
      <c r="C124" t="s">
        <v>54</v>
      </c>
      <c r="D124">
        <v>32</v>
      </c>
      <c r="E124">
        <v>22.4</v>
      </c>
      <c r="F124">
        <v>8.6999999999999993</v>
      </c>
      <c r="G124">
        <v>0.45500000000000002</v>
      </c>
      <c r="H124">
        <v>1.2</v>
      </c>
      <c r="I124">
        <v>2.8</v>
      </c>
      <c r="J124">
        <v>0.67</v>
      </c>
      <c r="K124">
        <v>4.9000000000000004</v>
      </c>
      <c r="L124">
        <v>2.2000000000000002</v>
      </c>
      <c r="M124">
        <v>0.4</v>
      </c>
      <c r="N124">
        <v>0.3</v>
      </c>
      <c r="O124">
        <v>1</v>
      </c>
      <c r="P124">
        <v>11</v>
      </c>
      <c r="Q124" s="19">
        <f>(G124 - AVERAGE(FG_Range))*F124</f>
        <v>-3.5518695652173082E-2</v>
      </c>
      <c r="R124" s="19">
        <f>(J124 - AVERAGE(FT_RANGE))*I124</f>
        <v>-0.30490782608695655</v>
      </c>
      <c r="S124" s="19">
        <f>(H124 - AVERAGE(Three_Range))/STDEV(Three_Range)</f>
        <v>-0.36502726650655393</v>
      </c>
      <c r="T124" s="19">
        <f>(P124 - AVERAGE(Pts_Range))/STDEV(Pts_Range)</f>
        <v>-0.48120612176343736</v>
      </c>
      <c r="U124" s="19">
        <f>(K124 - AVERAGE(Reb_Range))/STDEV(Reb_Range)</f>
        <v>-7.5876320413937132E-2</v>
      </c>
      <c r="V124" s="19">
        <f>(L124 - AVERAGE(Ast_Range))/STDEV(Ast_Range)</f>
        <v>-0.42894186319395888</v>
      </c>
      <c r="W124" s="19">
        <f>(M124 - AVERAGE(Stl_Range))/STDEV(Stl_Range)</f>
        <v>-1.3451671104937524</v>
      </c>
      <c r="X124" s="19">
        <f>(N124 - AVERAGE(Blk_Range))/STDEV(Blk_Range)</f>
        <v>-0.46727102637474699</v>
      </c>
      <c r="Y124" s="19">
        <f>(O124 - AVERAGE(Tov_Range))/STDEV(Tov_Range)*-1</f>
        <v>0.80220470205791883</v>
      </c>
      <c r="Z124" s="19">
        <f t="shared" si="1"/>
        <v>-2.7017115284275972</v>
      </c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</row>
    <row r="125" spans="1:40" x14ac:dyDescent="0.55000000000000004">
      <c r="A125" t="s">
        <v>279</v>
      </c>
      <c r="B125" t="s">
        <v>25</v>
      </c>
      <c r="C125" t="s">
        <v>90</v>
      </c>
      <c r="D125">
        <v>28</v>
      </c>
      <c r="E125">
        <v>32.9</v>
      </c>
      <c r="F125">
        <v>12.2</v>
      </c>
      <c r="G125">
        <v>0.442</v>
      </c>
      <c r="H125">
        <v>2.6</v>
      </c>
      <c r="I125">
        <v>2.7</v>
      </c>
      <c r="J125">
        <v>0.89300000000000002</v>
      </c>
      <c r="K125">
        <v>3.5</v>
      </c>
      <c r="L125">
        <v>4.0999999999999996</v>
      </c>
      <c r="M125">
        <v>0.4</v>
      </c>
      <c r="N125">
        <v>0.2</v>
      </c>
      <c r="O125">
        <v>1.5</v>
      </c>
      <c r="P125">
        <v>15.8</v>
      </c>
      <c r="Q125" s="19">
        <f>(G125 - AVERAGE(FG_Range))*F125</f>
        <v>-0.20840782608695549</v>
      </c>
      <c r="R125" s="19">
        <f>(J125 - AVERAGE(FT_RANGE))*I125</f>
        <v>0.30808173913043468</v>
      </c>
      <c r="S125" s="19">
        <f>(H125 - AVERAGE(Three_Range))/STDEV(Three_Range)</f>
        <v>1.1876646729268743</v>
      </c>
      <c r="T125" s="19">
        <f>(P125 - AVERAGE(Pts_Range))/STDEV(Pts_Range)</f>
        <v>0.32690394581617099</v>
      </c>
      <c r="U125" s="19">
        <f>(K125 - AVERAGE(Reb_Range))/STDEV(Reb_Range)</f>
        <v>-0.63368853898216071</v>
      </c>
      <c r="V125" s="19">
        <f>(L125 - AVERAGE(Ast_Range))/STDEV(Ast_Range)</f>
        <v>0.52644852526557062</v>
      </c>
      <c r="W125" s="19">
        <f>(M125 - AVERAGE(Stl_Range))/STDEV(Stl_Range)</f>
        <v>-1.3451671104937524</v>
      </c>
      <c r="X125" s="19">
        <f>(N125 - AVERAGE(Blk_Range))/STDEV(Blk_Range)</f>
        <v>-0.66483046767289355</v>
      </c>
      <c r="Y125" s="19">
        <f>(O125 - AVERAGE(Tov_Range))/STDEV(Tov_Range)*-1</f>
        <v>0.22633990345204721</v>
      </c>
      <c r="Z125" s="19">
        <f t="shared" si="1"/>
        <v>-0.27665515664466422</v>
      </c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</row>
    <row r="126" spans="1:40" x14ac:dyDescent="0.55000000000000004">
      <c r="A126" t="s">
        <v>282</v>
      </c>
      <c r="B126" t="s">
        <v>18</v>
      </c>
      <c r="C126" t="s">
        <v>60</v>
      </c>
      <c r="D126">
        <v>66</v>
      </c>
      <c r="E126">
        <v>25.7</v>
      </c>
      <c r="F126">
        <v>7.1</v>
      </c>
      <c r="G126">
        <v>0.45900000000000002</v>
      </c>
      <c r="H126">
        <v>1.6</v>
      </c>
      <c r="I126">
        <v>1.2</v>
      </c>
      <c r="J126">
        <v>0.86299999999999999</v>
      </c>
      <c r="K126">
        <v>5.4</v>
      </c>
      <c r="L126">
        <v>1.2</v>
      </c>
      <c r="M126">
        <v>0.3</v>
      </c>
      <c r="N126">
        <v>1.2</v>
      </c>
      <c r="O126">
        <v>0.7</v>
      </c>
      <c r="P126">
        <v>9.1999999999999993</v>
      </c>
      <c r="Q126" s="19">
        <f>(G126 - AVERAGE(FG_Range))*F126</f>
        <v>-5.8652173912973615E-4</v>
      </c>
      <c r="R126" s="19">
        <f>(J126 - AVERAGE(FT_RANGE))*I126</f>
        <v>0.10092521739130426</v>
      </c>
      <c r="S126" s="19">
        <f>(H126 - AVERAGE(Three_Range))/STDEV(Three_Range)</f>
        <v>7.8599001902997123E-2</v>
      </c>
      <c r="T126" s="19">
        <f>(P126 - AVERAGE(Pts_Range))/STDEV(Pts_Range)</f>
        <v>-0.7842473971057905</v>
      </c>
      <c r="U126" s="19">
        <f>(K126 - AVERAGE(Reb_Range))/STDEV(Reb_Range)</f>
        <v>0.12334232907471411</v>
      </c>
      <c r="V126" s="19">
        <f>(L126 - AVERAGE(Ast_Range))/STDEV(Ast_Range)</f>
        <v>-0.93177890975160627</v>
      </c>
      <c r="W126" s="19">
        <f>(M126 - AVERAGE(Stl_Range))/STDEV(Stl_Range)</f>
        <v>-1.6151395672246103</v>
      </c>
      <c r="X126" s="19">
        <f>(N126 - AVERAGE(Blk_Range))/STDEV(Blk_Range)</f>
        <v>1.3107639453085724</v>
      </c>
      <c r="Y126" s="19">
        <f>(O126 - AVERAGE(Tov_Range))/STDEV(Tov_Range)*-1</f>
        <v>1.1477235812214419</v>
      </c>
      <c r="Z126" s="19">
        <f t="shared" si="1"/>
        <v>-0.57039832092210729</v>
      </c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</row>
    <row r="127" spans="1:40" x14ac:dyDescent="0.55000000000000004">
      <c r="A127" t="s">
        <v>283</v>
      </c>
      <c r="B127" t="s">
        <v>47</v>
      </c>
      <c r="C127" t="s">
        <v>90</v>
      </c>
      <c r="D127">
        <v>9</v>
      </c>
      <c r="E127">
        <v>24.6</v>
      </c>
      <c r="F127">
        <v>9</v>
      </c>
      <c r="G127">
        <v>0.38300000000000001</v>
      </c>
      <c r="H127">
        <v>2.9</v>
      </c>
      <c r="I127">
        <v>2.2999999999999998</v>
      </c>
      <c r="J127">
        <v>0.76200000000000001</v>
      </c>
      <c r="K127">
        <v>2.2999999999999998</v>
      </c>
      <c r="L127">
        <v>4.2</v>
      </c>
      <c r="M127">
        <v>0.6</v>
      </c>
      <c r="N127">
        <v>0.1</v>
      </c>
      <c r="O127">
        <v>2.4</v>
      </c>
      <c r="P127">
        <v>11.6</v>
      </c>
      <c r="Q127" s="19">
        <f>(G127 - AVERAGE(FG_Range))*F127</f>
        <v>-0.68474347826086879</v>
      </c>
      <c r="R127" s="19">
        <f>(J127 - AVERAGE(FT_RANGE))*I127</f>
        <v>-3.8860000000000103E-2</v>
      </c>
      <c r="S127" s="19">
        <f>(H127 - AVERAGE(Three_Range))/STDEV(Three_Range)</f>
        <v>1.5203843742340373</v>
      </c>
      <c r="T127" s="19">
        <f>(P127 - AVERAGE(Pts_Range))/STDEV(Pts_Range)</f>
        <v>-0.38019236331598638</v>
      </c>
      <c r="U127" s="19">
        <f>(K127 - AVERAGE(Reb_Range))/STDEV(Reb_Range)</f>
        <v>-1.1118132977549238</v>
      </c>
      <c r="V127" s="19">
        <f>(L127 - AVERAGE(Ast_Range))/STDEV(Ast_Range)</f>
        <v>0.57673222992133555</v>
      </c>
      <c r="W127" s="19">
        <f>(M127 - AVERAGE(Stl_Range))/STDEV(Stl_Range)</f>
        <v>-0.80522219703203701</v>
      </c>
      <c r="X127" s="19">
        <f>(N127 - AVERAGE(Blk_Range))/STDEV(Blk_Range)</f>
        <v>-0.86238990897104029</v>
      </c>
      <c r="Y127" s="19">
        <f>(O127 - AVERAGE(Tov_Range))/STDEV(Tov_Range)*-1</f>
        <v>-0.81021673403852157</v>
      </c>
      <c r="Z127" s="19">
        <f t="shared" si="1"/>
        <v>-2.5963213752180052</v>
      </c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</row>
    <row r="128" spans="1:40" x14ac:dyDescent="0.55000000000000004">
      <c r="A128" t="s">
        <v>286</v>
      </c>
      <c r="B128" t="s">
        <v>25</v>
      </c>
      <c r="C128" t="s">
        <v>88</v>
      </c>
      <c r="D128">
        <v>64</v>
      </c>
      <c r="E128">
        <v>21.8</v>
      </c>
      <c r="F128">
        <v>8</v>
      </c>
      <c r="G128">
        <v>0.432</v>
      </c>
      <c r="H128">
        <v>2</v>
      </c>
      <c r="I128">
        <v>1.1000000000000001</v>
      </c>
      <c r="J128">
        <v>0.73599999999999999</v>
      </c>
      <c r="K128">
        <v>2.2999999999999998</v>
      </c>
      <c r="L128">
        <v>1.1000000000000001</v>
      </c>
      <c r="M128">
        <v>0.6</v>
      </c>
      <c r="N128">
        <v>0.2</v>
      </c>
      <c r="O128">
        <v>0.8</v>
      </c>
      <c r="P128">
        <v>9.6999999999999993</v>
      </c>
      <c r="Q128" s="19">
        <f>(G128 - AVERAGE(FG_Range))*F128</f>
        <v>-0.2166608695652168</v>
      </c>
      <c r="R128" s="19">
        <f>(J128 - AVERAGE(FT_RANGE))*I128</f>
        <v>-4.7185217391304428E-2</v>
      </c>
      <c r="S128" s="19">
        <f>(H128 - AVERAGE(Three_Range))/STDEV(Three_Range)</f>
        <v>0.52222527031254784</v>
      </c>
      <c r="T128" s="19">
        <f>(P128 - AVERAGE(Pts_Range))/STDEV(Pts_Range)</f>
        <v>-0.700069265066248</v>
      </c>
      <c r="U128" s="19">
        <f>(K128 - AVERAGE(Reb_Range))/STDEV(Reb_Range)</f>
        <v>-1.1118132977549238</v>
      </c>
      <c r="V128" s="19">
        <f>(L128 - AVERAGE(Ast_Range))/STDEV(Ast_Range)</f>
        <v>-0.98206261440737086</v>
      </c>
      <c r="W128" s="19">
        <f>(M128 - AVERAGE(Stl_Range))/STDEV(Stl_Range)</f>
        <v>-0.80522219703203701</v>
      </c>
      <c r="X128" s="19">
        <f>(N128 - AVERAGE(Blk_Range))/STDEV(Blk_Range)</f>
        <v>-0.66483046767289355</v>
      </c>
      <c r="Y128" s="19">
        <f>(O128 - AVERAGE(Tov_Range))/STDEV(Tov_Range)*-1</f>
        <v>1.0325506215002676</v>
      </c>
      <c r="Z128" s="19">
        <f t="shared" si="1"/>
        <v>-2.9730680370771791</v>
      </c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</row>
    <row r="129" spans="1:40" x14ac:dyDescent="0.55000000000000004">
      <c r="A129" t="s">
        <v>290</v>
      </c>
      <c r="B129" t="s">
        <v>15</v>
      </c>
      <c r="C129" t="s">
        <v>41</v>
      </c>
      <c r="D129">
        <v>54</v>
      </c>
      <c r="E129">
        <v>24.6</v>
      </c>
      <c r="F129">
        <v>10.9</v>
      </c>
      <c r="G129">
        <v>0.432</v>
      </c>
      <c r="H129">
        <v>1.3</v>
      </c>
      <c r="I129">
        <v>2.4</v>
      </c>
      <c r="J129">
        <v>0.73799999999999999</v>
      </c>
      <c r="K129">
        <v>4.5</v>
      </c>
      <c r="L129">
        <v>1.3</v>
      </c>
      <c r="M129">
        <v>0.4</v>
      </c>
      <c r="N129">
        <v>0.4</v>
      </c>
      <c r="O129">
        <v>1.6</v>
      </c>
      <c r="P129">
        <v>12.5</v>
      </c>
      <c r="Q129" s="19">
        <f>(G129 - AVERAGE(FG_Range))*F129</f>
        <v>-0.29520043478260788</v>
      </c>
      <c r="R129" s="19">
        <f>(J129 - AVERAGE(FT_RANGE))*I129</f>
        <v>-9.814956521739146E-2</v>
      </c>
      <c r="S129" s="19">
        <f>(H129 - AVERAGE(Three_Range))/STDEV(Three_Range)</f>
        <v>-0.25412069940416609</v>
      </c>
      <c r="T129" s="19">
        <f>(P129 - AVERAGE(Pts_Range))/STDEV(Pts_Range)</f>
        <v>-0.22867172564480978</v>
      </c>
      <c r="U129" s="19">
        <f>(K129 - AVERAGE(Reb_Range))/STDEV(Reb_Range)</f>
        <v>-0.23525124000485825</v>
      </c>
      <c r="V129" s="19">
        <f>(L129 - AVERAGE(Ast_Range))/STDEV(Ast_Range)</f>
        <v>-0.88149520509584145</v>
      </c>
      <c r="W129" s="19">
        <f>(M129 - AVERAGE(Stl_Range))/STDEV(Stl_Range)</f>
        <v>-1.3451671104937524</v>
      </c>
      <c r="X129" s="19">
        <f>(N129 - AVERAGE(Blk_Range))/STDEV(Blk_Range)</f>
        <v>-0.26971158507660031</v>
      </c>
      <c r="Y129" s="19">
        <f>(O129 - AVERAGE(Tov_Range))/STDEV(Tov_Range)*-1</f>
        <v>0.11116694373087278</v>
      </c>
      <c r="Z129" s="19">
        <f t="shared" si="1"/>
        <v>-3.4966006219891543</v>
      </c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</row>
    <row r="130" spans="1:40" x14ac:dyDescent="0.55000000000000004">
      <c r="A130" t="s">
        <v>291</v>
      </c>
      <c r="B130" t="s">
        <v>25</v>
      </c>
      <c r="C130" t="s">
        <v>83</v>
      </c>
      <c r="D130">
        <v>46</v>
      </c>
      <c r="E130">
        <v>28.1</v>
      </c>
      <c r="F130">
        <v>10.4</v>
      </c>
      <c r="G130">
        <v>0.45100000000000001</v>
      </c>
      <c r="H130">
        <v>1.2</v>
      </c>
      <c r="I130">
        <v>2.4</v>
      </c>
      <c r="J130">
        <v>0.83599999999999997</v>
      </c>
      <c r="K130">
        <v>4.3</v>
      </c>
      <c r="L130">
        <v>2.1</v>
      </c>
      <c r="M130">
        <v>1.2</v>
      </c>
      <c r="N130">
        <v>0.5</v>
      </c>
      <c r="O130">
        <v>1.1000000000000001</v>
      </c>
      <c r="P130">
        <v>12.5</v>
      </c>
      <c r="Q130" s="19">
        <f>(G130 - AVERAGE(FG_Range))*F130</f>
        <v>-8.4059130434781665E-2</v>
      </c>
      <c r="R130" s="19">
        <f>(J130 - AVERAGE(FT_RANGE))*I130</f>
        <v>0.13705043478260848</v>
      </c>
      <c r="S130" s="19">
        <f>(H130 - AVERAGE(Three_Range))/STDEV(Three_Range)</f>
        <v>-0.36502726650655393</v>
      </c>
      <c r="T130" s="19">
        <f>(P130 - AVERAGE(Pts_Range))/STDEV(Pts_Range)</f>
        <v>-0.22867172564480978</v>
      </c>
      <c r="U130" s="19">
        <f>(K130 - AVERAGE(Reb_Range))/STDEV(Reb_Range)</f>
        <v>-0.3149386998003188</v>
      </c>
      <c r="V130" s="19">
        <f>(L130 - AVERAGE(Ast_Range))/STDEV(Ast_Range)</f>
        <v>-0.47922556784972364</v>
      </c>
      <c r="W130" s="19">
        <f>(M130 - AVERAGE(Stl_Range))/STDEV(Stl_Range)</f>
        <v>0.81461254335310984</v>
      </c>
      <c r="X130" s="19">
        <f>(N130 - AVERAGE(Blk_Range))/STDEV(Blk_Range)</f>
        <v>-7.2152143778453748E-2</v>
      </c>
      <c r="Y130" s="19">
        <f>(O130 - AVERAGE(Tov_Range))/STDEV(Tov_Range)*-1</f>
        <v>0.68703174233674447</v>
      </c>
      <c r="Z130" s="19">
        <f t="shared" si="1"/>
        <v>9.4620186457821331E-2</v>
      </c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</row>
    <row r="131" spans="1:40" x14ac:dyDescent="0.55000000000000004">
      <c r="A131" t="s">
        <v>293</v>
      </c>
      <c r="B131" t="s">
        <v>25</v>
      </c>
      <c r="C131" t="s">
        <v>48</v>
      </c>
      <c r="D131">
        <v>60</v>
      </c>
      <c r="E131">
        <v>34.799999999999997</v>
      </c>
      <c r="F131">
        <v>20</v>
      </c>
      <c r="G131">
        <v>0.45</v>
      </c>
      <c r="H131">
        <v>3.1</v>
      </c>
      <c r="I131">
        <v>5.6</v>
      </c>
      <c r="J131">
        <v>0.80200000000000005</v>
      </c>
      <c r="K131">
        <v>4.8</v>
      </c>
      <c r="L131">
        <v>4.2</v>
      </c>
      <c r="M131">
        <v>1.5</v>
      </c>
      <c r="N131">
        <v>0.5</v>
      </c>
      <c r="O131">
        <v>3.4</v>
      </c>
      <c r="P131">
        <v>25.5</v>
      </c>
      <c r="Q131" s="19">
        <f>(G131 - AVERAGE(FG_Range))*F131</f>
        <v>-0.18165217391304167</v>
      </c>
      <c r="R131" s="19">
        <f>(J131 - AVERAGE(FT_RANGE))*I131</f>
        <v>0.1293843478260869</v>
      </c>
      <c r="S131" s="19">
        <f>(H131 - AVERAGE(Three_Range))/STDEV(Three_Range)</f>
        <v>1.7421975084388128</v>
      </c>
      <c r="T131" s="19">
        <f>(P131 - AVERAGE(Pts_Range))/STDEV(Pts_Range)</f>
        <v>1.9599597073832959</v>
      </c>
      <c r="U131" s="19">
        <f>(K131 - AVERAGE(Reb_Range))/STDEV(Reb_Range)</f>
        <v>-0.11572005031166759</v>
      </c>
      <c r="V131" s="19">
        <f>(L131 - AVERAGE(Ast_Range))/STDEV(Ast_Range)</f>
        <v>0.57673222992133555</v>
      </c>
      <c r="W131" s="19">
        <f>(M131 - AVERAGE(Stl_Range))/STDEV(Stl_Range)</f>
        <v>1.6245299135456834</v>
      </c>
      <c r="X131" s="19">
        <f>(N131 - AVERAGE(Blk_Range))/STDEV(Blk_Range)</f>
        <v>-7.2152143778453748E-2</v>
      </c>
      <c r="Y131" s="19">
        <f>(O131 - AVERAGE(Tov_Range))/STDEV(Tov_Range)*-1</f>
        <v>-1.961946331250265</v>
      </c>
      <c r="Z131" s="19">
        <f t="shared" ref="Z131:Z194" si="2">SUM(Q131:Y131)</f>
        <v>3.7013330078617868</v>
      </c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</row>
    <row r="132" spans="1:40" x14ac:dyDescent="0.55000000000000004">
      <c r="A132" t="s">
        <v>294</v>
      </c>
      <c r="B132" t="s">
        <v>15</v>
      </c>
      <c r="C132" t="s">
        <v>65</v>
      </c>
      <c r="D132">
        <v>23</v>
      </c>
      <c r="E132">
        <v>22</v>
      </c>
      <c r="F132">
        <v>7.8</v>
      </c>
      <c r="G132">
        <v>0.45300000000000001</v>
      </c>
      <c r="H132">
        <v>1</v>
      </c>
      <c r="I132">
        <v>1.4</v>
      </c>
      <c r="J132">
        <v>0.75</v>
      </c>
      <c r="K132">
        <v>2.5</v>
      </c>
      <c r="L132">
        <v>0.7</v>
      </c>
      <c r="M132">
        <v>0.7</v>
      </c>
      <c r="N132">
        <v>0.4</v>
      </c>
      <c r="O132">
        <v>1</v>
      </c>
      <c r="P132">
        <v>9.1</v>
      </c>
      <c r="Q132" s="19">
        <f>(G132 - AVERAGE(FG_Range))*F132</f>
        <v>-4.7444347826086232E-2</v>
      </c>
      <c r="R132" s="19">
        <f>(J132 - AVERAGE(FT_RANGE))*I132</f>
        <v>-4.045391304347834E-2</v>
      </c>
      <c r="S132" s="19">
        <f>(H132 - AVERAGE(Three_Range))/STDEV(Three_Range)</f>
        <v>-0.58684040071132926</v>
      </c>
      <c r="T132" s="19">
        <f>(P132 - AVERAGE(Pts_Range))/STDEV(Pts_Range)</f>
        <v>-0.80108302351369898</v>
      </c>
      <c r="U132" s="19">
        <f>(K132 - AVERAGE(Reb_Range))/STDEV(Reb_Range)</f>
        <v>-1.0321258379594631</v>
      </c>
      <c r="V132" s="19">
        <f>(L132 - AVERAGE(Ast_Range))/STDEV(Ast_Range)</f>
        <v>-1.18319743303043</v>
      </c>
      <c r="W132" s="19">
        <f>(M132 - AVERAGE(Stl_Range))/STDEV(Stl_Range)</f>
        <v>-0.53524974030117922</v>
      </c>
      <c r="X132" s="19">
        <f>(N132 - AVERAGE(Blk_Range))/STDEV(Blk_Range)</f>
        <v>-0.26971158507660031</v>
      </c>
      <c r="Y132" s="19">
        <f>(O132 - AVERAGE(Tov_Range))/STDEV(Tov_Range)*-1</f>
        <v>0.80220470205791883</v>
      </c>
      <c r="Z132" s="19">
        <f t="shared" si="2"/>
        <v>-3.6939015794043462</v>
      </c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</row>
    <row r="133" spans="1:40" x14ac:dyDescent="0.55000000000000004">
      <c r="A133" t="s">
        <v>298</v>
      </c>
      <c r="B133" t="s">
        <v>25</v>
      </c>
      <c r="C133" t="s">
        <v>96</v>
      </c>
      <c r="D133">
        <v>49</v>
      </c>
      <c r="E133">
        <v>29</v>
      </c>
      <c r="F133">
        <v>10.4</v>
      </c>
      <c r="G133">
        <v>0.41699999999999998</v>
      </c>
      <c r="H133">
        <v>1.7</v>
      </c>
      <c r="I133">
        <v>2.6</v>
      </c>
      <c r="J133">
        <v>0.873</v>
      </c>
      <c r="K133">
        <v>4.9000000000000004</v>
      </c>
      <c r="L133">
        <v>2.7</v>
      </c>
      <c r="M133">
        <v>1</v>
      </c>
      <c r="N133">
        <v>0.1</v>
      </c>
      <c r="O133">
        <v>1.4</v>
      </c>
      <c r="P133">
        <v>12.7</v>
      </c>
      <c r="Q133" s="19">
        <f>(G133 - AVERAGE(FG_Range))*F133</f>
        <v>-0.437659130434782</v>
      </c>
      <c r="R133" s="19">
        <f>(J133 - AVERAGE(FT_RANGE))*I133</f>
        <v>0.24467130434782594</v>
      </c>
      <c r="S133" s="19">
        <f>(H133 - AVERAGE(Three_Range))/STDEV(Three_Range)</f>
        <v>0.18950556900538468</v>
      </c>
      <c r="T133" s="19">
        <f>(P133 - AVERAGE(Pts_Range))/STDEV(Pts_Range)</f>
        <v>-0.19500047282899288</v>
      </c>
      <c r="U133" s="19">
        <f>(K133 - AVERAGE(Reb_Range))/STDEV(Reb_Range)</f>
        <v>-7.5876320413937132E-2</v>
      </c>
      <c r="V133" s="19">
        <f>(L133 - AVERAGE(Ast_Range))/STDEV(Ast_Range)</f>
        <v>-0.17752333991513525</v>
      </c>
      <c r="W133" s="19">
        <f>(M133 - AVERAGE(Stl_Range))/STDEV(Stl_Range)</f>
        <v>0.27466762989139432</v>
      </c>
      <c r="X133" s="19">
        <f>(N133 - AVERAGE(Blk_Range))/STDEV(Blk_Range)</f>
        <v>-0.86238990897104029</v>
      </c>
      <c r="Y133" s="19">
        <f>(O133 - AVERAGE(Tov_Range))/STDEV(Tov_Range)*-1</f>
        <v>0.34151286317322166</v>
      </c>
      <c r="Z133" s="19">
        <f t="shared" si="2"/>
        <v>-0.69809180614606103</v>
      </c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</row>
    <row r="134" spans="1:40" x14ac:dyDescent="0.55000000000000004">
      <c r="A134" t="s">
        <v>300</v>
      </c>
      <c r="B134" t="s">
        <v>35</v>
      </c>
      <c r="C134" t="s">
        <v>80</v>
      </c>
      <c r="D134">
        <v>51</v>
      </c>
      <c r="E134">
        <v>32.200000000000003</v>
      </c>
      <c r="F134">
        <v>19.899999999999999</v>
      </c>
      <c r="G134">
        <v>0.46899999999999997</v>
      </c>
      <c r="H134">
        <v>2.1</v>
      </c>
      <c r="I134">
        <v>6.9</v>
      </c>
      <c r="J134">
        <v>0.88900000000000001</v>
      </c>
      <c r="K134">
        <v>7.3</v>
      </c>
      <c r="L134">
        <v>5</v>
      </c>
      <c r="M134">
        <v>1.8</v>
      </c>
      <c r="N134">
        <v>0.6</v>
      </c>
      <c r="O134">
        <v>2.7</v>
      </c>
      <c r="P134">
        <v>26.9</v>
      </c>
      <c r="Q134" s="19">
        <f>(G134 - AVERAGE(FG_Range))*F134</f>
        <v>0.19735608695652276</v>
      </c>
      <c r="R134" s="19">
        <f>(J134 - AVERAGE(FT_RANGE))*I134</f>
        <v>0.75971999999999973</v>
      </c>
      <c r="S134" s="19">
        <f>(H134 - AVERAGE(Three_Range))/STDEV(Three_Range)</f>
        <v>0.63313183741493573</v>
      </c>
      <c r="T134" s="19">
        <f>(P134 - AVERAGE(Pts_Range))/STDEV(Pts_Range)</f>
        <v>2.1956584770940148</v>
      </c>
      <c r="U134" s="19">
        <f>(K134 - AVERAGE(Reb_Range))/STDEV(Reb_Range)</f>
        <v>0.88037319713158857</v>
      </c>
      <c r="V134" s="19">
        <f>(L134 - AVERAGE(Ast_Range))/STDEV(Ast_Range)</f>
        <v>0.9790018671674533</v>
      </c>
      <c r="W134" s="19">
        <f>(M134 - AVERAGE(Stl_Range))/STDEV(Stl_Range)</f>
        <v>2.4344472837382569</v>
      </c>
      <c r="X134" s="19">
        <f>(N134 - AVERAGE(Blk_Range))/STDEV(Blk_Range)</f>
        <v>0.12540729751969285</v>
      </c>
      <c r="Y134" s="19">
        <f>(O134 - AVERAGE(Tov_Range))/STDEV(Tov_Range)*-1</f>
        <v>-1.1557356132020449</v>
      </c>
      <c r="Z134" s="19">
        <f t="shared" si="2"/>
        <v>7.0493604338204205</v>
      </c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</row>
    <row r="135" spans="1:40" x14ac:dyDescent="0.55000000000000004">
      <c r="A135" t="s">
        <v>301</v>
      </c>
      <c r="B135" t="s">
        <v>18</v>
      </c>
      <c r="C135" t="s">
        <v>21</v>
      </c>
      <c r="D135">
        <v>49</v>
      </c>
      <c r="E135">
        <v>20.100000000000001</v>
      </c>
      <c r="F135">
        <v>4.5999999999999996</v>
      </c>
      <c r="G135">
        <v>0.52</v>
      </c>
      <c r="H135">
        <v>1</v>
      </c>
      <c r="I135">
        <v>0.5</v>
      </c>
      <c r="J135">
        <v>0.65400000000000003</v>
      </c>
      <c r="K135">
        <v>5.0999999999999996</v>
      </c>
      <c r="L135">
        <v>1.1000000000000001</v>
      </c>
      <c r="M135">
        <v>0.3</v>
      </c>
      <c r="N135">
        <v>0.3</v>
      </c>
      <c r="O135">
        <v>0.7</v>
      </c>
      <c r="P135">
        <v>6.1</v>
      </c>
      <c r="Q135" s="19">
        <f>(G135 - AVERAGE(FG_Range))*F135</f>
        <v>0.28022000000000041</v>
      </c>
      <c r="R135" s="19">
        <f>(J135 - AVERAGE(FT_RANGE))*I135</f>
        <v>-6.2447826086956537E-2</v>
      </c>
      <c r="S135" s="19">
        <f>(H135 - AVERAGE(Three_Range))/STDEV(Three_Range)</f>
        <v>-0.58684040071132926</v>
      </c>
      <c r="T135" s="19">
        <f>(P135 - AVERAGE(Pts_Range))/STDEV(Pts_Range)</f>
        <v>-1.3061518157509542</v>
      </c>
      <c r="U135" s="19">
        <f>(K135 - AVERAGE(Reb_Range))/STDEV(Reb_Range)</f>
        <v>3.8111393815230808E-3</v>
      </c>
      <c r="V135" s="19">
        <f>(L135 - AVERAGE(Ast_Range))/STDEV(Ast_Range)</f>
        <v>-0.98206261440737086</v>
      </c>
      <c r="W135" s="19">
        <f>(M135 - AVERAGE(Stl_Range))/STDEV(Stl_Range)</f>
        <v>-1.6151395672246103</v>
      </c>
      <c r="X135" s="19">
        <f>(N135 - AVERAGE(Blk_Range))/STDEV(Blk_Range)</f>
        <v>-0.46727102637474699</v>
      </c>
      <c r="Y135" s="19">
        <f>(O135 - AVERAGE(Tov_Range))/STDEV(Tov_Range)*-1</f>
        <v>1.1477235812214419</v>
      </c>
      <c r="Z135" s="19">
        <f t="shared" si="2"/>
        <v>-3.5881585299530032</v>
      </c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</row>
    <row r="136" spans="1:40" x14ac:dyDescent="0.55000000000000004">
      <c r="A136" t="s">
        <v>302</v>
      </c>
      <c r="B136" t="s">
        <v>25</v>
      </c>
      <c r="C136" t="s">
        <v>30</v>
      </c>
      <c r="D136">
        <v>39</v>
      </c>
      <c r="E136">
        <v>29</v>
      </c>
      <c r="F136">
        <v>15.6</v>
      </c>
      <c r="G136">
        <v>0.41399999999999998</v>
      </c>
      <c r="H136">
        <v>1.8</v>
      </c>
      <c r="I136">
        <v>4.0999999999999996</v>
      </c>
      <c r="J136">
        <v>0.72</v>
      </c>
      <c r="K136">
        <v>4.0999999999999996</v>
      </c>
      <c r="L136">
        <v>4.0999999999999996</v>
      </c>
      <c r="M136">
        <v>1.1000000000000001</v>
      </c>
      <c r="N136">
        <v>0.2</v>
      </c>
      <c r="O136">
        <v>2.5</v>
      </c>
      <c r="P136">
        <v>17.7</v>
      </c>
      <c r="Q136" s="19">
        <f>(G136 - AVERAGE(FG_Range))*F136</f>
        <v>-0.703288695652173</v>
      </c>
      <c r="R136" s="19">
        <f>(J136 - AVERAGE(FT_RANGE))*I136</f>
        <v>-0.24147217391304379</v>
      </c>
      <c r="S136" s="19">
        <f>(H136 - AVERAGE(Three_Range))/STDEV(Three_Range)</f>
        <v>0.30041213610777251</v>
      </c>
      <c r="T136" s="19">
        <f>(P136 - AVERAGE(Pts_Range))/STDEV(Pts_Range)</f>
        <v>0.64678084756643239</v>
      </c>
      <c r="U136" s="19">
        <f>(K136 - AVERAGE(Reb_Range))/STDEV(Reb_Range)</f>
        <v>-0.3946261595957794</v>
      </c>
      <c r="V136" s="19">
        <f>(L136 - AVERAGE(Ast_Range))/STDEV(Ast_Range)</f>
        <v>0.52644852526557062</v>
      </c>
      <c r="W136" s="19">
        <f>(M136 - AVERAGE(Stl_Range))/STDEV(Stl_Range)</f>
        <v>0.54464008662225238</v>
      </c>
      <c r="X136" s="19">
        <f>(N136 - AVERAGE(Blk_Range))/STDEV(Blk_Range)</f>
        <v>-0.66483046767289355</v>
      </c>
      <c r="Y136" s="19">
        <f>(O136 - AVERAGE(Tov_Range))/STDEV(Tov_Range)*-1</f>
        <v>-0.92538969375969604</v>
      </c>
      <c r="Z136" s="19">
        <f t="shared" si="2"/>
        <v>-0.91132559503155786</v>
      </c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</row>
    <row r="137" spans="1:40" x14ac:dyDescent="0.55000000000000004">
      <c r="A137" t="s">
        <v>303</v>
      </c>
      <c r="B137" t="s">
        <v>47</v>
      </c>
      <c r="C137" t="s">
        <v>44</v>
      </c>
      <c r="D137">
        <v>58</v>
      </c>
      <c r="E137">
        <v>36.9</v>
      </c>
      <c r="F137">
        <v>20</v>
      </c>
      <c r="G137">
        <v>0.45700000000000002</v>
      </c>
      <c r="H137">
        <v>3.9</v>
      </c>
      <c r="I137">
        <v>7.6</v>
      </c>
      <c r="J137">
        <v>0.88800000000000001</v>
      </c>
      <c r="K137">
        <v>4.3</v>
      </c>
      <c r="L137">
        <v>7.8</v>
      </c>
      <c r="M137">
        <v>1</v>
      </c>
      <c r="N137">
        <v>0.4</v>
      </c>
      <c r="O137">
        <v>2.9</v>
      </c>
      <c r="P137">
        <v>28.9</v>
      </c>
      <c r="Q137" s="19">
        <f>(G137 - AVERAGE(FG_Range))*F137</f>
        <v>-4.1652173913041546E-2</v>
      </c>
      <c r="R137" s="19">
        <f>(J137 - AVERAGE(FT_RANGE))*I137</f>
        <v>0.82919304347826051</v>
      </c>
      <c r="S137" s="19">
        <f>(H137 - AVERAGE(Three_Range))/STDEV(Three_Range)</f>
        <v>2.6294500452579146</v>
      </c>
      <c r="T137" s="19">
        <f>(P137 - AVERAGE(Pts_Range))/STDEV(Pts_Range)</f>
        <v>2.5323710052521848</v>
      </c>
      <c r="U137" s="19">
        <f>(K137 - AVERAGE(Reb_Range))/STDEV(Reb_Range)</f>
        <v>-0.3149386998003188</v>
      </c>
      <c r="V137" s="19">
        <f>(L137 - AVERAGE(Ast_Range))/STDEV(Ast_Range)</f>
        <v>2.3869455975288658</v>
      </c>
      <c r="W137" s="19">
        <f>(M137 - AVERAGE(Stl_Range))/STDEV(Stl_Range)</f>
        <v>0.27466762989139432</v>
      </c>
      <c r="X137" s="19">
        <f>(N137 - AVERAGE(Blk_Range))/STDEV(Blk_Range)</f>
        <v>-0.26971158507660031</v>
      </c>
      <c r="Y137" s="19">
        <f>(O137 - AVERAGE(Tov_Range))/STDEV(Tov_Range)*-1</f>
        <v>-1.3860815326443932</v>
      </c>
      <c r="Z137" s="19">
        <f t="shared" si="2"/>
        <v>6.6402433299742682</v>
      </c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</row>
    <row r="138" spans="1:40" x14ac:dyDescent="0.55000000000000004">
      <c r="A138" t="s">
        <v>306</v>
      </c>
      <c r="B138" t="s">
        <v>18</v>
      </c>
      <c r="C138" t="s">
        <v>39</v>
      </c>
      <c r="D138">
        <v>61</v>
      </c>
      <c r="E138">
        <v>26.6</v>
      </c>
      <c r="F138">
        <v>9.4</v>
      </c>
      <c r="G138">
        <v>0.42699999999999999</v>
      </c>
      <c r="H138">
        <v>1.4</v>
      </c>
      <c r="I138">
        <v>2</v>
      </c>
      <c r="J138">
        <v>0.81</v>
      </c>
      <c r="K138">
        <v>4.5</v>
      </c>
      <c r="L138">
        <v>1.6</v>
      </c>
      <c r="M138">
        <v>0.7</v>
      </c>
      <c r="N138">
        <v>2.4</v>
      </c>
      <c r="O138">
        <v>1</v>
      </c>
      <c r="P138">
        <v>11</v>
      </c>
      <c r="Q138" s="19">
        <f>(G138 - AVERAGE(FG_Range))*F138</f>
        <v>-0.3015765217391298</v>
      </c>
      <c r="R138" s="19">
        <f>(J138 - AVERAGE(FT_RANGE))*I138</f>
        <v>6.2208695652173907E-2</v>
      </c>
      <c r="S138" s="19">
        <f>(H138 - AVERAGE(Three_Range))/STDEV(Three_Range)</f>
        <v>-0.14321413230177851</v>
      </c>
      <c r="T138" s="19">
        <f>(P138 - AVERAGE(Pts_Range))/STDEV(Pts_Range)</f>
        <v>-0.48120612176343736</v>
      </c>
      <c r="U138" s="19">
        <f>(K138 - AVERAGE(Reb_Range))/STDEV(Reb_Range)</f>
        <v>-0.23525124000485825</v>
      </c>
      <c r="V138" s="19">
        <f>(L138 - AVERAGE(Ast_Range))/STDEV(Ast_Range)</f>
        <v>-0.73064409112854722</v>
      </c>
      <c r="W138" s="19">
        <f>(M138 - AVERAGE(Stl_Range))/STDEV(Stl_Range)</f>
        <v>-0.53524974030117922</v>
      </c>
      <c r="X138" s="19">
        <f>(N138 - AVERAGE(Blk_Range))/STDEV(Blk_Range)</f>
        <v>3.6814772408863319</v>
      </c>
      <c r="Y138" s="19">
        <f>(O138 - AVERAGE(Tov_Range))/STDEV(Tov_Range)*-1</f>
        <v>0.80220470205791883</v>
      </c>
      <c r="Z138" s="19">
        <f t="shared" si="2"/>
        <v>2.1187487913574943</v>
      </c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</row>
    <row r="139" spans="1:40" x14ac:dyDescent="0.55000000000000004">
      <c r="A139" t="s">
        <v>308</v>
      </c>
      <c r="B139" t="s">
        <v>15</v>
      </c>
      <c r="C139" t="s">
        <v>137</v>
      </c>
      <c r="D139">
        <v>56</v>
      </c>
      <c r="E139">
        <v>31.8</v>
      </c>
      <c r="F139">
        <v>13</v>
      </c>
      <c r="G139">
        <v>0.45</v>
      </c>
      <c r="H139">
        <v>2.6</v>
      </c>
      <c r="I139">
        <v>3.9</v>
      </c>
      <c r="J139">
        <v>0.85399999999999998</v>
      </c>
      <c r="K139">
        <v>9.8000000000000007</v>
      </c>
      <c r="L139">
        <v>3.2</v>
      </c>
      <c r="M139">
        <v>0.6</v>
      </c>
      <c r="N139">
        <v>0.3</v>
      </c>
      <c r="O139">
        <v>2.5</v>
      </c>
      <c r="P139">
        <v>17.600000000000001</v>
      </c>
      <c r="Q139" s="19">
        <f>(G139 - AVERAGE(FG_Range))*F139</f>
        <v>-0.11807391304347709</v>
      </c>
      <c r="R139" s="19">
        <f>(J139 - AVERAGE(FT_RANGE))*I139</f>
        <v>0.29290695652173881</v>
      </c>
      <c r="S139" s="19">
        <f>(H139 - AVERAGE(Three_Range))/STDEV(Three_Range)</f>
        <v>1.1876646729268743</v>
      </c>
      <c r="T139" s="19">
        <f>(P139 - AVERAGE(Pts_Range))/STDEV(Pts_Range)</f>
        <v>0.62994522115852425</v>
      </c>
      <c r="U139" s="19">
        <f>(K139 - AVERAGE(Reb_Range))/STDEV(Reb_Range)</f>
        <v>1.8764664445748451</v>
      </c>
      <c r="V139" s="19">
        <f>(L139 - AVERAGE(Ast_Range))/STDEV(Ast_Range)</f>
        <v>7.389518336368836E-2</v>
      </c>
      <c r="W139" s="19">
        <f>(M139 - AVERAGE(Stl_Range))/STDEV(Stl_Range)</f>
        <v>-0.80522219703203701</v>
      </c>
      <c r="X139" s="19">
        <f>(N139 - AVERAGE(Blk_Range))/STDEV(Blk_Range)</f>
        <v>-0.46727102637474699</v>
      </c>
      <c r="Y139" s="19">
        <f>(O139 - AVERAGE(Tov_Range))/STDEV(Tov_Range)*-1</f>
        <v>-0.92538969375969604</v>
      </c>
      <c r="Z139" s="19">
        <f t="shared" si="2"/>
        <v>1.7449216483357137</v>
      </c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</row>
    <row r="140" spans="1:40" x14ac:dyDescent="0.55000000000000004">
      <c r="A140" t="s">
        <v>309</v>
      </c>
      <c r="B140" t="s">
        <v>47</v>
      </c>
      <c r="C140" t="s">
        <v>45</v>
      </c>
      <c r="D140">
        <v>52</v>
      </c>
      <c r="E140">
        <v>36.6</v>
      </c>
      <c r="F140">
        <v>14.3</v>
      </c>
      <c r="G140">
        <v>0.41699999999999998</v>
      </c>
      <c r="H140">
        <v>2.9</v>
      </c>
      <c r="I140">
        <v>5.7</v>
      </c>
      <c r="J140">
        <v>0.86099999999999999</v>
      </c>
      <c r="K140">
        <v>4.8</v>
      </c>
      <c r="L140">
        <v>7.7</v>
      </c>
      <c r="M140">
        <v>1.3</v>
      </c>
      <c r="N140">
        <v>0.4</v>
      </c>
      <c r="O140">
        <v>3</v>
      </c>
      <c r="P140">
        <v>19.7</v>
      </c>
      <c r="Q140" s="19">
        <f>(G140 - AVERAGE(FG_Range))*F140</f>
        <v>-0.60178130434782529</v>
      </c>
      <c r="R140" s="19">
        <f>(J140 - AVERAGE(FT_RANGE))*I140</f>
        <v>0.46799478260869526</v>
      </c>
      <c r="S140" s="19">
        <f>(H140 - AVERAGE(Three_Range))/STDEV(Three_Range)</f>
        <v>1.5203843742340373</v>
      </c>
      <c r="T140" s="19">
        <f>(P140 - AVERAGE(Pts_Range))/STDEV(Pts_Range)</f>
        <v>0.98349337572460249</v>
      </c>
      <c r="U140" s="19">
        <f>(K140 - AVERAGE(Reb_Range))/STDEV(Reb_Range)</f>
        <v>-0.11572005031166759</v>
      </c>
      <c r="V140" s="19">
        <f>(L140 - AVERAGE(Ast_Range))/STDEV(Ast_Range)</f>
        <v>2.3366618928731011</v>
      </c>
      <c r="W140" s="19">
        <f>(M140 - AVERAGE(Stl_Range))/STDEV(Stl_Range)</f>
        <v>1.0845850000839679</v>
      </c>
      <c r="X140" s="19">
        <f>(N140 - AVERAGE(Blk_Range))/STDEV(Blk_Range)</f>
        <v>-0.26971158507660031</v>
      </c>
      <c r="Y140" s="19">
        <f>(O140 - AVERAGE(Tov_Range))/STDEV(Tov_Range)*-1</f>
        <v>-1.5012544923655677</v>
      </c>
      <c r="Z140" s="19">
        <f t="shared" si="2"/>
        <v>3.9046519934227431</v>
      </c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</row>
    <row r="141" spans="1:40" x14ac:dyDescent="0.55000000000000004">
      <c r="A141" t="s">
        <v>310</v>
      </c>
      <c r="B141" t="s">
        <v>15</v>
      </c>
      <c r="C141" t="s">
        <v>23</v>
      </c>
      <c r="D141">
        <v>63</v>
      </c>
      <c r="E141">
        <v>20.2</v>
      </c>
      <c r="F141">
        <v>5.4</v>
      </c>
      <c r="G141">
        <v>0.44600000000000001</v>
      </c>
      <c r="H141">
        <v>1</v>
      </c>
      <c r="I141">
        <v>0.7</v>
      </c>
      <c r="J141">
        <v>0.73299999999999998</v>
      </c>
      <c r="K141">
        <v>5.7</v>
      </c>
      <c r="L141">
        <v>1.1000000000000001</v>
      </c>
      <c r="M141">
        <v>0.4</v>
      </c>
      <c r="N141">
        <v>0.4</v>
      </c>
      <c r="O141">
        <v>0.6</v>
      </c>
      <c r="P141">
        <v>6.4</v>
      </c>
      <c r="Q141" s="19">
        <f>(G141 - AVERAGE(FG_Range))*F141</f>
        <v>-7.0646086956521276E-2</v>
      </c>
      <c r="R141" s="19">
        <f>(J141 - AVERAGE(FT_RANGE))*I141</f>
        <v>-3.2126956521739178E-2</v>
      </c>
      <c r="S141" s="19">
        <f>(H141 - AVERAGE(Three_Range))/STDEV(Three_Range)</f>
        <v>-0.58684040071132926</v>
      </c>
      <c r="T141" s="19">
        <f>(P141 - AVERAGE(Pts_Range))/STDEV(Pts_Range)</f>
        <v>-1.2556449365272284</v>
      </c>
      <c r="U141" s="19">
        <f>(K141 - AVERAGE(Reb_Range))/STDEV(Reb_Range)</f>
        <v>0.24287351876790478</v>
      </c>
      <c r="V141" s="19">
        <f>(L141 - AVERAGE(Ast_Range))/STDEV(Ast_Range)</f>
        <v>-0.98206261440737086</v>
      </c>
      <c r="W141" s="19">
        <f>(M141 - AVERAGE(Stl_Range))/STDEV(Stl_Range)</f>
        <v>-1.3451671104937524</v>
      </c>
      <c r="X141" s="19">
        <f>(N141 - AVERAGE(Blk_Range))/STDEV(Blk_Range)</f>
        <v>-0.26971158507660031</v>
      </c>
      <c r="Y141" s="19">
        <f>(O141 - AVERAGE(Tov_Range))/STDEV(Tov_Range)*-1</f>
        <v>1.2628965409426163</v>
      </c>
      <c r="Z141" s="19">
        <f t="shared" si="2"/>
        <v>-3.0364296309840206</v>
      </c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</row>
    <row r="142" spans="1:40" x14ac:dyDescent="0.55000000000000004">
      <c r="A142" t="s">
        <v>311</v>
      </c>
      <c r="B142" t="s">
        <v>18</v>
      </c>
      <c r="C142" t="s">
        <v>72</v>
      </c>
      <c r="D142">
        <v>38</v>
      </c>
      <c r="E142">
        <v>21.3</v>
      </c>
      <c r="F142">
        <v>5.5</v>
      </c>
      <c r="G142">
        <v>0.495</v>
      </c>
      <c r="H142">
        <v>0.1</v>
      </c>
      <c r="I142">
        <v>3</v>
      </c>
      <c r="J142">
        <v>0.61899999999999999</v>
      </c>
      <c r="K142">
        <v>5.7</v>
      </c>
      <c r="L142">
        <v>1.3</v>
      </c>
      <c r="M142">
        <v>0.8</v>
      </c>
      <c r="N142">
        <v>1.2</v>
      </c>
      <c r="O142">
        <v>1.2</v>
      </c>
      <c r="P142">
        <v>7.4</v>
      </c>
      <c r="Q142" s="19">
        <f>(G142 - AVERAGE(FG_Range))*F142</f>
        <v>0.19754565217391346</v>
      </c>
      <c r="R142" s="19">
        <f>(J142 - AVERAGE(FT_RANGE))*I142</f>
        <v>-0.47968695652173932</v>
      </c>
      <c r="S142" s="19">
        <f>(H142 - AVERAGE(Three_Range))/STDEV(Three_Range)</f>
        <v>-1.5849995046328187</v>
      </c>
      <c r="T142" s="19">
        <f>(P142 - AVERAGE(Pts_Range))/STDEV(Pts_Range)</f>
        <v>-1.0872886724481434</v>
      </c>
      <c r="U142" s="19">
        <f>(K142 - AVERAGE(Reb_Range))/STDEV(Reb_Range)</f>
        <v>0.24287351876790478</v>
      </c>
      <c r="V142" s="19">
        <f>(L142 - AVERAGE(Ast_Range))/STDEV(Ast_Range)</f>
        <v>-0.88149520509584145</v>
      </c>
      <c r="W142" s="19">
        <f>(M142 - AVERAGE(Stl_Range))/STDEV(Stl_Range)</f>
        <v>-0.26527728357032115</v>
      </c>
      <c r="X142" s="19">
        <f>(N142 - AVERAGE(Blk_Range))/STDEV(Blk_Range)</f>
        <v>1.3107639453085724</v>
      </c>
      <c r="Y142" s="19">
        <f>(O142 - AVERAGE(Tov_Range))/STDEV(Tov_Range)*-1</f>
        <v>0.57185878261557022</v>
      </c>
      <c r="Z142" s="19">
        <f t="shared" si="2"/>
        <v>-1.9757057234029025</v>
      </c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</row>
    <row r="143" spans="1:40" x14ac:dyDescent="0.55000000000000004">
      <c r="A143" t="s">
        <v>314</v>
      </c>
      <c r="B143" t="s">
        <v>15</v>
      </c>
      <c r="C143" t="s">
        <v>48</v>
      </c>
      <c r="D143">
        <v>50</v>
      </c>
      <c r="E143">
        <v>29.8</v>
      </c>
      <c r="F143">
        <v>11.8</v>
      </c>
      <c r="G143">
        <v>0.42499999999999999</v>
      </c>
      <c r="H143">
        <v>2.2000000000000002</v>
      </c>
      <c r="I143">
        <v>3.1</v>
      </c>
      <c r="J143">
        <v>0.82399999999999995</v>
      </c>
      <c r="K143">
        <v>6.3</v>
      </c>
      <c r="L143">
        <v>1.5</v>
      </c>
      <c r="M143">
        <v>0.8</v>
      </c>
      <c r="N143">
        <v>0.5</v>
      </c>
      <c r="O143">
        <v>1.6</v>
      </c>
      <c r="P143">
        <v>14.7</v>
      </c>
      <c r="Q143" s="19">
        <f>(G143 - AVERAGE(FG_Range))*F143</f>
        <v>-0.40217478260869488</v>
      </c>
      <c r="R143" s="19">
        <f>(J143 - AVERAGE(FT_RANGE))*I143</f>
        <v>0.13982347826086924</v>
      </c>
      <c r="S143" s="19">
        <f>(H143 - AVERAGE(Three_Range))/STDEV(Three_Range)</f>
        <v>0.7440384045173235</v>
      </c>
      <c r="T143" s="19">
        <f>(P143 - AVERAGE(Pts_Range))/STDEV(Pts_Range)</f>
        <v>0.14171205532917722</v>
      </c>
      <c r="U143" s="19">
        <f>(K143 - AVERAGE(Reb_Range))/STDEV(Reb_Range)</f>
        <v>0.48193589815428611</v>
      </c>
      <c r="V143" s="19">
        <f>(L143 - AVERAGE(Ast_Range))/STDEV(Ast_Range)</f>
        <v>-0.78092779578431204</v>
      </c>
      <c r="W143" s="19">
        <f>(M143 - AVERAGE(Stl_Range))/STDEV(Stl_Range)</f>
        <v>-0.26527728357032115</v>
      </c>
      <c r="X143" s="19">
        <f>(N143 - AVERAGE(Blk_Range))/STDEV(Blk_Range)</f>
        <v>-7.2152143778453748E-2</v>
      </c>
      <c r="Y143" s="19">
        <f>(O143 - AVERAGE(Tov_Range))/STDEV(Tov_Range)*-1</f>
        <v>0.11116694373087278</v>
      </c>
      <c r="Z143" s="19">
        <f t="shared" si="2"/>
        <v>9.8144774250746983E-2</v>
      </c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</row>
    <row r="144" spans="1:40" x14ac:dyDescent="0.55000000000000004">
      <c r="A144" t="s">
        <v>320</v>
      </c>
      <c r="B144" t="s">
        <v>25</v>
      </c>
      <c r="C144" t="s">
        <v>39</v>
      </c>
      <c r="D144">
        <v>62</v>
      </c>
      <c r="E144">
        <v>24.7</v>
      </c>
      <c r="F144">
        <v>6.5</v>
      </c>
      <c r="G144">
        <v>0.39700000000000002</v>
      </c>
      <c r="H144">
        <v>1.6</v>
      </c>
      <c r="I144">
        <v>1</v>
      </c>
      <c r="J144">
        <v>0.76200000000000001</v>
      </c>
      <c r="K144">
        <v>2.6</v>
      </c>
      <c r="L144">
        <v>1.5</v>
      </c>
      <c r="M144">
        <v>0.6</v>
      </c>
      <c r="N144">
        <v>0.1</v>
      </c>
      <c r="O144">
        <v>0.7</v>
      </c>
      <c r="P144">
        <v>7.5</v>
      </c>
      <c r="Q144" s="19">
        <f>(G144 - AVERAGE(FG_Range))*F144</f>
        <v>-0.40353695652173849</v>
      </c>
      <c r="R144" s="19">
        <f>(J144 - AVERAGE(FT_RANGE))*I144</f>
        <v>-1.6895652173913089E-2</v>
      </c>
      <c r="S144" s="19">
        <f>(H144 - AVERAGE(Three_Range))/STDEV(Three_Range)</f>
        <v>7.8599001902997123E-2</v>
      </c>
      <c r="T144" s="19">
        <f>(P144 - AVERAGE(Pts_Range))/STDEV(Pts_Range)</f>
        <v>-1.0704530460402351</v>
      </c>
      <c r="U144" s="19">
        <f>(K144 - AVERAGE(Reb_Range))/STDEV(Reb_Range)</f>
        <v>-0.99228210806173289</v>
      </c>
      <c r="V144" s="19">
        <f>(L144 - AVERAGE(Ast_Range))/STDEV(Ast_Range)</f>
        <v>-0.78092779578431204</v>
      </c>
      <c r="W144" s="19">
        <f>(M144 - AVERAGE(Stl_Range))/STDEV(Stl_Range)</f>
        <v>-0.80522219703203701</v>
      </c>
      <c r="X144" s="19">
        <f>(N144 - AVERAGE(Blk_Range))/STDEV(Blk_Range)</f>
        <v>-0.86238990897104029</v>
      </c>
      <c r="Y144" s="19">
        <f>(O144 - AVERAGE(Tov_Range))/STDEV(Tov_Range)*-1</f>
        <v>1.1477235812214419</v>
      </c>
      <c r="Z144" s="19">
        <f t="shared" si="2"/>
        <v>-3.7053850814605696</v>
      </c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</row>
    <row r="145" spans="1:40" x14ac:dyDescent="0.55000000000000004">
      <c r="A145" t="s">
        <v>321</v>
      </c>
      <c r="B145" t="s">
        <v>35</v>
      </c>
      <c r="C145" t="s">
        <v>45</v>
      </c>
      <c r="D145">
        <v>37</v>
      </c>
      <c r="E145">
        <v>24.5</v>
      </c>
      <c r="F145">
        <v>4.4000000000000004</v>
      </c>
      <c r="G145">
        <v>0.41399999999999998</v>
      </c>
      <c r="H145">
        <v>0.6</v>
      </c>
      <c r="I145">
        <v>0.5</v>
      </c>
      <c r="J145">
        <v>0.72199999999999998</v>
      </c>
      <c r="K145">
        <v>2.2999999999999998</v>
      </c>
      <c r="L145">
        <v>2.1</v>
      </c>
      <c r="M145">
        <v>1.1000000000000001</v>
      </c>
      <c r="N145">
        <v>0.1</v>
      </c>
      <c r="O145">
        <v>0.8</v>
      </c>
      <c r="P145">
        <v>4.5999999999999996</v>
      </c>
      <c r="Q145" s="19">
        <f>(G145 - AVERAGE(FG_Range))*F145</f>
        <v>-0.19836347826086934</v>
      </c>
      <c r="R145" s="19">
        <f>(J145 - AVERAGE(FT_RANGE))*I145</f>
        <v>-2.8447826086956562E-2</v>
      </c>
      <c r="S145" s="19">
        <f>(H145 - AVERAGE(Three_Range))/STDEV(Three_Range)</f>
        <v>-1.0304666691208801</v>
      </c>
      <c r="T145" s="19">
        <f>(P145 - AVERAGE(Pts_Range))/STDEV(Pts_Range)</f>
        <v>-1.5586862118695817</v>
      </c>
      <c r="U145" s="19">
        <f>(K145 - AVERAGE(Reb_Range))/STDEV(Reb_Range)</f>
        <v>-1.1118132977549238</v>
      </c>
      <c r="V145" s="19">
        <f>(L145 - AVERAGE(Ast_Range))/STDEV(Ast_Range)</f>
        <v>-0.47922556784972364</v>
      </c>
      <c r="W145" s="19">
        <f>(M145 - AVERAGE(Stl_Range))/STDEV(Stl_Range)</f>
        <v>0.54464008662225238</v>
      </c>
      <c r="X145" s="19">
        <f>(N145 - AVERAGE(Blk_Range))/STDEV(Blk_Range)</f>
        <v>-0.86238990897104029</v>
      </c>
      <c r="Y145" s="19">
        <f>(O145 - AVERAGE(Tov_Range))/STDEV(Tov_Range)*-1</f>
        <v>1.0325506215002676</v>
      </c>
      <c r="Z145" s="19">
        <f t="shared" si="2"/>
        <v>-3.6922022517914552</v>
      </c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</row>
    <row r="146" spans="1:40" x14ac:dyDescent="0.55000000000000004">
      <c r="A146" t="s">
        <v>664</v>
      </c>
      <c r="B146" t="s">
        <v>25</v>
      </c>
      <c r="C146" t="s">
        <v>44</v>
      </c>
      <c r="D146">
        <v>62</v>
      </c>
      <c r="E146">
        <v>36</v>
      </c>
      <c r="F146">
        <v>19.5</v>
      </c>
      <c r="G146">
        <v>0.45300000000000001</v>
      </c>
      <c r="H146">
        <v>2.8</v>
      </c>
      <c r="I146">
        <v>2.6</v>
      </c>
      <c r="J146">
        <v>0.75</v>
      </c>
      <c r="K146">
        <v>4.0999999999999996</v>
      </c>
      <c r="L146">
        <v>4.3</v>
      </c>
      <c r="M146">
        <v>0.7</v>
      </c>
      <c r="N146">
        <v>0.6</v>
      </c>
      <c r="O146">
        <v>1.9</v>
      </c>
      <c r="P146">
        <v>22.5</v>
      </c>
      <c r="Q146" s="19">
        <f>(G146 - AVERAGE(FG_Range))*F146</f>
        <v>-0.11861086956521558</v>
      </c>
      <c r="R146" s="19">
        <f>(J146 - AVERAGE(FT_RANGE))*I146</f>
        <v>-7.512869565217406E-2</v>
      </c>
      <c r="S146" s="19">
        <f>(H146 - AVERAGE(Three_Range))/STDEV(Three_Range)</f>
        <v>1.4094778071316494</v>
      </c>
      <c r="T146" s="19">
        <f>(P146 - AVERAGE(Pts_Range))/STDEV(Pts_Range)</f>
        <v>1.4548909151460407</v>
      </c>
      <c r="U146" s="19">
        <f>(K146 - AVERAGE(Reb_Range))/STDEV(Reb_Range)</f>
        <v>-0.3946261595957794</v>
      </c>
      <c r="V146" s="19">
        <f>(L146 - AVERAGE(Ast_Range))/STDEV(Ast_Range)</f>
        <v>0.62701593457710014</v>
      </c>
      <c r="W146" s="19">
        <f>(M146 - AVERAGE(Stl_Range))/STDEV(Stl_Range)</f>
        <v>-0.53524974030117922</v>
      </c>
      <c r="X146" s="19">
        <f>(N146 - AVERAGE(Blk_Range))/STDEV(Blk_Range)</f>
        <v>0.12540729751969285</v>
      </c>
      <c r="Y146" s="19">
        <f>(O146 - AVERAGE(Tov_Range))/STDEV(Tov_Range)*-1</f>
        <v>-0.23435193543264998</v>
      </c>
      <c r="Z146" s="19">
        <f t="shared" si="2"/>
        <v>2.2588245538274849</v>
      </c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</row>
    <row r="147" spans="1:40" x14ac:dyDescent="0.55000000000000004">
      <c r="A147" t="s">
        <v>324</v>
      </c>
      <c r="B147" t="s">
        <v>15</v>
      </c>
      <c r="C147" t="s">
        <v>83</v>
      </c>
      <c r="D147">
        <v>62</v>
      </c>
      <c r="E147">
        <v>20</v>
      </c>
      <c r="F147">
        <v>7.9</v>
      </c>
      <c r="G147">
        <v>0.49099999999999999</v>
      </c>
      <c r="H147">
        <v>1.9</v>
      </c>
      <c r="I147">
        <v>0.8</v>
      </c>
      <c r="J147">
        <v>0.82699999999999996</v>
      </c>
      <c r="K147">
        <v>2.5</v>
      </c>
      <c r="L147">
        <v>1.1000000000000001</v>
      </c>
      <c r="M147">
        <v>0.1</v>
      </c>
      <c r="N147">
        <v>0.1</v>
      </c>
      <c r="O147">
        <v>0.6</v>
      </c>
      <c r="P147">
        <v>10.4</v>
      </c>
      <c r="Q147" s="19">
        <f>(G147 - AVERAGE(FG_Range))*F147</f>
        <v>0.25214739130434838</v>
      </c>
      <c r="R147" s="19">
        <f>(J147 - AVERAGE(FT_RANGE))*I147</f>
        <v>3.8483478260869487E-2</v>
      </c>
      <c r="S147" s="19">
        <f>(H147 - AVERAGE(Three_Range))/STDEV(Three_Range)</f>
        <v>0.41131870321016006</v>
      </c>
      <c r="T147" s="19">
        <f>(P147 - AVERAGE(Pts_Range))/STDEV(Pts_Range)</f>
        <v>-0.58221988021088833</v>
      </c>
      <c r="U147" s="19">
        <f>(K147 - AVERAGE(Reb_Range))/STDEV(Reb_Range)</f>
        <v>-1.0321258379594631</v>
      </c>
      <c r="V147" s="19">
        <f>(L147 - AVERAGE(Ast_Range))/STDEV(Ast_Range)</f>
        <v>-0.98206261440737086</v>
      </c>
      <c r="W147" s="19">
        <f>(M147 - AVERAGE(Stl_Range))/STDEV(Stl_Range)</f>
        <v>-2.1550844806863259</v>
      </c>
      <c r="X147" s="19">
        <f>(N147 - AVERAGE(Blk_Range))/STDEV(Blk_Range)</f>
        <v>-0.86238990897104029</v>
      </c>
      <c r="Y147" s="19">
        <f>(O147 - AVERAGE(Tov_Range))/STDEV(Tov_Range)*-1</f>
        <v>1.2628965409426163</v>
      </c>
      <c r="Z147" s="19">
        <f t="shared" si="2"/>
        <v>-3.6490366085170942</v>
      </c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</row>
    <row r="148" spans="1:40" x14ac:dyDescent="0.55000000000000004">
      <c r="A148" t="s">
        <v>329</v>
      </c>
      <c r="B148" t="s">
        <v>25</v>
      </c>
      <c r="C148" t="s">
        <v>37</v>
      </c>
      <c r="D148">
        <v>63</v>
      </c>
      <c r="E148">
        <v>22.8</v>
      </c>
      <c r="F148">
        <v>7.5</v>
      </c>
      <c r="G148">
        <v>0.44500000000000001</v>
      </c>
      <c r="H148">
        <v>2.4</v>
      </c>
      <c r="I148">
        <v>1</v>
      </c>
      <c r="J148">
        <v>0.75800000000000001</v>
      </c>
      <c r="K148">
        <v>2.2000000000000002</v>
      </c>
      <c r="L148">
        <v>0.9</v>
      </c>
      <c r="M148">
        <v>0.6</v>
      </c>
      <c r="N148">
        <v>0.2</v>
      </c>
      <c r="O148">
        <v>0.7</v>
      </c>
      <c r="P148">
        <v>9.8000000000000007</v>
      </c>
      <c r="Q148" s="19">
        <f>(G148 - AVERAGE(FG_Range))*F148</f>
        <v>-0.10561956521739066</v>
      </c>
      <c r="R148" s="19">
        <f>(J148 - AVERAGE(FT_RANGE))*I148</f>
        <v>-2.0895652173913093E-2</v>
      </c>
      <c r="S148" s="19">
        <f>(H148 - AVERAGE(Three_Range))/STDEV(Three_Range)</f>
        <v>0.96585153872209861</v>
      </c>
      <c r="T148" s="19">
        <f>(P148 - AVERAGE(Pts_Range))/STDEV(Pts_Range)</f>
        <v>-0.6832336386583393</v>
      </c>
      <c r="U148" s="19">
        <f>(K148 - AVERAGE(Reb_Range))/STDEV(Reb_Range)</f>
        <v>-1.1516570276526539</v>
      </c>
      <c r="V148" s="19">
        <f>(L148 - AVERAGE(Ast_Range))/STDEV(Ast_Range)</f>
        <v>-1.0826300237189004</v>
      </c>
      <c r="W148" s="19">
        <f>(M148 - AVERAGE(Stl_Range))/STDEV(Stl_Range)</f>
        <v>-0.80522219703203701</v>
      </c>
      <c r="X148" s="19">
        <f>(N148 - AVERAGE(Blk_Range))/STDEV(Blk_Range)</f>
        <v>-0.66483046767289355</v>
      </c>
      <c r="Y148" s="19">
        <f>(O148 - AVERAGE(Tov_Range))/STDEV(Tov_Range)*-1</f>
        <v>1.1477235812214419</v>
      </c>
      <c r="Z148" s="19">
        <f t="shared" si="2"/>
        <v>-2.4005134521825875</v>
      </c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</row>
    <row r="149" spans="1:40" x14ac:dyDescent="0.55000000000000004">
      <c r="A149" t="s">
        <v>604</v>
      </c>
      <c r="B149" t="s">
        <v>25</v>
      </c>
      <c r="C149" t="s">
        <v>90</v>
      </c>
      <c r="D149">
        <v>4</v>
      </c>
      <c r="E149">
        <v>24.5</v>
      </c>
      <c r="F149">
        <v>10.8</v>
      </c>
      <c r="G149">
        <v>0.32600000000000001</v>
      </c>
      <c r="H149">
        <v>0.8</v>
      </c>
      <c r="I149">
        <v>5.5</v>
      </c>
      <c r="J149">
        <v>0.72699999999999998</v>
      </c>
      <c r="K149">
        <v>3.8</v>
      </c>
      <c r="L149">
        <v>1.8</v>
      </c>
      <c r="M149">
        <v>0</v>
      </c>
      <c r="N149">
        <v>0</v>
      </c>
      <c r="O149">
        <v>1.3</v>
      </c>
      <c r="P149">
        <v>11.8</v>
      </c>
      <c r="Q149" s="19">
        <f>(G149 - AVERAGE(FG_Range))*F149</f>
        <v>-1.4372921739130426</v>
      </c>
      <c r="R149" s="19">
        <f>(J149 - AVERAGE(FT_RANGE))*I149</f>
        <v>-0.28542608695652216</v>
      </c>
      <c r="S149" s="19">
        <f>(H149 - AVERAGE(Three_Range))/STDEV(Three_Range)</f>
        <v>-0.8086535349161047</v>
      </c>
      <c r="T149" s="19">
        <f>(P149 - AVERAGE(Pts_Range))/STDEV(Pts_Range)</f>
        <v>-0.3465211105001692</v>
      </c>
      <c r="U149" s="19">
        <f>(K149 - AVERAGE(Reb_Range))/STDEV(Reb_Range)</f>
        <v>-0.51415734928897006</v>
      </c>
      <c r="V149" s="19">
        <f>(L149 - AVERAGE(Ast_Range))/STDEV(Ast_Range)</f>
        <v>-0.63007668181701781</v>
      </c>
      <c r="W149" s="19">
        <f>(M149 - AVERAGE(Stl_Range))/STDEV(Stl_Range)</f>
        <v>-2.425056937417184</v>
      </c>
      <c r="X149" s="19">
        <f>(N149 - AVERAGE(Blk_Range))/STDEV(Blk_Range)</f>
        <v>-1.0599493502691868</v>
      </c>
      <c r="Y149" s="19">
        <f>(O149 - AVERAGE(Tov_Range))/STDEV(Tov_Range)*-1</f>
        <v>0.4566858228943958</v>
      </c>
      <c r="Z149" s="19">
        <f t="shared" si="2"/>
        <v>-7.0504474021838011</v>
      </c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</row>
    <row r="150" spans="1:40" x14ac:dyDescent="0.55000000000000004">
      <c r="A150" t="s">
        <v>332</v>
      </c>
      <c r="B150" t="s">
        <v>35</v>
      </c>
      <c r="C150" t="s">
        <v>39</v>
      </c>
      <c r="D150">
        <v>55</v>
      </c>
      <c r="E150">
        <v>30.1</v>
      </c>
      <c r="F150">
        <v>15.5</v>
      </c>
      <c r="G150">
        <v>0.499</v>
      </c>
      <c r="H150">
        <v>2.4</v>
      </c>
      <c r="I150">
        <v>3.6</v>
      </c>
      <c r="J150">
        <v>0.90800000000000003</v>
      </c>
      <c r="K150">
        <v>6.2</v>
      </c>
      <c r="L150">
        <v>4.0999999999999996</v>
      </c>
      <c r="M150">
        <v>0.9</v>
      </c>
      <c r="N150">
        <v>0.1</v>
      </c>
      <c r="O150">
        <v>2.1</v>
      </c>
      <c r="P150">
        <v>21.1</v>
      </c>
      <c r="Q150" s="19">
        <f>(G150 - AVERAGE(FG_Range))*F150</f>
        <v>0.61871956521739246</v>
      </c>
      <c r="R150" s="19">
        <f>(J150 - AVERAGE(FT_RANGE))*I150</f>
        <v>0.46477565217391298</v>
      </c>
      <c r="S150" s="19">
        <f>(H150 - AVERAGE(Three_Range))/STDEV(Three_Range)</f>
        <v>0.96585153872209861</v>
      </c>
      <c r="T150" s="19">
        <f>(P150 - AVERAGE(Pts_Range))/STDEV(Pts_Range)</f>
        <v>1.2191921454353218</v>
      </c>
      <c r="U150" s="19">
        <f>(K150 - AVERAGE(Reb_Range))/STDEV(Reb_Range)</f>
        <v>0.44209216825655601</v>
      </c>
      <c r="V150" s="19">
        <f>(L150 - AVERAGE(Ast_Range))/STDEV(Ast_Range)</f>
        <v>0.52644852526557062</v>
      </c>
      <c r="W150" s="19">
        <f>(M150 - AVERAGE(Stl_Range))/STDEV(Stl_Range)</f>
        <v>4.6951731605365706E-3</v>
      </c>
      <c r="X150" s="19">
        <f>(N150 - AVERAGE(Blk_Range))/STDEV(Blk_Range)</f>
        <v>-0.86238990897104029</v>
      </c>
      <c r="Y150" s="19">
        <f>(O150 - AVERAGE(Tov_Range))/STDEV(Tov_Range)*-1</f>
        <v>-0.46469785487499882</v>
      </c>
      <c r="Z150" s="19">
        <f t="shared" si="2"/>
        <v>2.9146870043853501</v>
      </c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</row>
    <row r="151" spans="1:40" x14ac:dyDescent="0.55000000000000004">
      <c r="A151" t="s">
        <v>334</v>
      </c>
      <c r="B151" t="s">
        <v>47</v>
      </c>
      <c r="C151" t="s">
        <v>23</v>
      </c>
      <c r="D151">
        <v>63</v>
      </c>
      <c r="E151">
        <v>22.7</v>
      </c>
      <c r="F151">
        <v>9.1</v>
      </c>
      <c r="G151">
        <v>0.42899999999999999</v>
      </c>
      <c r="H151">
        <v>2.2999999999999998</v>
      </c>
      <c r="I151">
        <v>1.7</v>
      </c>
      <c r="J151">
        <v>0.86099999999999999</v>
      </c>
      <c r="K151">
        <v>1.6</v>
      </c>
      <c r="L151">
        <v>1.8</v>
      </c>
      <c r="M151">
        <v>0.8</v>
      </c>
      <c r="N151">
        <v>0.1</v>
      </c>
      <c r="O151">
        <v>0.8</v>
      </c>
      <c r="P151">
        <v>11.7</v>
      </c>
      <c r="Q151" s="19">
        <f>(G151 - AVERAGE(FG_Range))*F151</f>
        <v>-0.2737517391304341</v>
      </c>
      <c r="R151" s="19">
        <f>(J151 - AVERAGE(FT_RANGE))*I151</f>
        <v>0.13957739130434771</v>
      </c>
      <c r="S151" s="19">
        <f>(H151 - AVERAGE(Three_Range))/STDEV(Three_Range)</f>
        <v>0.85494497161971084</v>
      </c>
      <c r="T151" s="19">
        <f>(P151 - AVERAGE(Pts_Range))/STDEV(Pts_Range)</f>
        <v>-0.3633567369080779</v>
      </c>
      <c r="U151" s="19">
        <f>(K151 - AVERAGE(Reb_Range))/STDEV(Reb_Range)</f>
        <v>-1.3907194070390354</v>
      </c>
      <c r="V151" s="19">
        <f>(L151 - AVERAGE(Ast_Range))/STDEV(Ast_Range)</f>
        <v>-0.63007668181701781</v>
      </c>
      <c r="W151" s="19">
        <f>(M151 - AVERAGE(Stl_Range))/STDEV(Stl_Range)</f>
        <v>-0.26527728357032115</v>
      </c>
      <c r="X151" s="19">
        <f>(N151 - AVERAGE(Blk_Range))/STDEV(Blk_Range)</f>
        <v>-0.86238990897104029</v>
      </c>
      <c r="Y151" s="19">
        <f>(O151 - AVERAGE(Tov_Range))/STDEV(Tov_Range)*-1</f>
        <v>1.0325506215002676</v>
      </c>
      <c r="Z151" s="19">
        <f t="shared" si="2"/>
        <v>-1.7584987730116006</v>
      </c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</row>
    <row r="152" spans="1:40" x14ac:dyDescent="0.55000000000000004">
      <c r="A152" t="s">
        <v>335</v>
      </c>
      <c r="B152" t="s">
        <v>15</v>
      </c>
      <c r="C152" t="s">
        <v>63</v>
      </c>
      <c r="D152">
        <v>44</v>
      </c>
      <c r="E152">
        <v>24.4</v>
      </c>
      <c r="F152">
        <v>8.8000000000000007</v>
      </c>
      <c r="G152">
        <v>0.48599999999999999</v>
      </c>
      <c r="H152">
        <v>1.1000000000000001</v>
      </c>
      <c r="I152">
        <v>2.9</v>
      </c>
      <c r="J152">
        <v>0.83299999999999996</v>
      </c>
      <c r="K152">
        <v>5.9</v>
      </c>
      <c r="L152">
        <v>1.6</v>
      </c>
      <c r="M152">
        <v>0.9</v>
      </c>
      <c r="N152">
        <v>0.6</v>
      </c>
      <c r="O152">
        <v>1.4</v>
      </c>
      <c r="P152">
        <v>12</v>
      </c>
      <c r="Q152" s="19">
        <f>(G152 - AVERAGE(FG_Range))*F152</f>
        <v>0.23687304347826146</v>
      </c>
      <c r="R152" s="19">
        <f>(J152 - AVERAGE(FT_RANGE))*I152</f>
        <v>0.1569026086956519</v>
      </c>
      <c r="S152" s="19">
        <f>(H152 - AVERAGE(Three_Range))/STDEV(Three_Range)</f>
        <v>-0.47593383360894148</v>
      </c>
      <c r="T152" s="19">
        <f>(P152 - AVERAGE(Pts_Range))/STDEV(Pts_Range)</f>
        <v>-0.31284985768435231</v>
      </c>
      <c r="U152" s="19">
        <f>(K152 - AVERAGE(Reb_Range))/STDEV(Reb_Range)</f>
        <v>0.32256097856336535</v>
      </c>
      <c r="V152" s="19">
        <f>(L152 - AVERAGE(Ast_Range))/STDEV(Ast_Range)</f>
        <v>-0.73064409112854722</v>
      </c>
      <c r="W152" s="19">
        <f>(M152 - AVERAGE(Stl_Range))/STDEV(Stl_Range)</f>
        <v>4.6951731605365706E-3</v>
      </c>
      <c r="X152" s="19">
        <f>(N152 - AVERAGE(Blk_Range))/STDEV(Blk_Range)</f>
        <v>0.12540729751969285</v>
      </c>
      <c r="Y152" s="19">
        <f>(O152 - AVERAGE(Tov_Range))/STDEV(Tov_Range)*-1</f>
        <v>0.34151286317322166</v>
      </c>
      <c r="Z152" s="19">
        <f t="shared" si="2"/>
        <v>-0.33147581783111119</v>
      </c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</row>
    <row r="153" spans="1:40" x14ac:dyDescent="0.55000000000000004">
      <c r="A153" t="s">
        <v>337</v>
      </c>
      <c r="B153" t="s">
        <v>25</v>
      </c>
      <c r="C153" t="s">
        <v>87</v>
      </c>
      <c r="D153">
        <v>63</v>
      </c>
      <c r="E153">
        <v>34.4</v>
      </c>
      <c r="F153">
        <v>19.600000000000001</v>
      </c>
      <c r="G153">
        <v>0.45300000000000001</v>
      </c>
      <c r="H153">
        <v>2.5</v>
      </c>
      <c r="I153">
        <v>4.5999999999999996</v>
      </c>
      <c r="J153">
        <v>0.85899999999999999</v>
      </c>
      <c r="K153">
        <v>4.4000000000000004</v>
      </c>
      <c r="L153">
        <v>4.2</v>
      </c>
      <c r="M153">
        <v>1</v>
      </c>
      <c r="N153">
        <v>0.2</v>
      </c>
      <c r="O153">
        <v>2.7</v>
      </c>
      <c r="P153">
        <v>24.2</v>
      </c>
      <c r="Q153" s="19">
        <f>(G153 - AVERAGE(FG_Range))*F153</f>
        <v>-0.11921913043478079</v>
      </c>
      <c r="R153" s="19">
        <f>(J153 - AVERAGE(FT_RANGE))*I153</f>
        <v>0.36847999999999964</v>
      </c>
      <c r="S153" s="19">
        <f>(H153 - AVERAGE(Three_Range))/STDEV(Three_Range)</f>
        <v>1.0767581058244864</v>
      </c>
      <c r="T153" s="19">
        <f>(P153 - AVERAGE(Pts_Range))/STDEV(Pts_Range)</f>
        <v>1.7410965640804852</v>
      </c>
      <c r="U153" s="19">
        <f>(K153 - AVERAGE(Reb_Range))/STDEV(Reb_Range)</f>
        <v>-0.27509496990258836</v>
      </c>
      <c r="V153" s="19">
        <f>(L153 - AVERAGE(Ast_Range))/STDEV(Ast_Range)</f>
        <v>0.57673222992133555</v>
      </c>
      <c r="W153" s="19">
        <f>(M153 - AVERAGE(Stl_Range))/STDEV(Stl_Range)</f>
        <v>0.27466762989139432</v>
      </c>
      <c r="X153" s="19">
        <f>(N153 - AVERAGE(Blk_Range))/STDEV(Blk_Range)</f>
        <v>-0.66483046767289355</v>
      </c>
      <c r="Y153" s="19">
        <f>(O153 - AVERAGE(Tov_Range))/STDEV(Tov_Range)*-1</f>
        <v>-1.1557356132020449</v>
      </c>
      <c r="Z153" s="19">
        <f t="shared" si="2"/>
        <v>1.8228543485053936</v>
      </c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</row>
    <row r="154" spans="1:40" x14ac:dyDescent="0.55000000000000004">
      <c r="A154" t="s">
        <v>339</v>
      </c>
      <c r="B154" t="s">
        <v>25</v>
      </c>
      <c r="C154" t="s">
        <v>56</v>
      </c>
      <c r="D154">
        <v>55</v>
      </c>
      <c r="E154">
        <v>21.3</v>
      </c>
      <c r="F154">
        <v>8.9</v>
      </c>
      <c r="G154">
        <v>0.434</v>
      </c>
      <c r="H154">
        <v>1.1000000000000001</v>
      </c>
      <c r="I154">
        <v>1.8</v>
      </c>
      <c r="J154">
        <v>0.82</v>
      </c>
      <c r="K154">
        <v>2.9</v>
      </c>
      <c r="L154">
        <v>2.1</v>
      </c>
      <c r="M154">
        <v>0.5</v>
      </c>
      <c r="N154">
        <v>0.3</v>
      </c>
      <c r="O154">
        <v>1.4</v>
      </c>
      <c r="P154">
        <v>10.3</v>
      </c>
      <c r="Q154" s="19">
        <f>(G154 - AVERAGE(FG_Range))*F154</f>
        <v>-0.22323521739130367</v>
      </c>
      <c r="R154" s="19">
        <f>(J154 - AVERAGE(FT_RANGE))*I154</f>
        <v>7.3987826086956338E-2</v>
      </c>
      <c r="S154" s="19">
        <f>(H154 - AVERAGE(Three_Range))/STDEV(Three_Range)</f>
        <v>-0.47593383360894148</v>
      </c>
      <c r="T154" s="19">
        <f>(P154 - AVERAGE(Pts_Range))/STDEV(Pts_Range)</f>
        <v>-0.59905550661879681</v>
      </c>
      <c r="U154" s="19">
        <f>(K154 - AVERAGE(Reb_Range))/STDEV(Reb_Range)</f>
        <v>-0.87275091836854224</v>
      </c>
      <c r="V154" s="19">
        <f>(L154 - AVERAGE(Ast_Range))/STDEV(Ast_Range)</f>
        <v>-0.47922556784972364</v>
      </c>
      <c r="W154" s="19">
        <f>(M154 - AVERAGE(Stl_Range))/STDEV(Stl_Range)</f>
        <v>-1.0751946537628947</v>
      </c>
      <c r="X154" s="19">
        <f>(N154 - AVERAGE(Blk_Range))/STDEV(Blk_Range)</f>
        <v>-0.46727102637474699</v>
      </c>
      <c r="Y154" s="19">
        <f>(O154 - AVERAGE(Tov_Range))/STDEV(Tov_Range)*-1</f>
        <v>0.34151286317322166</v>
      </c>
      <c r="Z154" s="19">
        <f t="shared" si="2"/>
        <v>-3.7771660347147717</v>
      </c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</row>
    <row r="155" spans="1:40" x14ac:dyDescent="0.55000000000000004">
      <c r="A155" t="s">
        <v>342</v>
      </c>
      <c r="B155" t="s">
        <v>47</v>
      </c>
      <c r="C155" t="s">
        <v>28</v>
      </c>
      <c r="D155">
        <v>59</v>
      </c>
      <c r="E155">
        <v>30</v>
      </c>
      <c r="F155">
        <v>13.6</v>
      </c>
      <c r="G155">
        <v>0.49099999999999999</v>
      </c>
      <c r="H155">
        <v>0.9</v>
      </c>
      <c r="I155">
        <v>4.5</v>
      </c>
      <c r="J155">
        <v>0.77</v>
      </c>
      <c r="K155">
        <v>3.5</v>
      </c>
      <c r="L155">
        <v>6.9</v>
      </c>
      <c r="M155">
        <v>0.9</v>
      </c>
      <c r="N155">
        <v>0.3</v>
      </c>
      <c r="O155">
        <v>3.2</v>
      </c>
      <c r="P155">
        <v>17.600000000000001</v>
      </c>
      <c r="Q155" s="19">
        <f>(G155 - AVERAGE(FG_Range))*F155</f>
        <v>0.43407652173913142</v>
      </c>
      <c r="R155" s="19">
        <f>(J155 - AVERAGE(FT_RANGE))*I155</f>
        <v>-4.003043478260887E-2</v>
      </c>
      <c r="S155" s="19">
        <f>(H155 - AVERAGE(Three_Range))/STDEV(Three_Range)</f>
        <v>-0.69774696781371692</v>
      </c>
      <c r="T155" s="19">
        <f>(P155 - AVERAGE(Pts_Range))/STDEV(Pts_Range)</f>
        <v>0.62994522115852425</v>
      </c>
      <c r="U155" s="19">
        <f>(K155 - AVERAGE(Reb_Range))/STDEV(Reb_Range)</f>
        <v>-0.63368853898216071</v>
      </c>
      <c r="V155" s="19">
        <f>(L155 - AVERAGE(Ast_Range))/STDEV(Ast_Range)</f>
        <v>1.9343922556269832</v>
      </c>
      <c r="W155" s="19">
        <f>(M155 - AVERAGE(Stl_Range))/STDEV(Stl_Range)</f>
        <v>4.6951731605365706E-3</v>
      </c>
      <c r="X155" s="19">
        <f>(N155 - AVERAGE(Blk_Range))/STDEV(Blk_Range)</f>
        <v>-0.46727102637474699</v>
      </c>
      <c r="Y155" s="19">
        <f>(O155 - AVERAGE(Tov_Range))/STDEV(Tov_Range)*-1</f>
        <v>-1.7316004118079165</v>
      </c>
      <c r="Z155" s="19">
        <f t="shared" si="2"/>
        <v>-0.56722820807597474</v>
      </c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</row>
    <row r="156" spans="1:40" x14ac:dyDescent="0.55000000000000004">
      <c r="A156" t="s">
        <v>344</v>
      </c>
      <c r="B156" t="s">
        <v>15</v>
      </c>
      <c r="C156" t="s">
        <v>80</v>
      </c>
      <c r="D156">
        <v>12</v>
      </c>
      <c r="E156">
        <v>28.3</v>
      </c>
      <c r="F156">
        <v>9.5</v>
      </c>
      <c r="G156">
        <v>0.38600000000000001</v>
      </c>
      <c r="H156">
        <v>1.4</v>
      </c>
      <c r="I156">
        <v>0.9</v>
      </c>
      <c r="J156">
        <v>0.81799999999999995</v>
      </c>
      <c r="K156">
        <v>4</v>
      </c>
      <c r="L156">
        <v>1.5</v>
      </c>
      <c r="M156">
        <v>0.7</v>
      </c>
      <c r="N156">
        <v>0.8</v>
      </c>
      <c r="O156">
        <v>1.3</v>
      </c>
      <c r="P156">
        <v>9.5</v>
      </c>
      <c r="Q156" s="19">
        <f>(G156 - AVERAGE(FG_Range))*F156</f>
        <v>-0.69428478260869486</v>
      </c>
      <c r="R156" s="19">
        <f>(J156 - AVERAGE(FT_RANGE))*I156</f>
        <v>3.5193913043478166E-2</v>
      </c>
      <c r="S156" s="19">
        <f>(H156 - AVERAGE(Three_Range))/STDEV(Three_Range)</f>
        <v>-0.14321413230177851</v>
      </c>
      <c r="T156" s="19">
        <f>(P156 - AVERAGE(Pts_Range))/STDEV(Pts_Range)</f>
        <v>-0.73374051788206496</v>
      </c>
      <c r="U156" s="19">
        <f>(K156 - AVERAGE(Reb_Range))/STDEV(Reb_Range)</f>
        <v>-0.43446988949350951</v>
      </c>
      <c r="V156" s="19">
        <f>(L156 - AVERAGE(Ast_Range))/STDEV(Ast_Range)</f>
        <v>-0.78092779578431204</v>
      </c>
      <c r="W156" s="19">
        <f>(M156 - AVERAGE(Stl_Range))/STDEV(Stl_Range)</f>
        <v>-0.53524974030117922</v>
      </c>
      <c r="X156" s="19">
        <f>(N156 - AVERAGE(Blk_Range))/STDEV(Blk_Range)</f>
        <v>0.52052618011598617</v>
      </c>
      <c r="Y156" s="19">
        <f>(O156 - AVERAGE(Tov_Range))/STDEV(Tov_Range)*-1</f>
        <v>0.4566858228943958</v>
      </c>
      <c r="Z156" s="19">
        <f t="shared" si="2"/>
        <v>-2.3094809423176792</v>
      </c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</row>
    <row r="157" spans="1:40" x14ac:dyDescent="0.55000000000000004">
      <c r="A157" t="s">
        <v>346</v>
      </c>
      <c r="B157" t="s">
        <v>47</v>
      </c>
      <c r="C157" t="s">
        <v>63</v>
      </c>
      <c r="D157">
        <v>65</v>
      </c>
      <c r="E157">
        <v>21.6</v>
      </c>
      <c r="F157">
        <v>7.4</v>
      </c>
      <c r="G157">
        <v>0.45900000000000002</v>
      </c>
      <c r="H157">
        <v>0.8</v>
      </c>
      <c r="I157">
        <v>1</v>
      </c>
      <c r="J157">
        <v>0.82299999999999995</v>
      </c>
      <c r="K157">
        <v>1.7</v>
      </c>
      <c r="L157">
        <v>3.5</v>
      </c>
      <c r="M157">
        <v>0.8</v>
      </c>
      <c r="N157">
        <v>0.2</v>
      </c>
      <c r="O157">
        <v>0.7</v>
      </c>
      <c r="P157">
        <v>8.4</v>
      </c>
      <c r="Q157" s="19">
        <f>(G157 - AVERAGE(FG_Range))*F157</f>
        <v>-6.1130434782535881E-4</v>
      </c>
      <c r="R157" s="19">
        <f>(J157 - AVERAGE(FT_RANGE))*I157</f>
        <v>4.4104347826086854E-2</v>
      </c>
      <c r="S157" s="19">
        <f>(H157 - AVERAGE(Three_Range))/STDEV(Three_Range)</f>
        <v>-0.8086535349161047</v>
      </c>
      <c r="T157" s="19">
        <f>(P157 - AVERAGE(Pts_Range))/STDEV(Pts_Range)</f>
        <v>-0.91893240836905843</v>
      </c>
      <c r="U157" s="19">
        <f>(K157 - AVERAGE(Reb_Range))/STDEV(Reb_Range)</f>
        <v>-1.3508756771413051</v>
      </c>
      <c r="V157" s="19">
        <f>(L157 - AVERAGE(Ast_Range))/STDEV(Ast_Range)</f>
        <v>0.22474629733098245</v>
      </c>
      <c r="W157" s="19">
        <f>(M157 - AVERAGE(Stl_Range))/STDEV(Stl_Range)</f>
        <v>-0.26527728357032115</v>
      </c>
      <c r="X157" s="19">
        <f>(N157 - AVERAGE(Blk_Range))/STDEV(Blk_Range)</f>
        <v>-0.66483046767289355</v>
      </c>
      <c r="Y157" s="19">
        <f>(O157 - AVERAGE(Tov_Range))/STDEV(Tov_Range)*-1</f>
        <v>1.1477235812214419</v>
      </c>
      <c r="Z157" s="19">
        <f t="shared" si="2"/>
        <v>-2.5926064496389971</v>
      </c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</row>
    <row r="158" spans="1:40" x14ac:dyDescent="0.55000000000000004">
      <c r="A158" t="s">
        <v>491</v>
      </c>
      <c r="B158" t="s">
        <v>25</v>
      </c>
      <c r="C158" t="s">
        <v>96</v>
      </c>
      <c r="D158">
        <v>7</v>
      </c>
      <c r="E158">
        <v>29.1</v>
      </c>
      <c r="F158">
        <v>9.6</v>
      </c>
      <c r="G158">
        <v>0.38800000000000001</v>
      </c>
      <c r="H158">
        <v>2.2999999999999998</v>
      </c>
      <c r="I158">
        <v>1.7</v>
      </c>
      <c r="J158">
        <v>0.75</v>
      </c>
      <c r="K158">
        <v>3.3</v>
      </c>
      <c r="L158">
        <v>1.1000000000000001</v>
      </c>
      <c r="M158">
        <v>0.3</v>
      </c>
      <c r="N158">
        <v>0.1</v>
      </c>
      <c r="O158">
        <v>0.7</v>
      </c>
      <c r="P158">
        <v>11</v>
      </c>
      <c r="Q158" s="19">
        <f>(G158 - AVERAGE(FG_Range))*F158</f>
        <v>-0.68239304347826002</v>
      </c>
      <c r="R158" s="19">
        <f>(J158 - AVERAGE(FT_RANGE))*I158</f>
        <v>-4.912260869565227E-2</v>
      </c>
      <c r="S158" s="19">
        <f>(H158 - AVERAGE(Three_Range))/STDEV(Three_Range)</f>
        <v>0.85494497161971084</v>
      </c>
      <c r="T158" s="19">
        <f>(P158 - AVERAGE(Pts_Range))/STDEV(Pts_Range)</f>
        <v>-0.48120612176343736</v>
      </c>
      <c r="U158" s="19">
        <f>(K158 - AVERAGE(Reb_Range))/STDEV(Reb_Range)</f>
        <v>-0.71337599877762126</v>
      </c>
      <c r="V158" s="19">
        <f>(L158 - AVERAGE(Ast_Range))/STDEV(Ast_Range)</f>
        <v>-0.98206261440737086</v>
      </c>
      <c r="W158" s="19">
        <f>(M158 - AVERAGE(Stl_Range))/STDEV(Stl_Range)</f>
        <v>-1.6151395672246103</v>
      </c>
      <c r="X158" s="19">
        <f>(N158 - AVERAGE(Blk_Range))/STDEV(Blk_Range)</f>
        <v>-0.86238990897104029</v>
      </c>
      <c r="Y158" s="19">
        <f>(O158 - AVERAGE(Tov_Range))/STDEV(Tov_Range)*-1</f>
        <v>1.1477235812214419</v>
      </c>
      <c r="Z158" s="19">
        <f t="shared" si="2"/>
        <v>-3.3830213104768392</v>
      </c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</row>
    <row r="159" spans="1:40" x14ac:dyDescent="0.55000000000000004">
      <c r="A159" t="s">
        <v>349</v>
      </c>
      <c r="B159" t="s">
        <v>47</v>
      </c>
      <c r="C159" t="s">
        <v>23</v>
      </c>
      <c r="D159">
        <v>58</v>
      </c>
      <c r="E159">
        <v>24.9</v>
      </c>
      <c r="F159">
        <v>9.3000000000000007</v>
      </c>
      <c r="G159">
        <v>0.47499999999999998</v>
      </c>
      <c r="H159">
        <v>0.6</v>
      </c>
      <c r="I159">
        <v>1.6</v>
      </c>
      <c r="J159">
        <v>0.79800000000000004</v>
      </c>
      <c r="K159">
        <v>5.8</v>
      </c>
      <c r="L159">
        <v>4.0999999999999996</v>
      </c>
      <c r="M159">
        <v>1.7</v>
      </c>
      <c r="N159">
        <v>0.3</v>
      </c>
      <c r="O159">
        <v>1.9</v>
      </c>
      <c r="P159">
        <v>10.7</v>
      </c>
      <c r="Q159" s="19">
        <f>(G159 - AVERAGE(FG_Range))*F159</f>
        <v>0.14803173913043532</v>
      </c>
      <c r="R159" s="19">
        <f>(J159 - AVERAGE(FT_RANGE))*I159</f>
        <v>3.056695652173911E-2</v>
      </c>
      <c r="S159" s="19">
        <f>(H159 - AVERAGE(Three_Range))/STDEV(Three_Range)</f>
        <v>-1.0304666691208801</v>
      </c>
      <c r="T159" s="19">
        <f>(P159 - AVERAGE(Pts_Range))/STDEV(Pts_Range)</f>
        <v>-0.53171300098716301</v>
      </c>
      <c r="U159" s="19">
        <f>(K159 - AVERAGE(Reb_Range))/STDEV(Reb_Range)</f>
        <v>0.28271724866563486</v>
      </c>
      <c r="V159" s="19">
        <f>(L159 - AVERAGE(Ast_Range))/STDEV(Ast_Range)</f>
        <v>0.52644852526557062</v>
      </c>
      <c r="W159" s="19">
        <f>(M159 - AVERAGE(Stl_Range))/STDEV(Stl_Range)</f>
        <v>2.1644748270073988</v>
      </c>
      <c r="X159" s="19">
        <f>(N159 - AVERAGE(Blk_Range))/STDEV(Blk_Range)</f>
        <v>-0.46727102637474699</v>
      </c>
      <c r="Y159" s="19">
        <f>(O159 - AVERAGE(Tov_Range))/STDEV(Tov_Range)*-1</f>
        <v>-0.23435193543264998</v>
      </c>
      <c r="Z159" s="19">
        <f t="shared" si="2"/>
        <v>0.88843666467533855</v>
      </c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</row>
    <row r="160" spans="1:40" x14ac:dyDescent="0.55000000000000004">
      <c r="A160" t="s">
        <v>350</v>
      </c>
      <c r="B160" t="s">
        <v>47</v>
      </c>
      <c r="C160" t="s">
        <v>63</v>
      </c>
      <c r="D160">
        <v>55</v>
      </c>
      <c r="E160">
        <v>32.799999999999997</v>
      </c>
      <c r="F160">
        <v>15.4</v>
      </c>
      <c r="G160">
        <v>0.45500000000000002</v>
      </c>
      <c r="H160">
        <v>1.9</v>
      </c>
      <c r="I160">
        <v>3.2</v>
      </c>
      <c r="J160">
        <v>0.89300000000000002</v>
      </c>
      <c r="K160">
        <v>3.9</v>
      </c>
      <c r="L160">
        <v>4.8</v>
      </c>
      <c r="M160">
        <v>1.2</v>
      </c>
      <c r="N160">
        <v>0.3</v>
      </c>
      <c r="O160">
        <v>2.2999999999999998</v>
      </c>
      <c r="P160">
        <v>18.8</v>
      </c>
      <c r="Q160" s="19">
        <f>(G160 - AVERAGE(FG_Range))*F160</f>
        <v>-6.287217391304202E-2</v>
      </c>
      <c r="R160" s="19">
        <f>(J160 - AVERAGE(FT_RANGE))*I160</f>
        <v>0.36513391304347814</v>
      </c>
      <c r="S160" s="19">
        <f>(H160 - AVERAGE(Three_Range))/STDEV(Three_Range)</f>
        <v>0.41131870321016006</v>
      </c>
      <c r="T160" s="19">
        <f>(P160 - AVERAGE(Pts_Range))/STDEV(Pts_Range)</f>
        <v>0.8319727380534262</v>
      </c>
      <c r="U160" s="19">
        <f>(K160 - AVERAGE(Reb_Range))/STDEV(Reb_Range)</f>
        <v>-0.47431361939123978</v>
      </c>
      <c r="V160" s="19">
        <f>(L160 - AVERAGE(Ast_Range))/STDEV(Ast_Range)</f>
        <v>0.87843445785592378</v>
      </c>
      <c r="W160" s="19">
        <f>(M160 - AVERAGE(Stl_Range))/STDEV(Stl_Range)</f>
        <v>0.81461254335310984</v>
      </c>
      <c r="X160" s="19">
        <f>(N160 - AVERAGE(Blk_Range))/STDEV(Blk_Range)</f>
        <v>-0.46727102637474699</v>
      </c>
      <c r="Y160" s="19">
        <f>(O160 - AVERAGE(Tov_Range))/STDEV(Tov_Range)*-1</f>
        <v>-0.69504377431734721</v>
      </c>
      <c r="Z160" s="19">
        <f t="shared" si="2"/>
        <v>1.6019717615197218</v>
      </c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</row>
    <row r="161" spans="1:40" x14ac:dyDescent="0.55000000000000004">
      <c r="A161" t="s">
        <v>608</v>
      </c>
      <c r="B161" t="s">
        <v>35</v>
      </c>
      <c r="C161" t="s">
        <v>90</v>
      </c>
      <c r="D161">
        <v>56</v>
      </c>
      <c r="E161">
        <v>22.6</v>
      </c>
      <c r="F161">
        <v>7.2</v>
      </c>
      <c r="G161">
        <v>0.41</v>
      </c>
      <c r="H161">
        <v>2.1</v>
      </c>
      <c r="I161">
        <v>1.3</v>
      </c>
      <c r="J161">
        <v>0.81399999999999995</v>
      </c>
      <c r="K161">
        <v>1.9</v>
      </c>
      <c r="L161">
        <v>1.9</v>
      </c>
      <c r="M161">
        <v>0.7</v>
      </c>
      <c r="N161">
        <v>0.1</v>
      </c>
      <c r="O161">
        <v>1.1000000000000001</v>
      </c>
      <c r="P161">
        <v>9</v>
      </c>
      <c r="Q161" s="19">
        <f>(G161 - AVERAGE(FG_Range))*F161</f>
        <v>-0.35339478260869528</v>
      </c>
      <c r="R161" s="19">
        <f>(J161 - AVERAGE(FT_RANGE))*I161</f>
        <v>4.5635652173912904E-2</v>
      </c>
      <c r="S161" s="19">
        <f>(H161 - AVERAGE(Three_Range))/STDEV(Three_Range)</f>
        <v>0.63313183741493573</v>
      </c>
      <c r="T161" s="19">
        <f>(P161 - AVERAGE(Pts_Range))/STDEV(Pts_Range)</f>
        <v>-0.81791864992160745</v>
      </c>
      <c r="U161" s="19">
        <f>(K161 - AVERAGE(Reb_Range))/STDEV(Reb_Range)</f>
        <v>-1.2711882173458446</v>
      </c>
      <c r="V161" s="19">
        <f>(L161 - AVERAGE(Ast_Range))/STDEV(Ast_Range)</f>
        <v>-0.57979297716125322</v>
      </c>
      <c r="W161" s="19">
        <f>(M161 - AVERAGE(Stl_Range))/STDEV(Stl_Range)</f>
        <v>-0.53524974030117922</v>
      </c>
      <c r="X161" s="19">
        <f>(N161 - AVERAGE(Blk_Range))/STDEV(Blk_Range)</f>
        <v>-0.86238990897104029</v>
      </c>
      <c r="Y161" s="19">
        <f>(O161 - AVERAGE(Tov_Range))/STDEV(Tov_Range)*-1</f>
        <v>0.68703174233674447</v>
      </c>
      <c r="Z161" s="19">
        <f t="shared" si="2"/>
        <v>-3.0541350443840276</v>
      </c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</row>
    <row r="162" spans="1:40" x14ac:dyDescent="0.55000000000000004">
      <c r="A162" t="s">
        <v>354</v>
      </c>
      <c r="B162" t="s">
        <v>47</v>
      </c>
      <c r="C162" t="s">
        <v>72</v>
      </c>
      <c r="D162">
        <v>15</v>
      </c>
      <c r="E162">
        <v>25.2</v>
      </c>
      <c r="F162">
        <v>8.6999999999999993</v>
      </c>
      <c r="G162">
        <v>0.43099999999999999</v>
      </c>
      <c r="H162">
        <v>1.6</v>
      </c>
      <c r="I162">
        <v>3.5</v>
      </c>
      <c r="J162">
        <v>0.83</v>
      </c>
      <c r="K162">
        <v>2.4</v>
      </c>
      <c r="L162">
        <v>4.4000000000000004</v>
      </c>
      <c r="M162">
        <v>1.7</v>
      </c>
      <c r="N162">
        <v>0.1</v>
      </c>
      <c r="O162">
        <v>2.2999999999999998</v>
      </c>
      <c r="P162">
        <v>12</v>
      </c>
      <c r="Q162" s="19">
        <f>(G162 - AVERAGE(FG_Range))*F162</f>
        <v>-0.24431869565217326</v>
      </c>
      <c r="R162" s="19">
        <f>(J162 - AVERAGE(FT_RANGE))*I162</f>
        <v>0.17886521739130401</v>
      </c>
      <c r="S162" s="19">
        <f>(H162 - AVERAGE(Three_Range))/STDEV(Three_Range)</f>
        <v>7.8599001902997123E-2</v>
      </c>
      <c r="T162" s="19">
        <f>(P162 - AVERAGE(Pts_Range))/STDEV(Pts_Range)</f>
        <v>-0.31284985768435231</v>
      </c>
      <c r="U162" s="19">
        <f>(K162 - AVERAGE(Reb_Range))/STDEV(Reb_Range)</f>
        <v>-1.0719695678571934</v>
      </c>
      <c r="V162" s="19">
        <f>(L162 - AVERAGE(Ast_Range))/STDEV(Ast_Range)</f>
        <v>0.67729963923286507</v>
      </c>
      <c r="W162" s="19">
        <f>(M162 - AVERAGE(Stl_Range))/STDEV(Stl_Range)</f>
        <v>2.1644748270073988</v>
      </c>
      <c r="X162" s="19">
        <f>(N162 - AVERAGE(Blk_Range))/STDEV(Blk_Range)</f>
        <v>-0.86238990897104029</v>
      </c>
      <c r="Y162" s="19">
        <f>(O162 - AVERAGE(Tov_Range))/STDEV(Tov_Range)*-1</f>
        <v>-0.69504377431734721</v>
      </c>
      <c r="Z162" s="19">
        <f t="shared" si="2"/>
        <v>-8.7333118947541477E-2</v>
      </c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</row>
    <row r="163" spans="1:40" x14ac:dyDescent="0.55000000000000004">
      <c r="A163" t="s">
        <v>358</v>
      </c>
      <c r="B163" t="s">
        <v>47</v>
      </c>
      <c r="C163" t="s">
        <v>32</v>
      </c>
      <c r="D163">
        <v>57</v>
      </c>
      <c r="E163">
        <v>20.8</v>
      </c>
      <c r="F163">
        <v>5.8</v>
      </c>
      <c r="G163">
        <v>0.39300000000000002</v>
      </c>
      <c r="H163">
        <v>0.8</v>
      </c>
      <c r="I163">
        <v>1</v>
      </c>
      <c r="J163">
        <v>0.86399999999999999</v>
      </c>
      <c r="K163">
        <v>2.1</v>
      </c>
      <c r="L163">
        <v>3</v>
      </c>
      <c r="M163">
        <v>0.9</v>
      </c>
      <c r="N163">
        <v>0.3</v>
      </c>
      <c r="O163">
        <v>1.2</v>
      </c>
      <c r="P163">
        <v>6.3</v>
      </c>
      <c r="Q163" s="19">
        <f>(G163 - AVERAGE(FG_Range))*F163</f>
        <v>-0.38327913043478207</v>
      </c>
      <c r="R163" s="19">
        <f>(J163 - AVERAGE(FT_RANGE))*I163</f>
        <v>8.510434782608689E-2</v>
      </c>
      <c r="S163" s="19">
        <f>(H163 - AVERAGE(Three_Range))/STDEV(Three_Range)</f>
        <v>-0.8086535349161047</v>
      </c>
      <c r="T163" s="19">
        <f>(P163 - AVERAGE(Pts_Range))/STDEV(Pts_Range)</f>
        <v>-1.272480562935137</v>
      </c>
      <c r="U163" s="19">
        <f>(K163 - AVERAGE(Reb_Range))/STDEV(Reb_Range)</f>
        <v>-1.1915007575503842</v>
      </c>
      <c r="V163" s="19">
        <f>(L163 - AVERAGE(Ast_Range))/STDEV(Ast_Range)</f>
        <v>-2.6672225947841181E-2</v>
      </c>
      <c r="W163" s="19">
        <f>(M163 - AVERAGE(Stl_Range))/STDEV(Stl_Range)</f>
        <v>4.6951731605365706E-3</v>
      </c>
      <c r="X163" s="19">
        <f>(N163 - AVERAGE(Blk_Range))/STDEV(Blk_Range)</f>
        <v>-0.46727102637474699</v>
      </c>
      <c r="Y163" s="19">
        <f>(O163 - AVERAGE(Tov_Range))/STDEV(Tov_Range)*-1</f>
        <v>0.57185878261557022</v>
      </c>
      <c r="Z163" s="19">
        <f t="shared" si="2"/>
        <v>-3.4881989345568023</v>
      </c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</row>
    <row r="164" spans="1:40" x14ac:dyDescent="0.55000000000000004">
      <c r="A164" t="s">
        <v>359</v>
      </c>
      <c r="B164" t="s">
        <v>25</v>
      </c>
      <c r="C164" t="s">
        <v>21</v>
      </c>
      <c r="D164">
        <v>62</v>
      </c>
      <c r="E164">
        <v>29.8</v>
      </c>
      <c r="F164">
        <v>13.7</v>
      </c>
      <c r="G164">
        <v>0.44800000000000001</v>
      </c>
      <c r="H164">
        <v>2.1</v>
      </c>
      <c r="I164">
        <v>1.5</v>
      </c>
      <c r="J164">
        <v>0.83699999999999997</v>
      </c>
      <c r="K164">
        <v>2.7</v>
      </c>
      <c r="L164">
        <v>3.4</v>
      </c>
      <c r="M164">
        <v>0.8</v>
      </c>
      <c r="N164">
        <v>0.2</v>
      </c>
      <c r="O164">
        <v>1.6</v>
      </c>
      <c r="P164">
        <v>15.6</v>
      </c>
      <c r="Q164" s="19">
        <f>(G164 - AVERAGE(FG_Range))*F164</f>
        <v>-0.15183173913043357</v>
      </c>
      <c r="R164" s="19">
        <f>(J164 - AVERAGE(FT_RANGE))*I164</f>
        <v>8.7156521739130299E-2</v>
      </c>
      <c r="S164" s="19">
        <f>(H164 - AVERAGE(Three_Range))/STDEV(Three_Range)</f>
        <v>0.63313183741493573</v>
      </c>
      <c r="T164" s="19">
        <f>(P164 - AVERAGE(Pts_Range))/STDEV(Pts_Range)</f>
        <v>0.29323269300035382</v>
      </c>
      <c r="U164" s="19">
        <f>(K164 - AVERAGE(Reb_Range))/STDEV(Reb_Range)</f>
        <v>-0.95243837816400267</v>
      </c>
      <c r="V164" s="19">
        <f>(L164 - AVERAGE(Ast_Range))/STDEV(Ast_Range)</f>
        <v>0.17446259267521766</v>
      </c>
      <c r="W164" s="19">
        <f>(M164 - AVERAGE(Stl_Range))/STDEV(Stl_Range)</f>
        <v>-0.26527728357032115</v>
      </c>
      <c r="X164" s="19">
        <f>(N164 - AVERAGE(Blk_Range))/STDEV(Blk_Range)</f>
        <v>-0.66483046767289355</v>
      </c>
      <c r="Y164" s="19">
        <f>(O164 - AVERAGE(Tov_Range))/STDEV(Tov_Range)*-1</f>
        <v>0.11116694373087278</v>
      </c>
      <c r="Z164" s="19">
        <f t="shared" si="2"/>
        <v>-0.73522727997714066</v>
      </c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</row>
    <row r="165" spans="1:40" x14ac:dyDescent="0.55000000000000004">
      <c r="A165" t="s">
        <v>360</v>
      </c>
      <c r="B165" t="s">
        <v>15</v>
      </c>
      <c r="C165" t="s">
        <v>87</v>
      </c>
      <c r="D165">
        <v>64</v>
      </c>
      <c r="E165">
        <v>29.1</v>
      </c>
      <c r="F165">
        <v>5</v>
      </c>
      <c r="G165">
        <v>0.439</v>
      </c>
      <c r="H165">
        <v>1.3</v>
      </c>
      <c r="I165">
        <v>0.8</v>
      </c>
      <c r="J165">
        <v>0.73499999999999999</v>
      </c>
      <c r="K165">
        <v>5.3</v>
      </c>
      <c r="L165">
        <v>2.5</v>
      </c>
      <c r="M165">
        <v>0.7</v>
      </c>
      <c r="N165">
        <v>0.4</v>
      </c>
      <c r="O165">
        <v>0.8</v>
      </c>
      <c r="P165">
        <v>6.3</v>
      </c>
      <c r="Q165" s="19">
        <f>(G165 - AVERAGE(FG_Range))*F165</f>
        <v>-0.10041304347826047</v>
      </c>
      <c r="R165" s="19">
        <f>(J165 - AVERAGE(FT_RANGE))*I165</f>
        <v>-3.5116521739130491E-2</v>
      </c>
      <c r="S165" s="19">
        <f>(H165 - AVERAGE(Three_Range))/STDEV(Three_Range)</f>
        <v>-0.25412069940416609</v>
      </c>
      <c r="T165" s="19">
        <f>(P165 - AVERAGE(Pts_Range))/STDEV(Pts_Range)</f>
        <v>-1.272480562935137</v>
      </c>
      <c r="U165" s="19">
        <f>(K165 - AVERAGE(Reb_Range))/STDEV(Reb_Range)</f>
        <v>8.3498599176983643E-2</v>
      </c>
      <c r="V165" s="19">
        <f>(L165 - AVERAGE(Ast_Range))/STDEV(Ast_Range)</f>
        <v>-0.27809074922666477</v>
      </c>
      <c r="W165" s="19">
        <f>(M165 - AVERAGE(Stl_Range))/STDEV(Stl_Range)</f>
        <v>-0.53524974030117922</v>
      </c>
      <c r="X165" s="19">
        <f>(N165 - AVERAGE(Blk_Range))/STDEV(Blk_Range)</f>
        <v>-0.26971158507660031</v>
      </c>
      <c r="Y165" s="19">
        <f>(O165 - AVERAGE(Tov_Range))/STDEV(Tov_Range)*-1</f>
        <v>1.0325506215002676</v>
      </c>
      <c r="Z165" s="19">
        <f t="shared" si="2"/>
        <v>-1.6291336814838877</v>
      </c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</row>
    <row r="166" spans="1:40" x14ac:dyDescent="0.55000000000000004">
      <c r="A166" t="s">
        <v>365</v>
      </c>
      <c r="B166" t="s">
        <v>25</v>
      </c>
      <c r="C166" t="s">
        <v>65</v>
      </c>
      <c r="D166">
        <v>62</v>
      </c>
      <c r="E166">
        <v>25</v>
      </c>
      <c r="F166">
        <v>6.4</v>
      </c>
      <c r="G166">
        <v>0.42699999999999999</v>
      </c>
      <c r="H166">
        <v>0.7</v>
      </c>
      <c r="I166">
        <v>3.1</v>
      </c>
      <c r="J166">
        <v>0.79600000000000004</v>
      </c>
      <c r="K166">
        <v>4.3</v>
      </c>
      <c r="L166">
        <v>1.6</v>
      </c>
      <c r="M166">
        <v>1.1000000000000001</v>
      </c>
      <c r="N166">
        <v>0.4</v>
      </c>
      <c r="O166">
        <v>1.4</v>
      </c>
      <c r="P166">
        <v>8.6</v>
      </c>
      <c r="Q166" s="19">
        <f>(G166 - AVERAGE(FG_Range))*F166</f>
        <v>-0.20532869565217349</v>
      </c>
      <c r="R166" s="19">
        <f>(J166 - AVERAGE(FT_RANGE))*I166</f>
        <v>5.3023478260869519E-2</v>
      </c>
      <c r="S166" s="19">
        <f>(H166 - AVERAGE(Three_Range))/STDEV(Three_Range)</f>
        <v>-0.91956010201849248</v>
      </c>
      <c r="T166" s="19">
        <f>(P166 - AVERAGE(Pts_Range))/STDEV(Pts_Range)</f>
        <v>-0.88526115555324147</v>
      </c>
      <c r="U166" s="19">
        <f>(K166 - AVERAGE(Reb_Range))/STDEV(Reb_Range)</f>
        <v>-0.3149386998003188</v>
      </c>
      <c r="V166" s="19">
        <f>(L166 - AVERAGE(Ast_Range))/STDEV(Ast_Range)</f>
        <v>-0.73064409112854722</v>
      </c>
      <c r="W166" s="19">
        <f>(M166 - AVERAGE(Stl_Range))/STDEV(Stl_Range)</f>
        <v>0.54464008662225238</v>
      </c>
      <c r="X166" s="19">
        <f>(N166 - AVERAGE(Blk_Range))/STDEV(Blk_Range)</f>
        <v>-0.26971158507660031</v>
      </c>
      <c r="Y166" s="19">
        <f>(O166 - AVERAGE(Tov_Range))/STDEV(Tov_Range)*-1</f>
        <v>0.34151286317322166</v>
      </c>
      <c r="Z166" s="19">
        <f t="shared" si="2"/>
        <v>-2.3862679011730306</v>
      </c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</row>
    <row r="167" spans="1:40" x14ac:dyDescent="0.55000000000000004">
      <c r="A167" t="s">
        <v>480</v>
      </c>
      <c r="B167" t="s">
        <v>25</v>
      </c>
      <c r="C167" t="s">
        <v>83</v>
      </c>
      <c r="D167">
        <v>13</v>
      </c>
      <c r="E167">
        <v>25.9</v>
      </c>
      <c r="F167">
        <v>12.4</v>
      </c>
      <c r="G167">
        <v>0.39100000000000001</v>
      </c>
      <c r="H167">
        <v>1.6</v>
      </c>
      <c r="I167">
        <v>3.2</v>
      </c>
      <c r="J167">
        <v>0.78</v>
      </c>
      <c r="K167">
        <v>3.2</v>
      </c>
      <c r="L167">
        <v>3</v>
      </c>
      <c r="M167">
        <v>0.8</v>
      </c>
      <c r="N167">
        <v>0.2</v>
      </c>
      <c r="O167">
        <v>2.2000000000000002</v>
      </c>
      <c r="P167">
        <v>13.8</v>
      </c>
      <c r="Q167" s="19">
        <f>(G167 - AVERAGE(FG_Range))*F167</f>
        <v>-0.8442243478260858</v>
      </c>
      <c r="R167" s="19">
        <f>(J167 - AVERAGE(FT_RANGE))*I167</f>
        <v>3.5339130434781652E-3</v>
      </c>
      <c r="S167" s="19">
        <f>(H167 - AVERAGE(Three_Range))/STDEV(Three_Range)</f>
        <v>7.8599001902997123E-2</v>
      </c>
      <c r="T167" s="19">
        <f>(P167 - AVERAGE(Pts_Range))/STDEV(Pts_Range)</f>
        <v>-9.8085823419990885E-3</v>
      </c>
      <c r="U167" s="19">
        <f>(K167 - AVERAGE(Reb_Range))/STDEV(Reb_Range)</f>
        <v>-0.75321972867535136</v>
      </c>
      <c r="V167" s="19">
        <f>(L167 - AVERAGE(Ast_Range))/STDEV(Ast_Range)</f>
        <v>-2.6672225947841181E-2</v>
      </c>
      <c r="W167" s="19">
        <f>(M167 - AVERAGE(Stl_Range))/STDEV(Stl_Range)</f>
        <v>-0.26527728357032115</v>
      </c>
      <c r="X167" s="19">
        <f>(N167 - AVERAGE(Blk_Range))/STDEV(Blk_Range)</f>
        <v>-0.66483046767289355</v>
      </c>
      <c r="Y167" s="19">
        <f>(O167 - AVERAGE(Tov_Range))/STDEV(Tov_Range)*-1</f>
        <v>-0.57987081459617329</v>
      </c>
      <c r="Z167" s="19">
        <f t="shared" si="2"/>
        <v>-3.0617705356841904</v>
      </c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</row>
    <row r="168" spans="1:40" x14ac:dyDescent="0.55000000000000004">
      <c r="A168" t="s">
        <v>369</v>
      </c>
      <c r="B168" t="s">
        <v>35</v>
      </c>
      <c r="C168" t="s">
        <v>137</v>
      </c>
      <c r="D168">
        <v>65</v>
      </c>
      <c r="E168">
        <v>29.4</v>
      </c>
      <c r="F168">
        <v>9.4</v>
      </c>
      <c r="G168">
        <v>0.437</v>
      </c>
      <c r="H168">
        <v>1.9</v>
      </c>
      <c r="I168">
        <v>1.4</v>
      </c>
      <c r="J168">
        <v>0.67</v>
      </c>
      <c r="K168">
        <v>3.6</v>
      </c>
      <c r="L168">
        <v>2.4</v>
      </c>
      <c r="M168">
        <v>0.8</v>
      </c>
      <c r="N168">
        <v>0.2</v>
      </c>
      <c r="O168">
        <v>1.4</v>
      </c>
      <c r="P168">
        <v>11</v>
      </c>
      <c r="Q168" s="19">
        <f>(G168 - AVERAGE(FG_Range))*F168</f>
        <v>-0.20757652173912969</v>
      </c>
      <c r="R168" s="19">
        <f>(J168 - AVERAGE(FT_RANGE))*I168</f>
        <v>-0.15245391304347827</v>
      </c>
      <c r="S168" s="19">
        <f>(H168 - AVERAGE(Three_Range))/STDEV(Three_Range)</f>
        <v>0.41131870321016006</v>
      </c>
      <c r="T168" s="19">
        <f>(P168 - AVERAGE(Pts_Range))/STDEV(Pts_Range)</f>
        <v>-0.48120612176343736</v>
      </c>
      <c r="U168" s="19">
        <f>(K168 - AVERAGE(Reb_Range))/STDEV(Reb_Range)</f>
        <v>-0.59384480908443049</v>
      </c>
      <c r="V168" s="19">
        <f>(L168 - AVERAGE(Ast_Range))/STDEV(Ast_Range)</f>
        <v>-0.32837445388242958</v>
      </c>
      <c r="W168" s="19">
        <f>(M168 - AVERAGE(Stl_Range))/STDEV(Stl_Range)</f>
        <v>-0.26527728357032115</v>
      </c>
      <c r="X168" s="19">
        <f>(N168 - AVERAGE(Blk_Range))/STDEV(Blk_Range)</f>
        <v>-0.66483046767289355</v>
      </c>
      <c r="Y168" s="19">
        <f>(O168 - AVERAGE(Tov_Range))/STDEV(Tov_Range)*-1</f>
        <v>0.34151286317322166</v>
      </c>
      <c r="Z168" s="19">
        <f t="shared" si="2"/>
        <v>-1.9407320043727383</v>
      </c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</row>
    <row r="169" spans="1:40" x14ac:dyDescent="0.55000000000000004">
      <c r="A169" t="s">
        <v>372</v>
      </c>
      <c r="B169" t="s">
        <v>15</v>
      </c>
      <c r="C169" t="s">
        <v>96</v>
      </c>
      <c r="D169">
        <v>60</v>
      </c>
      <c r="E169">
        <v>27.6</v>
      </c>
      <c r="F169">
        <v>10.7</v>
      </c>
      <c r="G169">
        <v>0.497</v>
      </c>
      <c r="H169">
        <v>0.6</v>
      </c>
      <c r="I169">
        <v>3.5</v>
      </c>
      <c r="J169">
        <v>0.77400000000000002</v>
      </c>
      <c r="K169">
        <v>4.5999999999999996</v>
      </c>
      <c r="L169">
        <v>2.1</v>
      </c>
      <c r="M169">
        <v>0.5</v>
      </c>
      <c r="N169">
        <v>0.2</v>
      </c>
      <c r="O169">
        <v>1.6</v>
      </c>
      <c r="P169">
        <v>14</v>
      </c>
      <c r="Q169" s="19">
        <f>(G169 - AVERAGE(FG_Range))*F169</f>
        <v>0.40571608695652256</v>
      </c>
      <c r="R169" s="19">
        <f>(J169 - AVERAGE(FT_RANGE))*I169</f>
        <v>-1.7134782608695776E-2</v>
      </c>
      <c r="S169" s="19">
        <f>(H169 - AVERAGE(Three_Range))/STDEV(Three_Range)</f>
        <v>-1.0304666691208801</v>
      </c>
      <c r="T169" s="19">
        <f>(P169 - AVERAGE(Pts_Range))/STDEV(Pts_Range)</f>
        <v>2.3862670473817803E-2</v>
      </c>
      <c r="U169" s="19">
        <f>(K169 - AVERAGE(Reb_Range))/STDEV(Reb_Range)</f>
        <v>-0.19540751010712815</v>
      </c>
      <c r="V169" s="19">
        <f>(L169 - AVERAGE(Ast_Range))/STDEV(Ast_Range)</f>
        <v>-0.47922556784972364</v>
      </c>
      <c r="W169" s="19">
        <f>(M169 - AVERAGE(Stl_Range))/STDEV(Stl_Range)</f>
        <v>-1.0751946537628947</v>
      </c>
      <c r="X169" s="19">
        <f>(N169 - AVERAGE(Blk_Range))/STDEV(Blk_Range)</f>
        <v>-0.66483046767289355</v>
      </c>
      <c r="Y169" s="19">
        <f>(O169 - AVERAGE(Tov_Range))/STDEV(Tov_Range)*-1</f>
        <v>0.11116694373087278</v>
      </c>
      <c r="Z169" s="19">
        <f t="shared" si="2"/>
        <v>-2.9215139499610028</v>
      </c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</row>
    <row r="170" spans="1:40" x14ac:dyDescent="0.55000000000000004">
      <c r="A170" t="s">
        <v>374</v>
      </c>
      <c r="B170" t="s">
        <v>47</v>
      </c>
      <c r="C170" t="s">
        <v>19</v>
      </c>
      <c r="D170">
        <v>63</v>
      </c>
      <c r="E170">
        <v>31.8</v>
      </c>
      <c r="F170">
        <v>12.8</v>
      </c>
      <c r="G170">
        <v>0.48899999999999999</v>
      </c>
      <c r="H170">
        <v>1.6</v>
      </c>
      <c r="I170">
        <v>4</v>
      </c>
      <c r="J170">
        <v>0.9</v>
      </c>
      <c r="K170">
        <v>4.9000000000000004</v>
      </c>
      <c r="L170">
        <v>6.8</v>
      </c>
      <c r="M170">
        <v>1.6</v>
      </c>
      <c r="N170">
        <v>0.1</v>
      </c>
      <c r="O170">
        <v>2.2000000000000002</v>
      </c>
      <c r="P170">
        <v>17.7</v>
      </c>
      <c r="Q170" s="19">
        <f>(G170 - AVERAGE(FG_Range))*F170</f>
        <v>0.38294260869565311</v>
      </c>
      <c r="R170" s="19">
        <f>(J170 - AVERAGE(FT_RANGE))*I170</f>
        <v>0.48441739130434769</v>
      </c>
      <c r="S170" s="19">
        <f>(H170 - AVERAGE(Three_Range))/STDEV(Three_Range)</f>
        <v>7.8599001902997123E-2</v>
      </c>
      <c r="T170" s="19">
        <f>(P170 - AVERAGE(Pts_Range))/STDEV(Pts_Range)</f>
        <v>0.64678084756643239</v>
      </c>
      <c r="U170" s="19">
        <f>(K170 - AVERAGE(Reb_Range))/STDEV(Reb_Range)</f>
        <v>-7.5876320413937132E-2</v>
      </c>
      <c r="V170" s="19">
        <f>(L170 - AVERAGE(Ast_Range))/STDEV(Ast_Range)</f>
        <v>1.8841085509712183</v>
      </c>
      <c r="W170" s="19">
        <f>(M170 - AVERAGE(Stl_Range))/STDEV(Stl_Range)</f>
        <v>1.8945023702765413</v>
      </c>
      <c r="X170" s="19">
        <f>(N170 - AVERAGE(Blk_Range))/STDEV(Blk_Range)</f>
        <v>-0.86238990897104029</v>
      </c>
      <c r="Y170" s="19">
        <f>(O170 - AVERAGE(Tov_Range))/STDEV(Tov_Range)*-1</f>
        <v>-0.57987081459617329</v>
      </c>
      <c r="Z170" s="19">
        <f t="shared" si="2"/>
        <v>3.8532137267360396</v>
      </c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</row>
    <row r="171" spans="1:40" x14ac:dyDescent="0.55000000000000004">
      <c r="A171" t="s">
        <v>375</v>
      </c>
      <c r="B171" t="s">
        <v>47</v>
      </c>
      <c r="C171" t="s">
        <v>32</v>
      </c>
      <c r="D171">
        <v>45</v>
      </c>
      <c r="E171">
        <v>27.7</v>
      </c>
      <c r="F171">
        <v>9.8000000000000007</v>
      </c>
      <c r="G171">
        <v>0.439</v>
      </c>
      <c r="H171">
        <v>0.3</v>
      </c>
      <c r="I171">
        <v>1.9</v>
      </c>
      <c r="J171">
        <v>0.56999999999999995</v>
      </c>
      <c r="K171">
        <v>4.7</v>
      </c>
      <c r="L171">
        <v>7.2</v>
      </c>
      <c r="M171">
        <v>1.6</v>
      </c>
      <c r="N171">
        <v>0.4</v>
      </c>
      <c r="O171">
        <v>2.1</v>
      </c>
      <c r="P171">
        <v>10</v>
      </c>
      <c r="Q171" s="19">
        <f>(G171 - AVERAGE(FG_Range))*F171</f>
        <v>-0.19680956521739054</v>
      </c>
      <c r="R171" s="19">
        <f>(J171 - AVERAGE(FT_RANGE))*I171</f>
        <v>-0.39690173913043497</v>
      </c>
      <c r="S171" s="19">
        <f>(H171 - AVERAGE(Three_Range))/STDEV(Three_Range)</f>
        <v>-1.3631863704280434</v>
      </c>
      <c r="T171" s="19">
        <f>(P171 - AVERAGE(Pts_Range))/STDEV(Pts_Range)</f>
        <v>-0.64956238584252235</v>
      </c>
      <c r="U171" s="19">
        <f>(K171 - AVERAGE(Reb_Range))/STDEV(Reb_Range)</f>
        <v>-0.15556378020939771</v>
      </c>
      <c r="V171" s="19">
        <f>(L171 - AVERAGE(Ast_Range))/STDEV(Ast_Range)</f>
        <v>2.0852433695942776</v>
      </c>
      <c r="W171" s="19">
        <f>(M171 - AVERAGE(Stl_Range))/STDEV(Stl_Range)</f>
        <v>1.8945023702765413</v>
      </c>
      <c r="X171" s="19">
        <f>(N171 - AVERAGE(Blk_Range))/STDEV(Blk_Range)</f>
        <v>-0.26971158507660031</v>
      </c>
      <c r="Y171" s="19">
        <f>(O171 - AVERAGE(Tov_Range))/STDEV(Tov_Range)*-1</f>
        <v>-0.46469785487499882</v>
      </c>
      <c r="Z171" s="19">
        <f t="shared" si="2"/>
        <v>0.4833124590914305</v>
      </c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</row>
    <row r="172" spans="1:40" x14ac:dyDescent="0.55000000000000004">
      <c r="A172" t="s">
        <v>381</v>
      </c>
      <c r="B172" t="s">
        <v>25</v>
      </c>
      <c r="C172" t="s">
        <v>96</v>
      </c>
      <c r="D172">
        <v>57</v>
      </c>
      <c r="E172">
        <v>22.4</v>
      </c>
      <c r="F172">
        <v>8.8000000000000007</v>
      </c>
      <c r="G172">
        <v>0.33300000000000002</v>
      </c>
      <c r="H172">
        <v>1.3</v>
      </c>
      <c r="I172">
        <v>2.1</v>
      </c>
      <c r="J172">
        <v>0.79800000000000004</v>
      </c>
      <c r="K172">
        <v>2.1</v>
      </c>
      <c r="L172">
        <v>2.4</v>
      </c>
      <c r="M172">
        <v>0.6</v>
      </c>
      <c r="N172">
        <v>0.2</v>
      </c>
      <c r="O172">
        <v>1.3</v>
      </c>
      <c r="P172">
        <v>8.8000000000000007</v>
      </c>
      <c r="Q172" s="19">
        <f>(G172 - AVERAGE(FG_Range))*F172</f>
        <v>-1.1095269565217383</v>
      </c>
      <c r="R172" s="19">
        <f>(J172 - AVERAGE(FT_RANGE))*I172</f>
        <v>4.0119130434782581E-2</v>
      </c>
      <c r="S172" s="19">
        <f>(H172 - AVERAGE(Three_Range))/STDEV(Three_Range)</f>
        <v>-0.25412069940416609</v>
      </c>
      <c r="T172" s="19">
        <f>(P172 - AVERAGE(Pts_Range))/STDEV(Pts_Range)</f>
        <v>-0.8515899027374243</v>
      </c>
      <c r="U172" s="19">
        <f>(K172 - AVERAGE(Reb_Range))/STDEV(Reb_Range)</f>
        <v>-1.1915007575503842</v>
      </c>
      <c r="V172" s="19">
        <f>(L172 - AVERAGE(Ast_Range))/STDEV(Ast_Range)</f>
        <v>-0.32837445388242958</v>
      </c>
      <c r="W172" s="19">
        <f>(M172 - AVERAGE(Stl_Range))/STDEV(Stl_Range)</f>
        <v>-0.80522219703203701</v>
      </c>
      <c r="X172" s="19">
        <f>(N172 - AVERAGE(Blk_Range))/STDEV(Blk_Range)</f>
        <v>-0.66483046767289355</v>
      </c>
      <c r="Y172" s="19">
        <f>(O172 - AVERAGE(Tov_Range))/STDEV(Tov_Range)*-1</f>
        <v>0.4566858228943958</v>
      </c>
      <c r="Z172" s="19">
        <f t="shared" si="2"/>
        <v>-4.7083604814718951</v>
      </c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</row>
    <row r="173" spans="1:40" x14ac:dyDescent="0.55000000000000004">
      <c r="A173" t="s">
        <v>384</v>
      </c>
      <c r="B173" t="s">
        <v>35</v>
      </c>
      <c r="C173" t="s">
        <v>48</v>
      </c>
      <c r="D173">
        <v>14</v>
      </c>
      <c r="E173">
        <v>23.6</v>
      </c>
      <c r="F173">
        <v>10</v>
      </c>
      <c r="G173">
        <v>0.443</v>
      </c>
      <c r="H173">
        <v>1.7</v>
      </c>
      <c r="I173">
        <v>1.9</v>
      </c>
      <c r="J173">
        <v>0.70399999999999996</v>
      </c>
      <c r="K173">
        <v>3.4</v>
      </c>
      <c r="L173">
        <v>1.8</v>
      </c>
      <c r="M173">
        <v>1.1000000000000001</v>
      </c>
      <c r="N173">
        <v>0.4</v>
      </c>
      <c r="O173">
        <v>0.8</v>
      </c>
      <c r="P173">
        <v>11.9</v>
      </c>
      <c r="Q173" s="19">
        <f>(G173 - AVERAGE(FG_Range))*F173</f>
        <v>-0.1608260869565209</v>
      </c>
      <c r="R173" s="19">
        <f>(J173 - AVERAGE(FT_RANGE))*I173</f>
        <v>-0.14230173913043495</v>
      </c>
      <c r="S173" s="19">
        <f>(H173 - AVERAGE(Three_Range))/STDEV(Three_Range)</f>
        <v>0.18950556900538468</v>
      </c>
      <c r="T173" s="19">
        <f>(P173 - AVERAGE(Pts_Range))/STDEV(Pts_Range)</f>
        <v>-0.32968548409226073</v>
      </c>
      <c r="U173" s="19">
        <f>(K173 - AVERAGE(Reb_Range))/STDEV(Reb_Range)</f>
        <v>-0.67353226887989104</v>
      </c>
      <c r="V173" s="19">
        <f>(L173 - AVERAGE(Ast_Range))/STDEV(Ast_Range)</f>
        <v>-0.63007668181701781</v>
      </c>
      <c r="W173" s="19">
        <f>(M173 - AVERAGE(Stl_Range))/STDEV(Stl_Range)</f>
        <v>0.54464008662225238</v>
      </c>
      <c r="X173" s="19">
        <f>(N173 - AVERAGE(Blk_Range))/STDEV(Blk_Range)</f>
        <v>-0.26971158507660031</v>
      </c>
      <c r="Y173" s="19">
        <f>(O173 - AVERAGE(Tov_Range))/STDEV(Tov_Range)*-1</f>
        <v>1.0325506215002676</v>
      </c>
      <c r="Z173" s="19">
        <f t="shared" si="2"/>
        <v>-0.43943756882482132</v>
      </c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</row>
    <row r="174" spans="1:40" x14ac:dyDescent="0.55000000000000004">
      <c r="A174" t="s">
        <v>385</v>
      </c>
      <c r="B174" t="s">
        <v>18</v>
      </c>
      <c r="C174" t="s">
        <v>32</v>
      </c>
      <c r="D174">
        <v>66</v>
      </c>
      <c r="E174">
        <v>21.1</v>
      </c>
      <c r="F174">
        <v>8.9</v>
      </c>
      <c r="G174">
        <v>0.45</v>
      </c>
      <c r="H174">
        <v>1</v>
      </c>
      <c r="I174">
        <v>1.4</v>
      </c>
      <c r="J174">
        <v>0.76300000000000001</v>
      </c>
      <c r="K174">
        <v>5.0999999999999996</v>
      </c>
      <c r="L174">
        <v>1.5</v>
      </c>
      <c r="M174">
        <v>0.5</v>
      </c>
      <c r="N174">
        <v>0.3</v>
      </c>
      <c r="O174">
        <v>1.1000000000000001</v>
      </c>
      <c r="P174">
        <v>10.1</v>
      </c>
      <c r="Q174" s="19">
        <f>(G174 - AVERAGE(FG_Range))*F174</f>
        <v>-8.0835217391303546E-2</v>
      </c>
      <c r="R174" s="19">
        <f>(J174 - AVERAGE(FT_RANGE))*I174</f>
        <v>-2.2253913043478322E-2</v>
      </c>
      <c r="S174" s="19">
        <f>(H174 - AVERAGE(Three_Range))/STDEV(Three_Range)</f>
        <v>-0.58684040071132926</v>
      </c>
      <c r="T174" s="19">
        <f>(P174 - AVERAGE(Pts_Range))/STDEV(Pts_Range)</f>
        <v>-0.63272675943461398</v>
      </c>
      <c r="U174" s="19">
        <f>(K174 - AVERAGE(Reb_Range))/STDEV(Reb_Range)</f>
        <v>3.8111393815230808E-3</v>
      </c>
      <c r="V174" s="19">
        <f>(L174 - AVERAGE(Ast_Range))/STDEV(Ast_Range)</f>
        <v>-0.78092779578431204</v>
      </c>
      <c r="W174" s="19">
        <f>(M174 - AVERAGE(Stl_Range))/STDEV(Stl_Range)</f>
        <v>-1.0751946537628947</v>
      </c>
      <c r="X174" s="19">
        <f>(N174 - AVERAGE(Blk_Range))/STDEV(Blk_Range)</f>
        <v>-0.46727102637474699</v>
      </c>
      <c r="Y174" s="19">
        <f>(O174 - AVERAGE(Tov_Range))/STDEV(Tov_Range)*-1</f>
        <v>0.68703174233674447</v>
      </c>
      <c r="Z174" s="19">
        <f t="shared" si="2"/>
        <v>-2.9552068847844115</v>
      </c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</row>
    <row r="175" spans="1:40" x14ac:dyDescent="0.55000000000000004">
      <c r="A175" t="s">
        <v>669</v>
      </c>
      <c r="B175" t="s">
        <v>15</v>
      </c>
      <c r="C175" t="s">
        <v>60</v>
      </c>
      <c r="D175">
        <v>51</v>
      </c>
      <c r="E175">
        <v>31.3</v>
      </c>
      <c r="F175">
        <v>15.8</v>
      </c>
      <c r="G175">
        <v>0.42</v>
      </c>
      <c r="H175">
        <v>2.5</v>
      </c>
      <c r="I175">
        <v>4.5</v>
      </c>
      <c r="J175">
        <v>0.77600000000000002</v>
      </c>
      <c r="K175">
        <v>9.5</v>
      </c>
      <c r="L175">
        <v>1.7</v>
      </c>
      <c r="M175">
        <v>0.7</v>
      </c>
      <c r="N175">
        <v>2.1</v>
      </c>
      <c r="O175">
        <v>1.6</v>
      </c>
      <c r="P175">
        <v>19.2</v>
      </c>
      <c r="Q175" s="19">
        <f>(G175 - AVERAGE(FG_Range))*F175</f>
        <v>-0.61750521739130337</v>
      </c>
      <c r="R175" s="19">
        <f>(J175 - AVERAGE(FT_RANGE))*I175</f>
        <v>-1.3030434782608846E-2</v>
      </c>
      <c r="S175" s="19">
        <f>(H175 - AVERAGE(Three_Range))/STDEV(Three_Range)</f>
        <v>1.0767581058244864</v>
      </c>
      <c r="T175" s="19">
        <f>(P175 - AVERAGE(Pts_Range))/STDEV(Pts_Range)</f>
        <v>0.89931524368505988</v>
      </c>
      <c r="U175" s="19">
        <f>(K175 - AVERAGE(Reb_Range))/STDEV(Reb_Range)</f>
        <v>1.7569352548816541</v>
      </c>
      <c r="V175" s="19">
        <f>(L175 - AVERAGE(Ast_Range))/STDEV(Ast_Range)</f>
        <v>-0.68036038647278263</v>
      </c>
      <c r="W175" s="19">
        <f>(M175 - AVERAGE(Stl_Range))/STDEV(Stl_Range)</f>
        <v>-0.53524974030117922</v>
      </c>
      <c r="X175" s="19">
        <f>(N175 - AVERAGE(Blk_Range))/STDEV(Blk_Range)</f>
        <v>3.0887989169918924</v>
      </c>
      <c r="Y175" s="19">
        <f>(O175 - AVERAGE(Tov_Range))/STDEV(Tov_Range)*-1</f>
        <v>0.11116694373087278</v>
      </c>
      <c r="Z175" s="19">
        <f t="shared" si="2"/>
        <v>5.0868286861660907</v>
      </c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</row>
    <row r="176" spans="1:40" x14ac:dyDescent="0.55000000000000004">
      <c r="A176" t="s">
        <v>386</v>
      </c>
      <c r="B176" t="s">
        <v>18</v>
      </c>
      <c r="C176" t="s">
        <v>60</v>
      </c>
      <c r="D176">
        <v>40</v>
      </c>
      <c r="E176">
        <v>26.5</v>
      </c>
      <c r="F176">
        <v>5.7</v>
      </c>
      <c r="G176">
        <v>0.63800000000000001</v>
      </c>
      <c r="H176">
        <v>0.3</v>
      </c>
      <c r="I176">
        <v>2.8</v>
      </c>
      <c r="J176">
        <v>0.66700000000000004</v>
      </c>
      <c r="K176">
        <v>5.7</v>
      </c>
      <c r="L176">
        <v>1.5</v>
      </c>
      <c r="M176">
        <v>0.9</v>
      </c>
      <c r="N176">
        <v>0.6</v>
      </c>
      <c r="O176">
        <v>0.9</v>
      </c>
      <c r="P176">
        <v>9.4</v>
      </c>
      <c r="Q176" s="19">
        <f>(G176 - AVERAGE(FG_Range))*F176</f>
        <v>1.0198291304347831</v>
      </c>
      <c r="R176" s="19">
        <f>(J176 - AVERAGE(FT_RANGE))*I176</f>
        <v>-0.31330782608695656</v>
      </c>
      <c r="S176" s="19">
        <f>(H176 - AVERAGE(Three_Range))/STDEV(Three_Range)</f>
        <v>-1.3631863704280434</v>
      </c>
      <c r="T176" s="19">
        <f>(P176 - AVERAGE(Pts_Range))/STDEV(Pts_Range)</f>
        <v>-0.75057614428997332</v>
      </c>
      <c r="U176" s="19">
        <f>(K176 - AVERAGE(Reb_Range))/STDEV(Reb_Range)</f>
        <v>0.24287351876790478</v>
      </c>
      <c r="V176" s="19">
        <f>(L176 - AVERAGE(Ast_Range))/STDEV(Ast_Range)</f>
        <v>-0.78092779578431204</v>
      </c>
      <c r="W176" s="19">
        <f>(M176 - AVERAGE(Stl_Range))/STDEV(Stl_Range)</f>
        <v>4.6951731605365706E-3</v>
      </c>
      <c r="X176" s="19">
        <f>(N176 - AVERAGE(Blk_Range))/STDEV(Blk_Range)</f>
        <v>0.12540729751969285</v>
      </c>
      <c r="Y176" s="19">
        <f>(O176 - AVERAGE(Tov_Range))/STDEV(Tov_Range)*-1</f>
        <v>0.91737766177909319</v>
      </c>
      <c r="Z176" s="19">
        <f t="shared" si="2"/>
        <v>-0.89781535492727493</v>
      </c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</row>
    <row r="177" spans="1:40" x14ac:dyDescent="0.55000000000000004">
      <c r="A177" t="s">
        <v>387</v>
      </c>
      <c r="B177" t="s">
        <v>25</v>
      </c>
      <c r="C177" t="s">
        <v>45</v>
      </c>
      <c r="D177">
        <v>44</v>
      </c>
      <c r="E177">
        <v>28.8</v>
      </c>
      <c r="F177">
        <v>11.7</v>
      </c>
      <c r="G177">
        <v>0.502</v>
      </c>
      <c r="H177">
        <v>2.1</v>
      </c>
      <c r="I177">
        <v>3</v>
      </c>
      <c r="J177">
        <v>0.83799999999999997</v>
      </c>
      <c r="K177">
        <v>3.7</v>
      </c>
      <c r="L177">
        <v>1.8</v>
      </c>
      <c r="M177">
        <v>1.3</v>
      </c>
      <c r="N177">
        <v>0.4</v>
      </c>
      <c r="O177">
        <v>1.5</v>
      </c>
      <c r="P177">
        <v>16.399999999999999</v>
      </c>
      <c r="Q177" s="19">
        <f>(G177 - AVERAGE(FG_Range))*F177</f>
        <v>0.50213347826087051</v>
      </c>
      <c r="R177" s="19">
        <f>(J177 - AVERAGE(FT_RANGE))*I177</f>
        <v>0.1773130434782606</v>
      </c>
      <c r="S177" s="19">
        <f>(H177 - AVERAGE(Three_Range))/STDEV(Three_Range)</f>
        <v>0.63313183741493573</v>
      </c>
      <c r="T177" s="19">
        <f>(P177 - AVERAGE(Pts_Range))/STDEV(Pts_Range)</f>
        <v>0.42791770426362169</v>
      </c>
      <c r="U177" s="19">
        <f>(K177 - AVERAGE(Reb_Range))/STDEV(Reb_Range)</f>
        <v>-0.55400107918670016</v>
      </c>
      <c r="V177" s="19">
        <f>(L177 - AVERAGE(Ast_Range))/STDEV(Ast_Range)</f>
        <v>-0.63007668181701781</v>
      </c>
      <c r="W177" s="19">
        <f>(M177 - AVERAGE(Stl_Range))/STDEV(Stl_Range)</f>
        <v>1.0845850000839679</v>
      </c>
      <c r="X177" s="19">
        <f>(N177 - AVERAGE(Blk_Range))/STDEV(Blk_Range)</f>
        <v>-0.26971158507660031</v>
      </c>
      <c r="Y177" s="19">
        <f>(O177 - AVERAGE(Tov_Range))/STDEV(Tov_Range)*-1</f>
        <v>0.22633990345204721</v>
      </c>
      <c r="Z177" s="19">
        <f t="shared" si="2"/>
        <v>1.5976316208733854</v>
      </c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</row>
    <row r="178" spans="1:40" x14ac:dyDescent="0.55000000000000004">
      <c r="A178" t="s">
        <v>388</v>
      </c>
      <c r="B178" t="s">
        <v>15</v>
      </c>
      <c r="C178" t="s">
        <v>32</v>
      </c>
      <c r="D178">
        <v>64</v>
      </c>
      <c r="E178">
        <v>32.5</v>
      </c>
      <c r="F178">
        <v>15.7</v>
      </c>
      <c r="G178">
        <v>0.46</v>
      </c>
      <c r="H178">
        <v>1</v>
      </c>
      <c r="I178">
        <v>5.5</v>
      </c>
      <c r="J178">
        <v>0.73299999999999998</v>
      </c>
      <c r="K178">
        <v>9.6999999999999993</v>
      </c>
      <c r="L178">
        <v>3.1</v>
      </c>
      <c r="M178">
        <v>0.8</v>
      </c>
      <c r="N178">
        <v>0.3</v>
      </c>
      <c r="O178">
        <v>3</v>
      </c>
      <c r="P178">
        <v>19.5</v>
      </c>
      <c r="Q178" s="19">
        <f>(G178 - AVERAGE(FG_Range))*F178</f>
        <v>1.4403043478262427E-2</v>
      </c>
      <c r="R178" s="19">
        <f>(J178 - AVERAGE(FT_RANGE))*I178</f>
        <v>-0.25242608695652213</v>
      </c>
      <c r="S178" s="19">
        <f>(H178 - AVERAGE(Three_Range))/STDEV(Three_Range)</f>
        <v>-0.58684040071132926</v>
      </c>
      <c r="T178" s="19">
        <f>(P178 - AVERAGE(Pts_Range))/STDEV(Pts_Range)</f>
        <v>0.94982212290878554</v>
      </c>
      <c r="U178" s="19">
        <f>(K178 - AVERAGE(Reb_Range))/STDEV(Reb_Range)</f>
        <v>1.8366227146771144</v>
      </c>
      <c r="V178" s="19">
        <f>(L178 - AVERAGE(Ast_Range))/STDEV(Ast_Range)</f>
        <v>2.361147870792359E-2</v>
      </c>
      <c r="W178" s="19">
        <f>(M178 - AVERAGE(Stl_Range))/STDEV(Stl_Range)</f>
        <v>-0.26527728357032115</v>
      </c>
      <c r="X178" s="19">
        <f>(N178 - AVERAGE(Blk_Range))/STDEV(Blk_Range)</f>
        <v>-0.46727102637474699</v>
      </c>
      <c r="Y178" s="19">
        <f>(O178 - AVERAGE(Tov_Range))/STDEV(Tov_Range)*-1</f>
        <v>-1.5012544923655677</v>
      </c>
      <c r="Z178" s="19">
        <f t="shared" si="2"/>
        <v>-0.24860993020640154</v>
      </c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</row>
    <row r="179" spans="1:40" x14ac:dyDescent="0.55000000000000004">
      <c r="A179" t="s">
        <v>390</v>
      </c>
      <c r="B179" t="s">
        <v>35</v>
      </c>
      <c r="C179" t="s">
        <v>77</v>
      </c>
      <c r="D179">
        <v>58</v>
      </c>
      <c r="E179">
        <v>26.7</v>
      </c>
      <c r="F179">
        <v>9.6</v>
      </c>
      <c r="G179">
        <v>0.38400000000000001</v>
      </c>
      <c r="H179">
        <v>1.4</v>
      </c>
      <c r="I179">
        <v>2.2000000000000002</v>
      </c>
      <c r="J179">
        <v>0.80200000000000005</v>
      </c>
      <c r="K179">
        <v>3.7</v>
      </c>
      <c r="L179">
        <v>1.5</v>
      </c>
      <c r="M179">
        <v>1.1000000000000001</v>
      </c>
      <c r="N179">
        <v>0.5</v>
      </c>
      <c r="O179">
        <v>1.7</v>
      </c>
      <c r="P179">
        <v>10.5</v>
      </c>
      <c r="Q179" s="19">
        <f>(G179 - AVERAGE(FG_Range))*F179</f>
        <v>-0.72079304347826001</v>
      </c>
      <c r="R179" s="19">
        <f>(J179 - AVERAGE(FT_RANGE))*I179</f>
        <v>5.0829565217391286E-2</v>
      </c>
      <c r="S179" s="19">
        <f>(H179 - AVERAGE(Three_Range))/STDEV(Three_Range)</f>
        <v>-0.14321413230177851</v>
      </c>
      <c r="T179" s="19">
        <f>(P179 - AVERAGE(Pts_Range))/STDEV(Pts_Range)</f>
        <v>-0.56538425380297985</v>
      </c>
      <c r="U179" s="19">
        <f>(K179 - AVERAGE(Reb_Range))/STDEV(Reb_Range)</f>
        <v>-0.55400107918670016</v>
      </c>
      <c r="V179" s="19">
        <f>(L179 - AVERAGE(Ast_Range))/STDEV(Ast_Range)</f>
        <v>-0.78092779578431204</v>
      </c>
      <c r="W179" s="19">
        <f>(M179 - AVERAGE(Stl_Range))/STDEV(Stl_Range)</f>
        <v>0.54464008662225238</v>
      </c>
      <c r="X179" s="19">
        <f>(N179 - AVERAGE(Blk_Range))/STDEV(Blk_Range)</f>
        <v>-7.2152143778453748E-2</v>
      </c>
      <c r="Y179" s="19">
        <f>(O179 - AVERAGE(Tov_Range))/STDEV(Tov_Range)*-1</f>
        <v>-4.006015990301386E-3</v>
      </c>
      <c r="Z179" s="19">
        <f t="shared" si="2"/>
        <v>-2.245008812483142</v>
      </c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</row>
    <row r="180" spans="1:40" x14ac:dyDescent="0.55000000000000004">
      <c r="A180" t="s">
        <v>391</v>
      </c>
      <c r="B180" t="s">
        <v>25</v>
      </c>
      <c r="C180" t="s">
        <v>26</v>
      </c>
      <c r="D180">
        <v>54</v>
      </c>
      <c r="E180">
        <v>26.4</v>
      </c>
      <c r="F180">
        <v>10.3</v>
      </c>
      <c r="G180">
        <v>0.45</v>
      </c>
      <c r="H180">
        <v>2.9</v>
      </c>
      <c r="I180">
        <v>3</v>
      </c>
      <c r="J180">
        <v>0.90200000000000002</v>
      </c>
      <c r="K180">
        <v>2.6</v>
      </c>
      <c r="L180">
        <v>2</v>
      </c>
      <c r="M180">
        <v>0.4</v>
      </c>
      <c r="N180">
        <v>0.2</v>
      </c>
      <c r="O180">
        <v>1.2</v>
      </c>
      <c r="P180">
        <v>14.9</v>
      </c>
      <c r="Q180" s="19">
        <f>(G180 - AVERAGE(FG_Range))*F180</f>
        <v>-9.3550869565216466E-2</v>
      </c>
      <c r="R180" s="19">
        <f>(J180 - AVERAGE(FT_RANGE))*I180</f>
        <v>0.36931304347826077</v>
      </c>
      <c r="S180" s="19">
        <f>(H180 - AVERAGE(Three_Range))/STDEV(Three_Range)</f>
        <v>1.5203843742340373</v>
      </c>
      <c r="T180" s="19">
        <f>(P180 - AVERAGE(Pts_Range))/STDEV(Pts_Range)</f>
        <v>0.17538330814499439</v>
      </c>
      <c r="U180" s="19">
        <f>(K180 - AVERAGE(Reb_Range))/STDEV(Reb_Range)</f>
        <v>-0.99228210806173289</v>
      </c>
      <c r="V180" s="19">
        <f>(L180 - AVERAGE(Ast_Range))/STDEV(Ast_Range)</f>
        <v>-0.5295092725054884</v>
      </c>
      <c r="W180" s="19">
        <f>(M180 - AVERAGE(Stl_Range))/STDEV(Stl_Range)</f>
        <v>-1.3451671104937524</v>
      </c>
      <c r="X180" s="19">
        <f>(N180 - AVERAGE(Blk_Range))/STDEV(Blk_Range)</f>
        <v>-0.66483046767289355</v>
      </c>
      <c r="Y180" s="19">
        <f>(O180 - AVERAGE(Tov_Range))/STDEV(Tov_Range)*-1</f>
        <v>0.57185878261557022</v>
      </c>
      <c r="Z180" s="19">
        <f t="shared" si="2"/>
        <v>-0.98840031982622112</v>
      </c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</row>
    <row r="181" spans="1:40" x14ac:dyDescent="0.55000000000000004">
      <c r="A181" t="s">
        <v>393</v>
      </c>
      <c r="B181" t="s">
        <v>25</v>
      </c>
      <c r="C181" t="s">
        <v>88</v>
      </c>
      <c r="D181">
        <v>48</v>
      </c>
      <c r="E181">
        <v>30.7</v>
      </c>
      <c r="F181">
        <v>12</v>
      </c>
      <c r="G181">
        <v>0.42899999999999999</v>
      </c>
      <c r="H181">
        <v>1.5</v>
      </c>
      <c r="I181">
        <v>2.7</v>
      </c>
      <c r="J181">
        <v>0.78900000000000003</v>
      </c>
      <c r="K181">
        <v>3.4</v>
      </c>
      <c r="L181">
        <v>3.1</v>
      </c>
      <c r="M181">
        <v>0.9</v>
      </c>
      <c r="N181">
        <v>0.7</v>
      </c>
      <c r="O181">
        <v>1.9</v>
      </c>
      <c r="P181">
        <v>13.8</v>
      </c>
      <c r="Q181" s="19">
        <f>(G181 - AVERAGE(FG_Range))*F181</f>
        <v>-0.36099130434782523</v>
      </c>
      <c r="R181" s="19">
        <f>(J181 - AVERAGE(FT_RANGE))*I181</f>
        <v>2.7281739130434725E-2</v>
      </c>
      <c r="S181" s="19">
        <f>(H181 - AVERAGE(Three_Range))/STDEV(Three_Range)</f>
        <v>-3.2307565199390695E-2</v>
      </c>
      <c r="T181" s="19">
        <f>(P181 - AVERAGE(Pts_Range))/STDEV(Pts_Range)</f>
        <v>-9.8085823419990885E-3</v>
      </c>
      <c r="U181" s="19">
        <f>(K181 - AVERAGE(Reb_Range))/STDEV(Reb_Range)</f>
        <v>-0.67353226887989104</v>
      </c>
      <c r="V181" s="19">
        <f>(L181 - AVERAGE(Ast_Range))/STDEV(Ast_Range)</f>
        <v>2.361147870792359E-2</v>
      </c>
      <c r="W181" s="19">
        <f>(M181 - AVERAGE(Stl_Range))/STDEV(Stl_Range)</f>
        <v>4.6951731605365706E-3</v>
      </c>
      <c r="X181" s="19">
        <f>(N181 - AVERAGE(Blk_Range))/STDEV(Blk_Range)</f>
        <v>0.32296673881783944</v>
      </c>
      <c r="Y181" s="19">
        <f>(O181 - AVERAGE(Tov_Range))/STDEV(Tov_Range)*-1</f>
        <v>-0.23435193543264998</v>
      </c>
      <c r="Z181" s="19">
        <f t="shared" si="2"/>
        <v>-0.93243652638502184</v>
      </c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</row>
    <row r="182" spans="1:40" x14ac:dyDescent="0.55000000000000004">
      <c r="A182" t="s">
        <v>394</v>
      </c>
      <c r="B182" t="s">
        <v>25</v>
      </c>
      <c r="C182" t="s">
        <v>37</v>
      </c>
      <c r="D182">
        <v>60</v>
      </c>
      <c r="E182">
        <v>23.4</v>
      </c>
      <c r="F182">
        <v>7.2</v>
      </c>
      <c r="G182">
        <v>0.42099999999999999</v>
      </c>
      <c r="H182">
        <v>1.4</v>
      </c>
      <c r="I182">
        <v>1.5</v>
      </c>
      <c r="J182">
        <v>0.66700000000000004</v>
      </c>
      <c r="K182">
        <v>2.4</v>
      </c>
      <c r="L182">
        <v>1.6</v>
      </c>
      <c r="M182">
        <v>0.7</v>
      </c>
      <c r="N182">
        <v>0.2</v>
      </c>
      <c r="O182">
        <v>0.6</v>
      </c>
      <c r="P182">
        <v>8.5</v>
      </c>
      <c r="Q182" s="19">
        <f>(G182 - AVERAGE(FG_Range))*F182</f>
        <v>-0.27419478260869518</v>
      </c>
      <c r="R182" s="19">
        <f>(J182 - AVERAGE(FT_RANGE))*I182</f>
        <v>-0.16784347826086959</v>
      </c>
      <c r="S182" s="19">
        <f>(H182 - AVERAGE(Three_Range))/STDEV(Three_Range)</f>
        <v>-0.14321413230177851</v>
      </c>
      <c r="T182" s="19">
        <f>(P182 - AVERAGE(Pts_Range))/STDEV(Pts_Range)</f>
        <v>-0.90209678196114995</v>
      </c>
      <c r="U182" s="19">
        <f>(K182 - AVERAGE(Reb_Range))/STDEV(Reb_Range)</f>
        <v>-1.0719695678571934</v>
      </c>
      <c r="V182" s="19">
        <f>(L182 - AVERAGE(Ast_Range))/STDEV(Ast_Range)</f>
        <v>-0.73064409112854722</v>
      </c>
      <c r="W182" s="19">
        <f>(M182 - AVERAGE(Stl_Range))/STDEV(Stl_Range)</f>
        <v>-0.53524974030117922</v>
      </c>
      <c r="X182" s="19">
        <f>(N182 - AVERAGE(Blk_Range))/STDEV(Blk_Range)</f>
        <v>-0.66483046767289355</v>
      </c>
      <c r="Y182" s="19">
        <f>(O182 - AVERAGE(Tov_Range))/STDEV(Tov_Range)*-1</f>
        <v>1.2628965409426163</v>
      </c>
      <c r="Z182" s="19">
        <f t="shared" si="2"/>
        <v>-3.22714650114969</v>
      </c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</row>
    <row r="183" spans="1:40" x14ac:dyDescent="0.55000000000000004">
      <c r="A183" t="s">
        <v>395</v>
      </c>
      <c r="B183" t="s">
        <v>35</v>
      </c>
      <c r="C183" t="s">
        <v>21</v>
      </c>
      <c r="D183">
        <v>65</v>
      </c>
      <c r="E183">
        <v>30</v>
      </c>
      <c r="F183">
        <v>9.4</v>
      </c>
      <c r="G183">
        <v>0.46700000000000003</v>
      </c>
      <c r="H183">
        <v>3.7</v>
      </c>
      <c r="I183">
        <v>0.8</v>
      </c>
      <c r="J183">
        <v>0.90600000000000003</v>
      </c>
      <c r="K183">
        <v>3.3</v>
      </c>
      <c r="L183">
        <v>1.4</v>
      </c>
      <c r="M183">
        <v>0.5</v>
      </c>
      <c r="N183">
        <v>0.2</v>
      </c>
      <c r="O183">
        <v>0.9</v>
      </c>
      <c r="P183">
        <v>13.3</v>
      </c>
      <c r="Q183" s="19">
        <f>(G183 - AVERAGE(FG_Range))*F183</f>
        <v>7.4423478260870563E-2</v>
      </c>
      <c r="R183" s="19">
        <f>(J183 - AVERAGE(FT_RANGE))*I183</f>
        <v>0.10168347826086954</v>
      </c>
      <c r="S183" s="19">
        <f>(H183 - AVERAGE(Three_Range))/STDEV(Three_Range)</f>
        <v>2.4076369110531388</v>
      </c>
      <c r="T183" s="19">
        <f>(P183 - AVERAGE(Pts_Range))/STDEV(Pts_Range)</f>
        <v>-9.3986714381541617E-2</v>
      </c>
      <c r="U183" s="19">
        <f>(K183 - AVERAGE(Reb_Range))/STDEV(Reb_Range)</f>
        <v>-0.71337599877762126</v>
      </c>
      <c r="V183" s="19">
        <f>(L183 - AVERAGE(Ast_Range))/STDEV(Ast_Range)</f>
        <v>-0.83121150044007674</v>
      </c>
      <c r="W183" s="19">
        <f>(M183 - AVERAGE(Stl_Range))/STDEV(Stl_Range)</f>
        <v>-1.0751946537628947</v>
      </c>
      <c r="X183" s="19">
        <f>(N183 - AVERAGE(Blk_Range))/STDEV(Blk_Range)</f>
        <v>-0.66483046767289355</v>
      </c>
      <c r="Y183" s="19">
        <f>(O183 - AVERAGE(Tov_Range))/STDEV(Tov_Range)*-1</f>
        <v>0.91737766177909319</v>
      </c>
      <c r="Z183" s="19">
        <f t="shared" si="2"/>
        <v>0.12252219431894418</v>
      </c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</row>
    <row r="184" spans="1:40" x14ac:dyDescent="0.55000000000000004">
      <c r="A184" t="s">
        <v>397</v>
      </c>
      <c r="B184" t="s">
        <v>25</v>
      </c>
      <c r="C184" t="s">
        <v>72</v>
      </c>
      <c r="D184">
        <v>13</v>
      </c>
      <c r="E184">
        <v>20.9</v>
      </c>
      <c r="F184">
        <v>6.2</v>
      </c>
      <c r="G184">
        <v>0.36299999999999999</v>
      </c>
      <c r="H184">
        <v>0.9</v>
      </c>
      <c r="I184">
        <v>0.8</v>
      </c>
      <c r="J184">
        <v>0.9</v>
      </c>
      <c r="K184">
        <v>3.5</v>
      </c>
      <c r="L184">
        <v>1.5</v>
      </c>
      <c r="M184">
        <v>0.7</v>
      </c>
      <c r="N184">
        <v>0.5</v>
      </c>
      <c r="O184">
        <v>0.6</v>
      </c>
      <c r="P184">
        <v>6.1</v>
      </c>
      <c r="Q184" s="19">
        <f>(G184 - AVERAGE(FG_Range))*F184</f>
        <v>-0.5957121739130431</v>
      </c>
      <c r="R184" s="19">
        <f>(J184 - AVERAGE(FT_RANGE))*I184</f>
        <v>9.6883478260869543E-2</v>
      </c>
      <c r="S184" s="19">
        <f>(H184 - AVERAGE(Three_Range))/STDEV(Three_Range)</f>
        <v>-0.69774696781371692</v>
      </c>
      <c r="T184" s="19">
        <f>(P184 - AVERAGE(Pts_Range))/STDEV(Pts_Range)</f>
        <v>-1.3061518157509542</v>
      </c>
      <c r="U184" s="19">
        <f>(K184 - AVERAGE(Reb_Range))/STDEV(Reb_Range)</f>
        <v>-0.63368853898216071</v>
      </c>
      <c r="V184" s="19">
        <f>(L184 - AVERAGE(Ast_Range))/STDEV(Ast_Range)</f>
        <v>-0.78092779578431204</v>
      </c>
      <c r="W184" s="19">
        <f>(M184 - AVERAGE(Stl_Range))/STDEV(Stl_Range)</f>
        <v>-0.53524974030117922</v>
      </c>
      <c r="X184" s="19">
        <f>(N184 - AVERAGE(Blk_Range))/STDEV(Blk_Range)</f>
        <v>-7.2152143778453748E-2</v>
      </c>
      <c r="Y184" s="19">
        <f>(O184 - AVERAGE(Tov_Range))/STDEV(Tov_Range)*-1</f>
        <v>1.2628965409426163</v>
      </c>
      <c r="Z184" s="19">
        <f t="shared" si="2"/>
        <v>-3.2618491571203343</v>
      </c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</row>
    <row r="185" spans="1:40" x14ac:dyDescent="0.55000000000000004">
      <c r="A185" t="s">
        <v>398</v>
      </c>
      <c r="B185" t="s">
        <v>18</v>
      </c>
      <c r="C185" t="s">
        <v>32</v>
      </c>
      <c r="D185">
        <v>61</v>
      </c>
      <c r="E185">
        <v>23.1</v>
      </c>
      <c r="F185">
        <v>5.6</v>
      </c>
      <c r="G185">
        <v>0.74199999999999999</v>
      </c>
      <c r="H185">
        <v>0</v>
      </c>
      <c r="I185">
        <v>2.4</v>
      </c>
      <c r="J185">
        <v>0.56799999999999995</v>
      </c>
      <c r="K185">
        <v>7</v>
      </c>
      <c r="L185">
        <v>0.6</v>
      </c>
      <c r="M185">
        <v>0.9</v>
      </c>
      <c r="N185">
        <v>2</v>
      </c>
      <c r="O185">
        <v>0.6</v>
      </c>
      <c r="P185">
        <v>9.6999999999999993</v>
      </c>
      <c r="Q185" s="19">
        <f>(G185 - AVERAGE(FG_Range))*F185</f>
        <v>1.5843373913043481</v>
      </c>
      <c r="R185" s="19">
        <f>(J185 - AVERAGE(FT_RANGE))*I185</f>
        <v>-0.50614956521739152</v>
      </c>
      <c r="S185" s="19">
        <f>(H185 - AVERAGE(Three_Range))/STDEV(Three_Range)</f>
        <v>-1.6959060717352064</v>
      </c>
      <c r="T185" s="19">
        <f>(P185 - AVERAGE(Pts_Range))/STDEV(Pts_Range)</f>
        <v>-0.700069265066248</v>
      </c>
      <c r="U185" s="19">
        <f>(K185 - AVERAGE(Reb_Range))/STDEV(Reb_Range)</f>
        <v>0.76084200743839792</v>
      </c>
      <c r="V185" s="19">
        <f>(L185 - AVERAGE(Ast_Range))/STDEV(Ast_Range)</f>
        <v>-1.2334811376861945</v>
      </c>
      <c r="W185" s="19">
        <f>(M185 - AVERAGE(Stl_Range))/STDEV(Stl_Range)</f>
        <v>4.6951731605365706E-3</v>
      </c>
      <c r="X185" s="19">
        <f>(N185 - AVERAGE(Blk_Range))/STDEV(Blk_Range)</f>
        <v>2.8912394756937454</v>
      </c>
      <c r="Y185" s="19">
        <f>(O185 - AVERAGE(Tov_Range))/STDEV(Tov_Range)*-1</f>
        <v>1.2628965409426163</v>
      </c>
      <c r="Z185" s="19">
        <f t="shared" si="2"/>
        <v>2.3684045488346035</v>
      </c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</row>
    <row r="186" spans="1:40" x14ac:dyDescent="0.55000000000000004">
      <c r="A186" t="s">
        <v>399</v>
      </c>
      <c r="B186" t="s">
        <v>47</v>
      </c>
      <c r="C186" t="s">
        <v>41</v>
      </c>
      <c r="D186">
        <v>48</v>
      </c>
      <c r="E186">
        <v>20.5</v>
      </c>
      <c r="F186">
        <v>6.8</v>
      </c>
      <c r="G186">
        <v>0.41799999999999998</v>
      </c>
      <c r="H186">
        <v>0.9</v>
      </c>
      <c r="I186">
        <v>0.9</v>
      </c>
      <c r="J186">
        <v>0.65900000000000003</v>
      </c>
      <c r="K186">
        <v>3</v>
      </c>
      <c r="L186">
        <v>5</v>
      </c>
      <c r="M186">
        <v>0.8</v>
      </c>
      <c r="N186">
        <v>0</v>
      </c>
      <c r="O186">
        <v>1.9</v>
      </c>
      <c r="P186">
        <v>7.1</v>
      </c>
      <c r="Q186" s="19">
        <f>(G186 - AVERAGE(FG_Range))*F186</f>
        <v>-0.27936173913043433</v>
      </c>
      <c r="R186" s="19">
        <f>(J186 - AVERAGE(FT_RANGE))*I186</f>
        <v>-0.10790608695652176</v>
      </c>
      <c r="S186" s="19">
        <f>(H186 - AVERAGE(Three_Range))/STDEV(Three_Range)</f>
        <v>-0.69774696781371692</v>
      </c>
      <c r="T186" s="19">
        <f>(P186 - AVERAGE(Pts_Range))/STDEV(Pts_Range)</f>
        <v>-1.1377955516718692</v>
      </c>
      <c r="U186" s="19">
        <f>(K186 - AVERAGE(Reb_Range))/STDEV(Reb_Range)</f>
        <v>-0.83290718847081202</v>
      </c>
      <c r="V186" s="19">
        <f>(L186 - AVERAGE(Ast_Range))/STDEV(Ast_Range)</f>
        <v>0.9790018671674533</v>
      </c>
      <c r="W186" s="19">
        <f>(M186 - AVERAGE(Stl_Range))/STDEV(Stl_Range)</f>
        <v>-0.26527728357032115</v>
      </c>
      <c r="X186" s="19">
        <f>(N186 - AVERAGE(Blk_Range))/STDEV(Blk_Range)</f>
        <v>-1.0599493502691868</v>
      </c>
      <c r="Y186" s="19">
        <f>(O186 - AVERAGE(Tov_Range))/STDEV(Tov_Range)*-1</f>
        <v>-0.23435193543264998</v>
      </c>
      <c r="Z186" s="19">
        <f t="shared" si="2"/>
        <v>-3.6362942361480588</v>
      </c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</row>
    <row r="187" spans="1:40" x14ac:dyDescent="0.55000000000000004">
      <c r="A187" t="s">
        <v>400</v>
      </c>
      <c r="B187" t="s">
        <v>47</v>
      </c>
      <c r="C187" t="s">
        <v>90</v>
      </c>
      <c r="D187">
        <v>50</v>
      </c>
      <c r="E187">
        <v>26</v>
      </c>
      <c r="F187">
        <v>15.1</v>
      </c>
      <c r="G187">
        <v>0.49</v>
      </c>
      <c r="H187">
        <v>0.9</v>
      </c>
      <c r="I187">
        <v>2.8</v>
      </c>
      <c r="J187">
        <v>0.871</v>
      </c>
      <c r="K187">
        <v>2.4</v>
      </c>
      <c r="L187">
        <v>5.6</v>
      </c>
      <c r="M187">
        <v>0.8</v>
      </c>
      <c r="N187">
        <v>0.3</v>
      </c>
      <c r="O187">
        <v>2.5</v>
      </c>
      <c r="P187">
        <v>18.100000000000001</v>
      </c>
      <c r="Q187" s="19">
        <f>(G187 - AVERAGE(FG_Range))*F187</f>
        <v>0.4668526086956532</v>
      </c>
      <c r="R187" s="19">
        <f>(J187 - AVERAGE(FT_RANGE))*I187</f>
        <v>0.25789217391304331</v>
      </c>
      <c r="S187" s="19">
        <f>(H187 - AVERAGE(Three_Range))/STDEV(Three_Range)</f>
        <v>-0.69774696781371692</v>
      </c>
      <c r="T187" s="19">
        <f>(P187 - AVERAGE(Pts_Range))/STDEV(Pts_Range)</f>
        <v>0.71412335319806675</v>
      </c>
      <c r="U187" s="19">
        <f>(K187 - AVERAGE(Reb_Range))/STDEV(Reb_Range)</f>
        <v>-1.0719695678571934</v>
      </c>
      <c r="V187" s="19">
        <f>(L187 - AVERAGE(Ast_Range))/STDEV(Ast_Range)</f>
        <v>1.2807040951020414</v>
      </c>
      <c r="W187" s="19">
        <f>(M187 - AVERAGE(Stl_Range))/STDEV(Stl_Range)</f>
        <v>-0.26527728357032115</v>
      </c>
      <c r="X187" s="19">
        <f>(N187 - AVERAGE(Blk_Range))/STDEV(Blk_Range)</f>
        <v>-0.46727102637474699</v>
      </c>
      <c r="Y187" s="19">
        <f>(O187 - AVERAGE(Tov_Range))/STDEV(Tov_Range)*-1</f>
        <v>-0.92538969375969604</v>
      </c>
      <c r="Z187" s="19">
        <f t="shared" si="2"/>
        <v>-0.7080823084668697</v>
      </c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</row>
    <row r="188" spans="1:40" x14ac:dyDescent="0.55000000000000004">
      <c r="A188" t="s">
        <v>401</v>
      </c>
      <c r="B188" t="s">
        <v>25</v>
      </c>
      <c r="C188" t="s">
        <v>34</v>
      </c>
      <c r="D188">
        <v>63</v>
      </c>
      <c r="E188">
        <v>27.3</v>
      </c>
      <c r="F188">
        <v>12.3</v>
      </c>
      <c r="G188">
        <v>0.40699999999999997</v>
      </c>
      <c r="H188">
        <v>2.6</v>
      </c>
      <c r="I188">
        <v>2.6</v>
      </c>
      <c r="J188">
        <v>0.84499999999999997</v>
      </c>
      <c r="K188">
        <v>3.2</v>
      </c>
      <c r="L188">
        <v>1.2</v>
      </c>
      <c r="M188">
        <v>1.1000000000000001</v>
      </c>
      <c r="N188">
        <v>0.3</v>
      </c>
      <c r="O188">
        <v>1</v>
      </c>
      <c r="P188">
        <v>14.8</v>
      </c>
      <c r="Q188" s="19">
        <f>(G188 - AVERAGE(FG_Range))*F188</f>
        <v>-0.64061608695652117</v>
      </c>
      <c r="R188" s="19">
        <f>(J188 - AVERAGE(FT_RANGE))*I188</f>
        <v>0.17187130434782588</v>
      </c>
      <c r="S188" s="19">
        <f>(H188 - AVERAGE(Three_Range))/STDEV(Three_Range)</f>
        <v>1.1876646729268743</v>
      </c>
      <c r="T188" s="19">
        <f>(P188 - AVERAGE(Pts_Range))/STDEV(Pts_Range)</f>
        <v>0.15854768173708597</v>
      </c>
      <c r="U188" s="19">
        <f>(K188 - AVERAGE(Reb_Range))/STDEV(Reb_Range)</f>
        <v>-0.75321972867535136</v>
      </c>
      <c r="V188" s="19">
        <f>(L188 - AVERAGE(Ast_Range))/STDEV(Ast_Range)</f>
        <v>-0.93177890975160627</v>
      </c>
      <c r="W188" s="19">
        <f>(M188 - AVERAGE(Stl_Range))/STDEV(Stl_Range)</f>
        <v>0.54464008662225238</v>
      </c>
      <c r="X188" s="19">
        <f>(N188 - AVERAGE(Blk_Range))/STDEV(Blk_Range)</f>
        <v>-0.46727102637474699</v>
      </c>
      <c r="Y188" s="19">
        <f>(O188 - AVERAGE(Tov_Range))/STDEV(Tov_Range)*-1</f>
        <v>0.80220470205791883</v>
      </c>
      <c r="Z188" s="19">
        <f t="shared" si="2"/>
        <v>7.2042695933731693E-2</v>
      </c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</row>
    <row r="189" spans="1:40" x14ac:dyDescent="0.55000000000000004">
      <c r="A189" t="s">
        <v>402</v>
      </c>
      <c r="B189" t="s">
        <v>47</v>
      </c>
      <c r="C189" t="s">
        <v>56</v>
      </c>
      <c r="D189">
        <v>63</v>
      </c>
      <c r="E189">
        <v>34.299999999999997</v>
      </c>
      <c r="F189">
        <v>14.9</v>
      </c>
      <c r="G189">
        <v>0.42299999999999999</v>
      </c>
      <c r="H189">
        <v>2.7</v>
      </c>
      <c r="I189">
        <v>3</v>
      </c>
      <c r="J189">
        <v>0.874</v>
      </c>
      <c r="K189">
        <v>4.4000000000000004</v>
      </c>
      <c r="L189">
        <v>4.0999999999999996</v>
      </c>
      <c r="M189">
        <v>1</v>
      </c>
      <c r="N189">
        <v>0.2</v>
      </c>
      <c r="O189">
        <v>2.2000000000000002</v>
      </c>
      <c r="P189">
        <v>18</v>
      </c>
      <c r="Q189" s="19">
        <f>(G189 - AVERAGE(FG_Range))*F189</f>
        <v>-0.53763086956521644</v>
      </c>
      <c r="R189" s="19">
        <f>(J189 - AVERAGE(FT_RANGE))*I189</f>
        <v>0.2853130434782607</v>
      </c>
      <c r="S189" s="19">
        <f>(H189 - AVERAGE(Three_Range))/STDEV(Three_Range)</f>
        <v>1.2985712400292622</v>
      </c>
      <c r="T189" s="19">
        <f>(P189 - AVERAGE(Pts_Range))/STDEV(Pts_Range)</f>
        <v>0.69728772679015794</v>
      </c>
      <c r="U189" s="19">
        <f>(K189 - AVERAGE(Reb_Range))/STDEV(Reb_Range)</f>
        <v>-0.27509496990258836</v>
      </c>
      <c r="V189" s="19">
        <f>(L189 - AVERAGE(Ast_Range))/STDEV(Ast_Range)</f>
        <v>0.52644852526557062</v>
      </c>
      <c r="W189" s="19">
        <f>(M189 - AVERAGE(Stl_Range))/STDEV(Stl_Range)</f>
        <v>0.27466762989139432</v>
      </c>
      <c r="X189" s="19">
        <f>(N189 - AVERAGE(Blk_Range))/STDEV(Blk_Range)</f>
        <v>-0.66483046767289355</v>
      </c>
      <c r="Y189" s="19">
        <f>(O189 - AVERAGE(Tov_Range))/STDEV(Tov_Range)*-1</f>
        <v>-0.57987081459617329</v>
      </c>
      <c r="Z189" s="19">
        <f t="shared" si="2"/>
        <v>1.0248610437177739</v>
      </c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</row>
    <row r="190" spans="1:40" x14ac:dyDescent="0.55000000000000004">
      <c r="A190" t="s">
        <v>403</v>
      </c>
      <c r="B190" t="s">
        <v>47</v>
      </c>
      <c r="C190" t="s">
        <v>54</v>
      </c>
      <c r="D190">
        <v>57</v>
      </c>
      <c r="E190">
        <v>31.6</v>
      </c>
      <c r="F190">
        <v>10.7</v>
      </c>
      <c r="G190">
        <v>0.41199999999999998</v>
      </c>
      <c r="H190">
        <v>1.2</v>
      </c>
      <c r="I190">
        <v>3.6</v>
      </c>
      <c r="J190">
        <v>0.85299999999999998</v>
      </c>
      <c r="K190">
        <v>4.5999999999999996</v>
      </c>
      <c r="L190">
        <v>8.9</v>
      </c>
      <c r="M190">
        <v>1.5</v>
      </c>
      <c r="N190">
        <v>0.2</v>
      </c>
      <c r="O190">
        <v>2.7</v>
      </c>
      <c r="P190">
        <v>13.1</v>
      </c>
      <c r="Q190" s="19">
        <f>(G190 - AVERAGE(FG_Range))*F190</f>
        <v>-0.50378391304347758</v>
      </c>
      <c r="R190" s="19">
        <f>(J190 - AVERAGE(FT_RANGE))*I190</f>
        <v>0.2667756521739128</v>
      </c>
      <c r="S190" s="19">
        <f>(H190 - AVERAGE(Three_Range))/STDEV(Three_Range)</f>
        <v>-0.36502726650655393</v>
      </c>
      <c r="T190" s="19">
        <f>(P190 - AVERAGE(Pts_Range))/STDEV(Pts_Range)</f>
        <v>-0.12765796719735881</v>
      </c>
      <c r="U190" s="19">
        <f>(K190 - AVERAGE(Reb_Range))/STDEV(Reb_Range)</f>
        <v>-0.19540751010712815</v>
      </c>
      <c r="V190" s="19">
        <f>(L190 - AVERAGE(Ast_Range))/STDEV(Ast_Range)</f>
        <v>2.9400663487422776</v>
      </c>
      <c r="W190" s="19">
        <f>(M190 - AVERAGE(Stl_Range))/STDEV(Stl_Range)</f>
        <v>1.6245299135456834</v>
      </c>
      <c r="X190" s="19">
        <f>(N190 - AVERAGE(Blk_Range))/STDEV(Blk_Range)</f>
        <v>-0.66483046767289355</v>
      </c>
      <c r="Y190" s="19">
        <f>(O190 - AVERAGE(Tov_Range))/STDEV(Tov_Range)*-1</f>
        <v>-1.1557356132020449</v>
      </c>
      <c r="Z190" s="19">
        <f t="shared" si="2"/>
        <v>1.8189291767324167</v>
      </c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</row>
    <row r="191" spans="1:40" x14ac:dyDescent="0.55000000000000004">
      <c r="A191" t="s">
        <v>404</v>
      </c>
      <c r="B191" t="s">
        <v>47</v>
      </c>
      <c r="C191" t="s">
        <v>65</v>
      </c>
      <c r="D191">
        <v>12</v>
      </c>
      <c r="E191">
        <v>32.700000000000003</v>
      </c>
      <c r="F191">
        <v>17.600000000000001</v>
      </c>
      <c r="G191">
        <v>0.41199999999999998</v>
      </c>
      <c r="H191">
        <v>3.2</v>
      </c>
      <c r="I191">
        <v>4.5999999999999996</v>
      </c>
      <c r="J191">
        <v>0.873</v>
      </c>
      <c r="K191">
        <v>4.5999999999999996</v>
      </c>
      <c r="L191">
        <v>6.6</v>
      </c>
      <c r="M191">
        <v>1.4</v>
      </c>
      <c r="N191">
        <v>0.3</v>
      </c>
      <c r="O191">
        <v>3.8</v>
      </c>
      <c r="P191">
        <v>21.7</v>
      </c>
      <c r="Q191" s="19">
        <f>(G191 - AVERAGE(FG_Range))*F191</f>
        <v>-0.82865391304347735</v>
      </c>
      <c r="R191" s="19">
        <f>(J191 - AVERAGE(FT_RANGE))*I191</f>
        <v>0.43287999999999971</v>
      </c>
      <c r="S191" s="19">
        <f>(H191 - AVERAGE(Three_Range))/STDEV(Three_Range)</f>
        <v>1.8531040755412007</v>
      </c>
      <c r="T191" s="19">
        <f>(P191 - AVERAGE(Pts_Range))/STDEV(Pts_Range)</f>
        <v>1.3202059038827725</v>
      </c>
      <c r="U191" s="19">
        <f>(K191 - AVERAGE(Reb_Range))/STDEV(Reb_Range)</f>
        <v>-0.19540751010712815</v>
      </c>
      <c r="V191" s="19">
        <f>(L191 - AVERAGE(Ast_Range))/STDEV(Ast_Range)</f>
        <v>1.7835411416596887</v>
      </c>
      <c r="W191" s="19">
        <f>(M191 - AVERAGE(Stl_Range))/STDEV(Stl_Range)</f>
        <v>1.3545574568148253</v>
      </c>
      <c r="X191" s="19">
        <f>(N191 - AVERAGE(Blk_Range))/STDEV(Blk_Range)</f>
        <v>-0.46727102637474699</v>
      </c>
      <c r="Y191" s="19">
        <f>(O191 - AVERAGE(Tov_Range))/STDEV(Tov_Range)*-1</f>
        <v>-2.4226381701349622</v>
      </c>
      <c r="Z191" s="19">
        <f t="shared" si="2"/>
        <v>2.8303179582381723</v>
      </c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</row>
    <row r="192" spans="1:40" x14ac:dyDescent="0.55000000000000004">
      <c r="A192" t="s">
        <v>405</v>
      </c>
      <c r="B192" t="s">
        <v>18</v>
      </c>
      <c r="C192" t="s">
        <v>83</v>
      </c>
      <c r="D192">
        <v>62</v>
      </c>
      <c r="E192">
        <v>34.799999999999997</v>
      </c>
      <c r="F192">
        <v>13.7</v>
      </c>
      <c r="G192">
        <v>0.54</v>
      </c>
      <c r="H192">
        <v>0.3</v>
      </c>
      <c r="I192">
        <v>4.8</v>
      </c>
      <c r="J192">
        <v>0.72299999999999998</v>
      </c>
      <c r="K192">
        <v>12.4</v>
      </c>
      <c r="L192">
        <v>5</v>
      </c>
      <c r="M192">
        <v>0.8</v>
      </c>
      <c r="N192">
        <v>0.5</v>
      </c>
      <c r="O192">
        <v>2.7</v>
      </c>
      <c r="P192">
        <v>18.5</v>
      </c>
      <c r="Q192" s="19">
        <f>(G192 - AVERAGE(FG_Range))*F192</f>
        <v>1.1085682608695668</v>
      </c>
      <c r="R192" s="19">
        <f>(J192 - AVERAGE(FT_RANGE))*I192</f>
        <v>-0.26829913043478298</v>
      </c>
      <c r="S192" s="19">
        <f>(H192 - AVERAGE(Three_Range))/STDEV(Three_Range)</f>
        <v>-1.3631863704280434</v>
      </c>
      <c r="T192" s="19">
        <f>(P192 - AVERAGE(Pts_Range))/STDEV(Pts_Range)</f>
        <v>0.78146585882970054</v>
      </c>
      <c r="U192" s="19">
        <f>(K192 - AVERAGE(Reb_Range))/STDEV(Reb_Range)</f>
        <v>2.9124034219158315</v>
      </c>
      <c r="V192" s="19">
        <f>(L192 - AVERAGE(Ast_Range))/STDEV(Ast_Range)</f>
        <v>0.9790018671674533</v>
      </c>
      <c r="W192" s="19">
        <f>(M192 - AVERAGE(Stl_Range))/STDEV(Stl_Range)</f>
        <v>-0.26527728357032115</v>
      </c>
      <c r="X192" s="19">
        <f>(N192 - AVERAGE(Blk_Range))/STDEV(Blk_Range)</f>
        <v>-7.2152143778453748E-2</v>
      </c>
      <c r="Y192" s="19">
        <f>(O192 - AVERAGE(Tov_Range))/STDEV(Tov_Range)*-1</f>
        <v>-1.1557356132020449</v>
      </c>
      <c r="Z192" s="19">
        <f t="shared" si="2"/>
        <v>2.6567888673689062</v>
      </c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</row>
    <row r="193" spans="1:40" x14ac:dyDescent="0.55000000000000004">
      <c r="A193" t="s">
        <v>671</v>
      </c>
      <c r="B193" t="s">
        <v>15</v>
      </c>
      <c r="C193" t="s">
        <v>54</v>
      </c>
      <c r="D193">
        <v>58</v>
      </c>
      <c r="E193">
        <v>24.8</v>
      </c>
      <c r="F193">
        <v>8.1</v>
      </c>
      <c r="G193">
        <v>0.46200000000000002</v>
      </c>
      <c r="H193">
        <v>1.3</v>
      </c>
      <c r="I193">
        <v>1.6</v>
      </c>
      <c r="J193">
        <v>0.83199999999999996</v>
      </c>
      <c r="K193">
        <v>5.9</v>
      </c>
      <c r="L193">
        <v>1.9</v>
      </c>
      <c r="M193">
        <v>0.6</v>
      </c>
      <c r="N193">
        <v>0.3</v>
      </c>
      <c r="O193">
        <v>1.2</v>
      </c>
      <c r="P193">
        <v>10.1</v>
      </c>
      <c r="Q193" s="19">
        <f>(G193 - AVERAGE(FG_Range))*F193</f>
        <v>2.3630869565218208E-2</v>
      </c>
      <c r="R193" s="19">
        <f>(J193 - AVERAGE(FT_RANGE))*I193</f>
        <v>8.4966956521738982E-2</v>
      </c>
      <c r="S193" s="19">
        <f>(H193 - AVERAGE(Three_Range))/STDEV(Three_Range)</f>
        <v>-0.25412069940416609</v>
      </c>
      <c r="T193" s="19">
        <f>(P193 - AVERAGE(Pts_Range))/STDEV(Pts_Range)</f>
        <v>-0.63272675943461398</v>
      </c>
      <c r="U193" s="19">
        <f>(K193 - AVERAGE(Reb_Range))/STDEV(Reb_Range)</f>
        <v>0.32256097856336535</v>
      </c>
      <c r="V193" s="19">
        <f>(L193 - AVERAGE(Ast_Range))/STDEV(Ast_Range)</f>
        <v>-0.57979297716125322</v>
      </c>
      <c r="W193" s="19">
        <f>(M193 - AVERAGE(Stl_Range))/STDEV(Stl_Range)</f>
        <v>-0.80522219703203701</v>
      </c>
      <c r="X193" s="19">
        <f>(N193 - AVERAGE(Blk_Range))/STDEV(Blk_Range)</f>
        <v>-0.46727102637474699</v>
      </c>
      <c r="Y193" s="19">
        <f>(O193 - AVERAGE(Tov_Range))/STDEV(Tov_Range)*-1</f>
        <v>0.57185878261557022</v>
      </c>
      <c r="Z193" s="19">
        <f t="shared" si="2"/>
        <v>-1.7361160721409243</v>
      </c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</row>
    <row r="194" spans="1:40" x14ac:dyDescent="0.55000000000000004">
      <c r="A194" t="s">
        <v>672</v>
      </c>
      <c r="B194" t="s">
        <v>47</v>
      </c>
      <c r="C194" t="s">
        <v>48</v>
      </c>
      <c r="D194">
        <v>65</v>
      </c>
      <c r="E194">
        <v>28.9</v>
      </c>
      <c r="F194">
        <v>8.5</v>
      </c>
      <c r="G194">
        <v>0.43</v>
      </c>
      <c r="H194">
        <v>1</v>
      </c>
      <c r="I194">
        <v>1.9</v>
      </c>
      <c r="J194">
        <v>0.876</v>
      </c>
      <c r="K194">
        <v>3.9</v>
      </c>
      <c r="L194">
        <v>5.4</v>
      </c>
      <c r="M194">
        <v>1.2</v>
      </c>
      <c r="N194">
        <v>0.1</v>
      </c>
      <c r="O194">
        <v>2</v>
      </c>
      <c r="P194">
        <v>9.9</v>
      </c>
      <c r="Q194" s="19">
        <f>(G194 - AVERAGE(FG_Range))*F194</f>
        <v>-0.24720217391304286</v>
      </c>
      <c r="R194" s="19">
        <f>(J194 - AVERAGE(FT_RANGE))*I194</f>
        <v>0.18449826086956511</v>
      </c>
      <c r="S194" s="19">
        <f>(H194 - AVERAGE(Three_Range))/STDEV(Three_Range)</f>
        <v>-0.58684040071132926</v>
      </c>
      <c r="T194" s="19">
        <f>(P194 - AVERAGE(Pts_Range))/STDEV(Pts_Range)</f>
        <v>-0.66639801225043083</v>
      </c>
      <c r="U194" s="19">
        <f>(K194 - AVERAGE(Reb_Range))/STDEV(Reb_Range)</f>
        <v>-0.47431361939123978</v>
      </c>
      <c r="V194" s="19">
        <f>(L194 - AVERAGE(Ast_Range))/STDEV(Ast_Range)</f>
        <v>1.1801366857905125</v>
      </c>
      <c r="W194" s="19">
        <f>(M194 - AVERAGE(Stl_Range))/STDEV(Stl_Range)</f>
        <v>0.81461254335310984</v>
      </c>
      <c r="X194" s="19">
        <f>(N194 - AVERAGE(Blk_Range))/STDEV(Blk_Range)</f>
        <v>-0.86238990897104029</v>
      </c>
      <c r="Y194" s="19">
        <f>(O194 - AVERAGE(Tov_Range))/STDEV(Tov_Range)*-1</f>
        <v>-0.3495248951538244</v>
      </c>
      <c r="Z194" s="19">
        <f t="shared" si="2"/>
        <v>-1.0074215203777201</v>
      </c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</row>
    <row r="195" spans="1:40" x14ac:dyDescent="0.55000000000000004">
      <c r="A195" t="s">
        <v>673</v>
      </c>
      <c r="B195" t="s">
        <v>47</v>
      </c>
      <c r="C195" t="s">
        <v>19</v>
      </c>
      <c r="D195">
        <v>63</v>
      </c>
      <c r="E195">
        <v>31</v>
      </c>
      <c r="F195">
        <v>15</v>
      </c>
      <c r="G195">
        <v>0.46800000000000003</v>
      </c>
      <c r="H195">
        <v>1.9</v>
      </c>
      <c r="I195">
        <v>3.7</v>
      </c>
      <c r="J195">
        <v>0.83899999999999997</v>
      </c>
      <c r="K195">
        <v>3.7</v>
      </c>
      <c r="L195">
        <v>4.0999999999999996</v>
      </c>
      <c r="M195">
        <v>0.7</v>
      </c>
      <c r="N195">
        <v>0.2</v>
      </c>
      <c r="O195">
        <v>2.5</v>
      </c>
      <c r="P195">
        <v>19</v>
      </c>
      <c r="Q195" s="19">
        <f>(G195 - AVERAGE(FG_Range))*F195</f>
        <v>0.13376086956521899</v>
      </c>
      <c r="R195" s="19">
        <f>(J195 - AVERAGE(FT_RANGE))*I195</f>
        <v>0.22238608695652143</v>
      </c>
      <c r="S195" s="19">
        <f>(H195 - AVERAGE(Three_Range))/STDEV(Three_Range)</f>
        <v>0.41131870321016006</v>
      </c>
      <c r="T195" s="19">
        <f>(P195 - AVERAGE(Pts_Range))/STDEV(Pts_Range)</f>
        <v>0.86564399086924304</v>
      </c>
      <c r="U195" s="19">
        <f>(K195 - AVERAGE(Reb_Range))/STDEV(Reb_Range)</f>
        <v>-0.55400107918670016</v>
      </c>
      <c r="V195" s="19">
        <f>(L195 - AVERAGE(Ast_Range))/STDEV(Ast_Range)</f>
        <v>0.52644852526557062</v>
      </c>
      <c r="W195" s="19">
        <f>(M195 - AVERAGE(Stl_Range))/STDEV(Stl_Range)</f>
        <v>-0.53524974030117922</v>
      </c>
      <c r="X195" s="19">
        <f>(N195 - AVERAGE(Blk_Range))/STDEV(Blk_Range)</f>
        <v>-0.66483046767289355</v>
      </c>
      <c r="Y195" s="19">
        <f>(O195 - AVERAGE(Tov_Range))/STDEV(Tov_Range)*-1</f>
        <v>-0.92538969375969604</v>
      </c>
      <c r="Z195" s="19">
        <f t="shared" ref="Z195:Z231" si="3">SUM(Q195:Y195)</f>
        <v>-0.51991280505375459</v>
      </c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</row>
    <row r="196" spans="1:40" x14ac:dyDescent="0.55000000000000004">
      <c r="A196" t="s">
        <v>410</v>
      </c>
      <c r="B196" t="s">
        <v>25</v>
      </c>
      <c r="C196" t="s">
        <v>137</v>
      </c>
      <c r="D196">
        <v>65</v>
      </c>
      <c r="E196">
        <v>33</v>
      </c>
      <c r="F196">
        <v>16.7</v>
      </c>
      <c r="G196">
        <v>0.47199999999999998</v>
      </c>
      <c r="H196">
        <v>1.5</v>
      </c>
      <c r="I196">
        <v>4.0999999999999996</v>
      </c>
      <c r="J196">
        <v>0.84599999999999997</v>
      </c>
      <c r="K196">
        <v>3.1</v>
      </c>
      <c r="L196">
        <v>3</v>
      </c>
      <c r="M196">
        <v>1</v>
      </c>
      <c r="N196">
        <v>0.1</v>
      </c>
      <c r="O196">
        <v>2.4</v>
      </c>
      <c r="P196">
        <v>20.8</v>
      </c>
      <c r="Q196" s="19">
        <f>(G196 - AVERAGE(FG_Range))*F196</f>
        <v>0.2157204347826096</v>
      </c>
      <c r="R196" s="19">
        <f>(J196 - AVERAGE(FT_RANGE))*I196</f>
        <v>0.27512782608695618</v>
      </c>
      <c r="S196" s="19">
        <f>(H196 - AVERAGE(Three_Range))/STDEV(Three_Range)</f>
        <v>-3.2307565199390695E-2</v>
      </c>
      <c r="T196" s="19">
        <f>(P196 - AVERAGE(Pts_Range))/STDEV(Pts_Range)</f>
        <v>1.1686852662115963</v>
      </c>
      <c r="U196" s="19">
        <f>(K196 - AVERAGE(Reb_Range))/STDEV(Reb_Range)</f>
        <v>-0.79306345857308169</v>
      </c>
      <c r="V196" s="19">
        <f>(L196 - AVERAGE(Ast_Range))/STDEV(Ast_Range)</f>
        <v>-2.6672225947841181E-2</v>
      </c>
      <c r="W196" s="19">
        <f>(M196 - AVERAGE(Stl_Range))/STDEV(Stl_Range)</f>
        <v>0.27466762989139432</v>
      </c>
      <c r="X196" s="19">
        <f>(N196 - AVERAGE(Blk_Range))/STDEV(Blk_Range)</f>
        <v>-0.86238990897104029</v>
      </c>
      <c r="Y196" s="19">
        <f>(O196 - AVERAGE(Tov_Range))/STDEV(Tov_Range)*-1</f>
        <v>-0.81021673403852157</v>
      </c>
      <c r="Z196" s="19">
        <f t="shared" si="3"/>
        <v>-0.59044873575731915</v>
      </c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</row>
    <row r="197" spans="1:40" x14ac:dyDescent="0.55000000000000004">
      <c r="A197" t="s">
        <v>411</v>
      </c>
      <c r="B197" t="s">
        <v>25</v>
      </c>
      <c r="C197" t="s">
        <v>80</v>
      </c>
      <c r="D197">
        <v>47</v>
      </c>
      <c r="E197">
        <v>27.5</v>
      </c>
      <c r="F197">
        <v>7.5</v>
      </c>
      <c r="G197">
        <v>0.41599999999999998</v>
      </c>
      <c r="H197">
        <v>2.2000000000000002</v>
      </c>
      <c r="I197">
        <v>1.3</v>
      </c>
      <c r="J197">
        <v>0.90500000000000003</v>
      </c>
      <c r="K197">
        <v>1.9</v>
      </c>
      <c r="L197">
        <v>1.9</v>
      </c>
      <c r="M197">
        <v>0.4</v>
      </c>
      <c r="N197">
        <v>0.2</v>
      </c>
      <c r="O197">
        <v>0.8</v>
      </c>
      <c r="P197">
        <v>9.6999999999999993</v>
      </c>
      <c r="Q197" s="19">
        <f>(G197 - AVERAGE(FG_Range))*F197</f>
        <v>-0.32311956521739083</v>
      </c>
      <c r="R197" s="19">
        <f>(J197 - AVERAGE(FT_RANGE))*I197</f>
        <v>0.16393565217391301</v>
      </c>
      <c r="S197" s="19">
        <f>(H197 - AVERAGE(Three_Range))/STDEV(Three_Range)</f>
        <v>0.7440384045173235</v>
      </c>
      <c r="T197" s="19">
        <f>(P197 - AVERAGE(Pts_Range))/STDEV(Pts_Range)</f>
        <v>-0.700069265066248</v>
      </c>
      <c r="U197" s="19">
        <f>(K197 - AVERAGE(Reb_Range))/STDEV(Reb_Range)</f>
        <v>-1.2711882173458446</v>
      </c>
      <c r="V197" s="19">
        <f>(L197 - AVERAGE(Ast_Range))/STDEV(Ast_Range)</f>
        <v>-0.57979297716125322</v>
      </c>
      <c r="W197" s="19">
        <f>(M197 - AVERAGE(Stl_Range))/STDEV(Stl_Range)</f>
        <v>-1.3451671104937524</v>
      </c>
      <c r="X197" s="19">
        <f>(N197 - AVERAGE(Blk_Range))/STDEV(Blk_Range)</f>
        <v>-0.66483046767289355</v>
      </c>
      <c r="Y197" s="19">
        <f>(O197 - AVERAGE(Tov_Range))/STDEV(Tov_Range)*-1</f>
        <v>1.0325506215002676</v>
      </c>
      <c r="Z197" s="19">
        <f t="shared" si="3"/>
        <v>-2.9436429247658786</v>
      </c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</row>
    <row r="198" spans="1:40" x14ac:dyDescent="0.55000000000000004">
      <c r="A198" t="s">
        <v>412</v>
      </c>
      <c r="B198" t="s">
        <v>15</v>
      </c>
      <c r="C198" t="s">
        <v>45</v>
      </c>
      <c r="D198">
        <v>53</v>
      </c>
      <c r="E198">
        <v>35.5</v>
      </c>
      <c r="F198">
        <v>18.899999999999999</v>
      </c>
      <c r="G198">
        <v>0.45900000000000002</v>
      </c>
      <c r="H198">
        <v>2.2000000000000002</v>
      </c>
      <c r="I198">
        <v>5.2</v>
      </c>
      <c r="J198">
        <v>0.8</v>
      </c>
      <c r="K198">
        <v>7.5</v>
      </c>
      <c r="L198">
        <v>3.6</v>
      </c>
      <c r="M198">
        <v>1</v>
      </c>
      <c r="N198">
        <v>0.9</v>
      </c>
      <c r="O198">
        <v>2.5</v>
      </c>
      <c r="P198">
        <v>23.6</v>
      </c>
      <c r="Q198" s="19">
        <f>(G198 - AVERAGE(FG_Range))*F198</f>
        <v>-1.561304347824227E-3</v>
      </c>
      <c r="R198" s="19">
        <f>(J198 - AVERAGE(FT_RANGE))*I198</f>
        <v>0.10974260869565211</v>
      </c>
      <c r="S198" s="19">
        <f>(H198 - AVERAGE(Three_Range))/STDEV(Three_Range)</f>
        <v>0.7440384045173235</v>
      </c>
      <c r="T198" s="19">
        <f>(P198 - AVERAGE(Pts_Range))/STDEV(Pts_Range)</f>
        <v>1.6400828056330345</v>
      </c>
      <c r="U198" s="19">
        <f>(K198 - AVERAGE(Reb_Range))/STDEV(Reb_Range)</f>
        <v>0.96006065692704912</v>
      </c>
      <c r="V198" s="19">
        <f>(L198 - AVERAGE(Ast_Range))/STDEV(Ast_Range)</f>
        <v>0.27503000198674721</v>
      </c>
      <c r="W198" s="19">
        <f>(M198 - AVERAGE(Stl_Range))/STDEV(Stl_Range)</f>
        <v>0.27466762989139432</v>
      </c>
      <c r="X198" s="19">
        <f>(N198 - AVERAGE(Blk_Range))/STDEV(Blk_Range)</f>
        <v>0.71808562141413279</v>
      </c>
      <c r="Y198" s="19">
        <f>(O198 - AVERAGE(Tov_Range))/STDEV(Tov_Range)*-1</f>
        <v>-0.92538969375969604</v>
      </c>
      <c r="Z198" s="19">
        <f t="shared" si="3"/>
        <v>3.7947567309578139</v>
      </c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</row>
    <row r="199" spans="1:40" x14ac:dyDescent="0.55000000000000004">
      <c r="A199" t="s">
        <v>414</v>
      </c>
      <c r="B199" t="s">
        <v>47</v>
      </c>
      <c r="C199" t="s">
        <v>88</v>
      </c>
      <c r="D199">
        <v>54</v>
      </c>
      <c r="E199">
        <v>35.700000000000003</v>
      </c>
      <c r="F199">
        <v>11.4</v>
      </c>
      <c r="G199">
        <v>0.58499999999999996</v>
      </c>
      <c r="H199">
        <v>0</v>
      </c>
      <c r="I199">
        <v>5.3</v>
      </c>
      <c r="J199">
        <v>0.627</v>
      </c>
      <c r="K199">
        <v>7.8</v>
      </c>
      <c r="L199">
        <v>8.1999999999999993</v>
      </c>
      <c r="M199">
        <v>2.1</v>
      </c>
      <c r="N199">
        <v>0.6</v>
      </c>
      <c r="O199">
        <v>3.6</v>
      </c>
      <c r="P199">
        <v>16.7</v>
      </c>
      <c r="Q199" s="19">
        <f>(G199 - AVERAGE(FG_Range))*F199</f>
        <v>1.4354582608695658</v>
      </c>
      <c r="R199" s="19">
        <f>(J199 - AVERAGE(FT_RANGE))*I199</f>
        <v>-0.80504695652173941</v>
      </c>
      <c r="S199" s="19">
        <f>(H199 - AVERAGE(Three_Range))/STDEV(Three_Range)</f>
        <v>-1.6959060717352064</v>
      </c>
      <c r="T199" s="19">
        <f>(P199 - AVERAGE(Pts_Range))/STDEV(Pts_Range)</f>
        <v>0.47842458348734729</v>
      </c>
      <c r="U199" s="19">
        <f>(K199 - AVERAGE(Reb_Range))/STDEV(Reb_Range)</f>
        <v>1.0795918466202399</v>
      </c>
      <c r="V199" s="19">
        <f>(L199 - AVERAGE(Ast_Range))/STDEV(Ast_Range)</f>
        <v>2.5880804161519237</v>
      </c>
      <c r="W199" s="19">
        <f>(M199 - AVERAGE(Stl_Range))/STDEV(Stl_Range)</f>
        <v>3.2443646539308304</v>
      </c>
      <c r="X199" s="19">
        <f>(N199 - AVERAGE(Blk_Range))/STDEV(Blk_Range)</f>
        <v>0.12540729751969285</v>
      </c>
      <c r="Y199" s="19">
        <f>(O199 - AVERAGE(Tov_Range))/STDEV(Tov_Range)*-1</f>
        <v>-2.1922922506926139</v>
      </c>
      <c r="Z199" s="19">
        <f t="shared" si="3"/>
        <v>4.2580817796300394</v>
      </c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</row>
    <row r="200" spans="1:40" x14ac:dyDescent="0.55000000000000004">
      <c r="A200" t="s">
        <v>415</v>
      </c>
      <c r="B200" t="s">
        <v>25</v>
      </c>
      <c r="C200" t="s">
        <v>44</v>
      </c>
      <c r="D200">
        <v>65</v>
      </c>
      <c r="E200">
        <v>21.5</v>
      </c>
      <c r="F200">
        <v>8.1</v>
      </c>
      <c r="G200">
        <v>0.40200000000000002</v>
      </c>
      <c r="H200">
        <v>1.1000000000000001</v>
      </c>
      <c r="I200">
        <v>1.4</v>
      </c>
      <c r="J200">
        <v>0.82599999999999996</v>
      </c>
      <c r="K200">
        <v>2.2999999999999998</v>
      </c>
      <c r="L200">
        <v>1.5</v>
      </c>
      <c r="M200">
        <v>0.4</v>
      </c>
      <c r="N200">
        <v>0.2</v>
      </c>
      <c r="O200">
        <v>0.9</v>
      </c>
      <c r="P200">
        <v>8.8000000000000007</v>
      </c>
      <c r="Q200" s="19">
        <f>(G200 - AVERAGE(FG_Range))*F200</f>
        <v>-0.46236913043478173</v>
      </c>
      <c r="R200" s="19">
        <f>(J200 - AVERAGE(FT_RANGE))*I200</f>
        <v>6.5946086956521599E-2</v>
      </c>
      <c r="S200" s="19">
        <f>(H200 - AVERAGE(Three_Range))/STDEV(Three_Range)</f>
        <v>-0.47593383360894148</v>
      </c>
      <c r="T200" s="19">
        <f>(P200 - AVERAGE(Pts_Range))/STDEV(Pts_Range)</f>
        <v>-0.8515899027374243</v>
      </c>
      <c r="U200" s="19">
        <f>(K200 - AVERAGE(Reb_Range))/STDEV(Reb_Range)</f>
        <v>-1.1118132977549238</v>
      </c>
      <c r="V200" s="19">
        <f>(L200 - AVERAGE(Ast_Range))/STDEV(Ast_Range)</f>
        <v>-0.78092779578431204</v>
      </c>
      <c r="W200" s="19">
        <f>(M200 - AVERAGE(Stl_Range))/STDEV(Stl_Range)</f>
        <v>-1.3451671104937524</v>
      </c>
      <c r="X200" s="19">
        <f>(N200 - AVERAGE(Blk_Range))/STDEV(Blk_Range)</f>
        <v>-0.66483046767289355</v>
      </c>
      <c r="Y200" s="19">
        <f>(O200 - AVERAGE(Tov_Range))/STDEV(Tov_Range)*-1</f>
        <v>0.91737766177909319</v>
      </c>
      <c r="Z200" s="19">
        <f t="shared" si="3"/>
        <v>-4.7093077897514144</v>
      </c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</row>
    <row r="201" spans="1:40" x14ac:dyDescent="0.55000000000000004">
      <c r="A201" t="s">
        <v>416</v>
      </c>
      <c r="B201" t="s">
        <v>25</v>
      </c>
      <c r="C201" t="s">
        <v>109</v>
      </c>
      <c r="D201">
        <v>53</v>
      </c>
      <c r="E201">
        <v>32.5</v>
      </c>
      <c r="F201">
        <v>11.9</v>
      </c>
      <c r="G201">
        <v>0.38</v>
      </c>
      <c r="H201">
        <v>2.4</v>
      </c>
      <c r="I201">
        <v>2.4</v>
      </c>
      <c r="J201">
        <v>0.83499999999999996</v>
      </c>
      <c r="K201">
        <v>3.8</v>
      </c>
      <c r="L201">
        <v>4.8</v>
      </c>
      <c r="M201">
        <v>1.6</v>
      </c>
      <c r="N201">
        <v>0.5</v>
      </c>
      <c r="O201">
        <v>1.7</v>
      </c>
      <c r="P201">
        <v>13.5</v>
      </c>
      <c r="Q201" s="19">
        <f>(G201 - AVERAGE(FG_Range))*F201</f>
        <v>-0.94108304347825988</v>
      </c>
      <c r="R201" s="19">
        <f>(J201 - AVERAGE(FT_RANGE))*I201</f>
        <v>0.13465043478260846</v>
      </c>
      <c r="S201" s="19">
        <f>(H201 - AVERAGE(Three_Range))/STDEV(Three_Range)</f>
        <v>0.96585153872209861</v>
      </c>
      <c r="T201" s="19">
        <f>(P201 - AVERAGE(Pts_Range))/STDEV(Pts_Range)</f>
        <v>-6.0315461565724725E-2</v>
      </c>
      <c r="U201" s="19">
        <f>(K201 - AVERAGE(Reb_Range))/STDEV(Reb_Range)</f>
        <v>-0.51415734928897006</v>
      </c>
      <c r="V201" s="19">
        <f>(L201 - AVERAGE(Ast_Range))/STDEV(Ast_Range)</f>
        <v>0.87843445785592378</v>
      </c>
      <c r="W201" s="19">
        <f>(M201 - AVERAGE(Stl_Range))/STDEV(Stl_Range)</f>
        <v>1.8945023702765413</v>
      </c>
      <c r="X201" s="19">
        <f>(N201 - AVERAGE(Blk_Range))/STDEV(Blk_Range)</f>
        <v>-7.2152143778453748E-2</v>
      </c>
      <c r="Y201" s="19">
        <f>(O201 - AVERAGE(Tov_Range))/STDEV(Tov_Range)*-1</f>
        <v>-4.006015990301386E-3</v>
      </c>
      <c r="Z201" s="19">
        <f t="shared" si="3"/>
        <v>2.2817247875354623</v>
      </c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</row>
    <row r="202" spans="1:40" x14ac:dyDescent="0.55000000000000004">
      <c r="A202" t="s">
        <v>418</v>
      </c>
      <c r="B202" t="s">
        <v>47</v>
      </c>
      <c r="C202" t="s">
        <v>72</v>
      </c>
      <c r="D202">
        <v>60</v>
      </c>
      <c r="E202">
        <v>26.2</v>
      </c>
      <c r="F202">
        <v>9.6999999999999993</v>
      </c>
      <c r="G202">
        <v>0.45100000000000001</v>
      </c>
      <c r="H202">
        <v>0.9</v>
      </c>
      <c r="I202">
        <v>1.2</v>
      </c>
      <c r="J202">
        <v>0.68600000000000005</v>
      </c>
      <c r="K202">
        <v>3.2</v>
      </c>
      <c r="L202">
        <v>4.8</v>
      </c>
      <c r="M202">
        <v>0.9</v>
      </c>
      <c r="N202">
        <v>0.4</v>
      </c>
      <c r="O202">
        <v>1.3</v>
      </c>
      <c r="P202">
        <v>10.5</v>
      </c>
      <c r="Q202" s="19">
        <f>(G202 - AVERAGE(FG_Range))*F202</f>
        <v>-7.840130434782519E-2</v>
      </c>
      <c r="R202" s="19">
        <f>(J202 - AVERAGE(FT_RANGE))*I202</f>
        <v>-0.11147478260869566</v>
      </c>
      <c r="S202" s="19">
        <f>(H202 - AVERAGE(Three_Range))/STDEV(Three_Range)</f>
        <v>-0.69774696781371692</v>
      </c>
      <c r="T202" s="19">
        <f>(P202 - AVERAGE(Pts_Range))/STDEV(Pts_Range)</f>
        <v>-0.56538425380297985</v>
      </c>
      <c r="U202" s="19">
        <f>(K202 - AVERAGE(Reb_Range))/STDEV(Reb_Range)</f>
        <v>-0.75321972867535136</v>
      </c>
      <c r="V202" s="19">
        <f>(L202 - AVERAGE(Ast_Range))/STDEV(Ast_Range)</f>
        <v>0.87843445785592378</v>
      </c>
      <c r="W202" s="19">
        <f>(M202 - AVERAGE(Stl_Range))/STDEV(Stl_Range)</f>
        <v>4.6951731605365706E-3</v>
      </c>
      <c r="X202" s="19">
        <f>(N202 - AVERAGE(Blk_Range))/STDEV(Blk_Range)</f>
        <v>-0.26971158507660031</v>
      </c>
      <c r="Y202" s="19">
        <f>(O202 - AVERAGE(Tov_Range))/STDEV(Tov_Range)*-1</f>
        <v>0.4566858228943958</v>
      </c>
      <c r="Z202" s="19">
        <f t="shared" si="3"/>
        <v>-1.1361231684143132</v>
      </c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</row>
    <row r="203" spans="1:40" x14ac:dyDescent="0.55000000000000004">
      <c r="A203" t="s">
        <v>419</v>
      </c>
      <c r="B203" t="s">
        <v>35</v>
      </c>
      <c r="C203" t="s">
        <v>90</v>
      </c>
      <c r="D203">
        <v>59</v>
      </c>
      <c r="E203">
        <v>27.8</v>
      </c>
      <c r="F203">
        <v>6.5</v>
      </c>
      <c r="G203">
        <v>0.44500000000000001</v>
      </c>
      <c r="H203">
        <v>1.7</v>
      </c>
      <c r="I203">
        <v>0.5</v>
      </c>
      <c r="J203">
        <v>1</v>
      </c>
      <c r="K203">
        <v>1.9</v>
      </c>
      <c r="L203">
        <v>2.2000000000000002</v>
      </c>
      <c r="M203">
        <v>0.5</v>
      </c>
      <c r="N203">
        <v>0.3</v>
      </c>
      <c r="O203">
        <v>0.5</v>
      </c>
      <c r="P203">
        <v>8</v>
      </c>
      <c r="Q203" s="19">
        <f>(G203 - AVERAGE(FG_Range))*F203</f>
        <v>-9.1536956521738572E-2</v>
      </c>
      <c r="R203" s="19">
        <f>(J203 - AVERAGE(FT_RANGE))*I203</f>
        <v>0.11055217391304345</v>
      </c>
      <c r="S203" s="19">
        <f>(H203 - AVERAGE(Three_Range))/STDEV(Three_Range)</f>
        <v>0.18950556900538468</v>
      </c>
      <c r="T203" s="19">
        <f>(P203 - AVERAGE(Pts_Range))/STDEV(Pts_Range)</f>
        <v>-0.98627491400069245</v>
      </c>
      <c r="U203" s="19">
        <f>(K203 - AVERAGE(Reb_Range))/STDEV(Reb_Range)</f>
        <v>-1.2711882173458446</v>
      </c>
      <c r="V203" s="19">
        <f>(L203 - AVERAGE(Ast_Range))/STDEV(Ast_Range)</f>
        <v>-0.42894186319395888</v>
      </c>
      <c r="W203" s="19">
        <f>(M203 - AVERAGE(Stl_Range))/STDEV(Stl_Range)</f>
        <v>-1.0751946537628947</v>
      </c>
      <c r="X203" s="19">
        <f>(N203 - AVERAGE(Blk_Range))/STDEV(Blk_Range)</f>
        <v>-0.46727102637474699</v>
      </c>
      <c r="Y203" s="19">
        <f>(O203 - AVERAGE(Tov_Range))/STDEV(Tov_Range)*-1</f>
        <v>1.3780695006637904</v>
      </c>
      <c r="Z203" s="19">
        <f t="shared" si="3"/>
        <v>-2.6422803876176575</v>
      </c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</row>
    <row r="204" spans="1:40" x14ac:dyDescent="0.55000000000000004">
      <c r="A204" t="s">
        <v>424</v>
      </c>
      <c r="B204" t="s">
        <v>15</v>
      </c>
      <c r="C204" t="s">
        <v>109</v>
      </c>
      <c r="D204">
        <v>59</v>
      </c>
      <c r="E204">
        <v>34.6</v>
      </c>
      <c r="F204">
        <v>18.899999999999999</v>
      </c>
      <c r="G204">
        <v>0.44800000000000001</v>
      </c>
      <c r="H204">
        <v>2.8</v>
      </c>
      <c r="I204">
        <v>4.7</v>
      </c>
      <c r="J204">
        <v>0.80600000000000005</v>
      </c>
      <c r="K204">
        <v>7.1</v>
      </c>
      <c r="L204">
        <v>2.9</v>
      </c>
      <c r="M204">
        <v>1.4</v>
      </c>
      <c r="N204">
        <v>0.9</v>
      </c>
      <c r="O204">
        <v>2.2000000000000002</v>
      </c>
      <c r="P204">
        <v>23.6</v>
      </c>
      <c r="Q204" s="19">
        <f>(G204 - AVERAGE(FG_Range))*F204</f>
        <v>-0.2094613043478244</v>
      </c>
      <c r="R204" s="19">
        <f>(J204 - AVERAGE(FT_RANGE))*I204</f>
        <v>0.12739043478260867</v>
      </c>
      <c r="S204" s="19">
        <f>(H204 - AVERAGE(Three_Range))/STDEV(Three_Range)</f>
        <v>1.4094778071316494</v>
      </c>
      <c r="T204" s="19">
        <f>(P204 - AVERAGE(Pts_Range))/STDEV(Pts_Range)</f>
        <v>1.6400828056330345</v>
      </c>
      <c r="U204" s="19">
        <f>(K204 - AVERAGE(Reb_Range))/STDEV(Reb_Range)</f>
        <v>0.80068573733612802</v>
      </c>
      <c r="V204" s="19">
        <f>(L204 - AVERAGE(Ast_Range))/STDEV(Ast_Range)</f>
        <v>-7.6955930603605949E-2</v>
      </c>
      <c r="W204" s="19">
        <f>(M204 - AVERAGE(Stl_Range))/STDEV(Stl_Range)</f>
        <v>1.3545574568148253</v>
      </c>
      <c r="X204" s="19">
        <f>(N204 - AVERAGE(Blk_Range))/STDEV(Blk_Range)</f>
        <v>0.71808562141413279</v>
      </c>
      <c r="Y204" s="19">
        <f>(O204 - AVERAGE(Tov_Range))/STDEV(Tov_Range)*-1</f>
        <v>-0.57987081459617329</v>
      </c>
      <c r="Z204" s="19">
        <f t="shared" si="3"/>
        <v>5.1839918135647753</v>
      </c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</row>
    <row r="205" spans="1:40" x14ac:dyDescent="0.55000000000000004">
      <c r="A205" t="s">
        <v>425</v>
      </c>
      <c r="B205" t="s">
        <v>47</v>
      </c>
      <c r="C205" t="s">
        <v>77</v>
      </c>
      <c r="D205">
        <v>25</v>
      </c>
      <c r="E205">
        <v>20.8</v>
      </c>
      <c r="F205">
        <v>6.6</v>
      </c>
      <c r="G205">
        <v>0.41199999999999998</v>
      </c>
      <c r="H205">
        <v>0.4</v>
      </c>
      <c r="I205">
        <v>2.1</v>
      </c>
      <c r="J205">
        <v>0.88700000000000001</v>
      </c>
      <c r="K205">
        <v>2.2000000000000002</v>
      </c>
      <c r="L205">
        <v>4</v>
      </c>
      <c r="M205">
        <v>0.8</v>
      </c>
      <c r="N205">
        <v>0.2</v>
      </c>
      <c r="O205">
        <v>1.6</v>
      </c>
      <c r="P205">
        <v>7.7</v>
      </c>
      <c r="Q205" s="19">
        <f>(G205 - AVERAGE(FG_Range))*F205</f>
        <v>-0.31074521739130395</v>
      </c>
      <c r="R205" s="19">
        <f>(J205 - AVERAGE(FT_RANGE))*I205</f>
        <v>0.22701913043478253</v>
      </c>
      <c r="S205" s="19">
        <f>(H205 - AVERAGE(Three_Range))/STDEV(Three_Range)</f>
        <v>-1.2522798033256555</v>
      </c>
      <c r="T205" s="19">
        <f>(P205 - AVERAGE(Pts_Range))/STDEV(Pts_Range)</f>
        <v>-1.0367817932244179</v>
      </c>
      <c r="U205" s="19">
        <f>(K205 - AVERAGE(Reb_Range))/STDEV(Reb_Range)</f>
        <v>-1.1516570276526539</v>
      </c>
      <c r="V205" s="19">
        <f>(L205 - AVERAGE(Ast_Range))/STDEV(Ast_Range)</f>
        <v>0.47616482060980603</v>
      </c>
      <c r="W205" s="19">
        <f>(M205 - AVERAGE(Stl_Range))/STDEV(Stl_Range)</f>
        <v>-0.26527728357032115</v>
      </c>
      <c r="X205" s="19">
        <f>(N205 - AVERAGE(Blk_Range))/STDEV(Blk_Range)</f>
        <v>-0.66483046767289355</v>
      </c>
      <c r="Y205" s="19">
        <f>(O205 - AVERAGE(Tov_Range))/STDEV(Tov_Range)*-1</f>
        <v>0.11116694373087278</v>
      </c>
      <c r="Z205" s="19">
        <f t="shared" si="3"/>
        <v>-3.8672206980617845</v>
      </c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</row>
    <row r="206" spans="1:40" x14ac:dyDescent="0.55000000000000004">
      <c r="A206" t="s">
        <v>426</v>
      </c>
      <c r="B206" t="s">
        <v>25</v>
      </c>
      <c r="C206" t="s">
        <v>30</v>
      </c>
      <c r="D206">
        <v>55</v>
      </c>
      <c r="E206">
        <v>28.1</v>
      </c>
      <c r="F206">
        <v>9.5</v>
      </c>
      <c r="G206">
        <v>0.378</v>
      </c>
      <c r="H206">
        <v>2</v>
      </c>
      <c r="I206">
        <v>1.3</v>
      </c>
      <c r="J206">
        <v>0.76700000000000002</v>
      </c>
      <c r="K206">
        <v>3.5</v>
      </c>
      <c r="L206">
        <v>2.6</v>
      </c>
      <c r="M206">
        <v>0.8</v>
      </c>
      <c r="N206">
        <v>0.5</v>
      </c>
      <c r="O206">
        <v>1</v>
      </c>
      <c r="P206">
        <v>10.3</v>
      </c>
      <c r="Q206" s="19">
        <f>(G206 - AVERAGE(FG_Range))*F206</f>
        <v>-0.77028478260869493</v>
      </c>
      <c r="R206" s="19">
        <f>(J206 - AVERAGE(FT_RANGE))*I206</f>
        <v>-1.5464347826087011E-2</v>
      </c>
      <c r="S206" s="19">
        <f>(H206 - AVERAGE(Three_Range))/STDEV(Three_Range)</f>
        <v>0.52222527031254784</v>
      </c>
      <c r="T206" s="19">
        <f>(P206 - AVERAGE(Pts_Range))/STDEV(Pts_Range)</f>
        <v>-0.59905550661879681</v>
      </c>
      <c r="U206" s="19">
        <f>(K206 - AVERAGE(Reb_Range))/STDEV(Reb_Range)</f>
        <v>-0.63368853898216071</v>
      </c>
      <c r="V206" s="19">
        <f>(L206 - AVERAGE(Ast_Range))/STDEV(Ast_Range)</f>
        <v>-0.22780704457090004</v>
      </c>
      <c r="W206" s="19">
        <f>(M206 - AVERAGE(Stl_Range))/STDEV(Stl_Range)</f>
        <v>-0.26527728357032115</v>
      </c>
      <c r="X206" s="19">
        <f>(N206 - AVERAGE(Blk_Range))/STDEV(Blk_Range)</f>
        <v>-7.2152143778453748E-2</v>
      </c>
      <c r="Y206" s="19">
        <f>(O206 - AVERAGE(Tov_Range))/STDEV(Tov_Range)*-1</f>
        <v>0.80220470205791883</v>
      </c>
      <c r="Z206" s="19">
        <f t="shared" si="3"/>
        <v>-1.2592996755849477</v>
      </c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</row>
    <row r="207" spans="1:40" x14ac:dyDescent="0.55000000000000004">
      <c r="A207" t="s">
        <v>427</v>
      </c>
      <c r="B207" t="s">
        <v>18</v>
      </c>
      <c r="C207" t="s">
        <v>109</v>
      </c>
      <c r="D207">
        <v>58</v>
      </c>
      <c r="E207">
        <v>23.8</v>
      </c>
      <c r="F207">
        <v>6.6</v>
      </c>
      <c r="G207">
        <v>0.56499999999999995</v>
      </c>
      <c r="H207">
        <v>0.4</v>
      </c>
      <c r="I207">
        <v>1.8</v>
      </c>
      <c r="J207">
        <v>0.76400000000000001</v>
      </c>
      <c r="K207">
        <v>6.6</v>
      </c>
      <c r="L207">
        <v>1.6</v>
      </c>
      <c r="M207">
        <v>0.6</v>
      </c>
      <c r="N207">
        <v>1.3</v>
      </c>
      <c r="O207">
        <v>0.8</v>
      </c>
      <c r="P207">
        <v>9.3000000000000007</v>
      </c>
      <c r="Q207" s="19">
        <f>(G207 - AVERAGE(FG_Range))*F207</f>
        <v>0.6990547826086958</v>
      </c>
      <c r="R207" s="19">
        <f>(J207 - AVERAGE(FT_RANGE))*I207</f>
        <v>-2.6812173913043559E-2</v>
      </c>
      <c r="S207" s="19">
        <f>(H207 - AVERAGE(Three_Range))/STDEV(Three_Range)</f>
        <v>-1.2522798033256555</v>
      </c>
      <c r="T207" s="19">
        <f>(P207 - AVERAGE(Pts_Range))/STDEV(Pts_Range)</f>
        <v>-0.7674117706978818</v>
      </c>
      <c r="U207" s="19">
        <f>(K207 - AVERAGE(Reb_Range))/STDEV(Reb_Range)</f>
        <v>0.60146708784747682</v>
      </c>
      <c r="V207" s="19">
        <f>(L207 - AVERAGE(Ast_Range))/STDEV(Ast_Range)</f>
        <v>-0.73064409112854722</v>
      </c>
      <c r="W207" s="19">
        <f>(M207 - AVERAGE(Stl_Range))/STDEV(Stl_Range)</f>
        <v>-0.80522219703203701</v>
      </c>
      <c r="X207" s="19">
        <f>(N207 - AVERAGE(Blk_Range))/STDEV(Blk_Range)</f>
        <v>1.5083233866067194</v>
      </c>
      <c r="Y207" s="19">
        <f>(O207 - AVERAGE(Tov_Range))/STDEV(Tov_Range)*-1</f>
        <v>1.0325506215002676</v>
      </c>
      <c r="Z207" s="19">
        <f t="shared" si="3"/>
        <v>0.25902584246599436</v>
      </c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</row>
    <row r="208" spans="1:40" x14ac:dyDescent="0.55000000000000004">
      <c r="A208" t="s">
        <v>430</v>
      </c>
      <c r="B208" t="s">
        <v>18</v>
      </c>
      <c r="C208" t="s">
        <v>137</v>
      </c>
      <c r="D208">
        <v>57</v>
      </c>
      <c r="E208">
        <v>30.2</v>
      </c>
      <c r="F208">
        <v>9.9</v>
      </c>
      <c r="G208">
        <v>0.51200000000000001</v>
      </c>
      <c r="H208">
        <v>0.2</v>
      </c>
      <c r="I208">
        <v>2.8</v>
      </c>
      <c r="J208">
        <v>0.61499999999999999</v>
      </c>
      <c r="K208">
        <v>10.1</v>
      </c>
      <c r="L208">
        <v>2.1</v>
      </c>
      <c r="M208">
        <v>0.6</v>
      </c>
      <c r="N208">
        <v>0.9</v>
      </c>
      <c r="O208">
        <v>1.8</v>
      </c>
      <c r="P208">
        <v>12</v>
      </c>
      <c r="Q208" s="19">
        <f>(G208 - AVERAGE(FG_Range))*F208</f>
        <v>0.52388217391304437</v>
      </c>
      <c r="R208" s="19">
        <f>(J208 - AVERAGE(FT_RANGE))*I208</f>
        <v>-0.45890782608695668</v>
      </c>
      <c r="S208" s="19">
        <f>(H208 - AVERAGE(Three_Range))/STDEV(Three_Range)</f>
        <v>-1.474092937530431</v>
      </c>
      <c r="T208" s="19">
        <f>(P208 - AVERAGE(Pts_Range))/STDEV(Pts_Range)</f>
        <v>-0.31284985768435231</v>
      </c>
      <c r="U208" s="19">
        <f>(K208 - AVERAGE(Reb_Range))/STDEV(Reb_Range)</f>
        <v>1.9959976342680354</v>
      </c>
      <c r="V208" s="19">
        <f>(L208 - AVERAGE(Ast_Range))/STDEV(Ast_Range)</f>
        <v>-0.47922556784972364</v>
      </c>
      <c r="W208" s="19">
        <f>(M208 - AVERAGE(Stl_Range))/STDEV(Stl_Range)</f>
        <v>-0.80522219703203701</v>
      </c>
      <c r="X208" s="19">
        <f>(N208 - AVERAGE(Blk_Range))/STDEV(Blk_Range)</f>
        <v>0.71808562141413279</v>
      </c>
      <c r="Y208" s="19">
        <f>(O208 - AVERAGE(Tov_Range))/STDEV(Tov_Range)*-1</f>
        <v>-0.11917897571147582</v>
      </c>
      <c r="Z208" s="19">
        <f t="shared" si="3"/>
        <v>-0.41151193229976413</v>
      </c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</row>
    <row r="209" spans="1:40" x14ac:dyDescent="0.55000000000000004">
      <c r="A209" t="s">
        <v>484</v>
      </c>
      <c r="B209" t="s">
        <v>35</v>
      </c>
      <c r="C209" t="s">
        <v>96</v>
      </c>
      <c r="D209">
        <v>13</v>
      </c>
      <c r="E209">
        <v>20.9</v>
      </c>
      <c r="F209">
        <v>4.8</v>
      </c>
      <c r="G209">
        <v>0.46</v>
      </c>
      <c r="H209">
        <v>0.6</v>
      </c>
      <c r="I209">
        <v>0.4</v>
      </c>
      <c r="J209">
        <v>0.6</v>
      </c>
      <c r="K209">
        <v>4</v>
      </c>
      <c r="L209">
        <v>2</v>
      </c>
      <c r="M209">
        <v>1</v>
      </c>
      <c r="N209">
        <v>0.4</v>
      </c>
      <c r="O209">
        <v>1.2</v>
      </c>
      <c r="P209">
        <v>5.3</v>
      </c>
      <c r="Q209" s="19">
        <f>(G209 - AVERAGE(FG_Range))*F209</f>
        <v>4.4034782608700414E-3</v>
      </c>
      <c r="R209" s="19">
        <f>(J209 - AVERAGE(FT_RANGE))*I209</f>
        <v>-7.1558260869565252E-2</v>
      </c>
      <c r="S209" s="19">
        <f>(H209 - AVERAGE(Three_Range))/STDEV(Three_Range)</f>
        <v>-1.0304666691208801</v>
      </c>
      <c r="T209" s="19">
        <f>(P209 - AVERAGE(Pts_Range))/STDEV(Pts_Range)</f>
        <v>-1.4408368270142222</v>
      </c>
      <c r="U209" s="19">
        <f>(K209 - AVERAGE(Reb_Range))/STDEV(Reb_Range)</f>
        <v>-0.43446988949350951</v>
      </c>
      <c r="V209" s="19">
        <f>(L209 - AVERAGE(Ast_Range))/STDEV(Ast_Range)</f>
        <v>-0.5295092725054884</v>
      </c>
      <c r="W209" s="19">
        <f>(M209 - AVERAGE(Stl_Range))/STDEV(Stl_Range)</f>
        <v>0.27466762989139432</v>
      </c>
      <c r="X209" s="19">
        <f>(N209 - AVERAGE(Blk_Range))/STDEV(Blk_Range)</f>
        <v>-0.26971158507660031</v>
      </c>
      <c r="Y209" s="19">
        <f>(O209 - AVERAGE(Tov_Range))/STDEV(Tov_Range)*-1</f>
        <v>0.57185878261557022</v>
      </c>
      <c r="Z209" s="19">
        <f t="shared" si="3"/>
        <v>-2.9256226133124308</v>
      </c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</row>
    <row r="210" spans="1:40" x14ac:dyDescent="0.55000000000000004">
      <c r="A210" t="s">
        <v>432</v>
      </c>
      <c r="B210" t="s">
        <v>18</v>
      </c>
      <c r="C210" t="s">
        <v>65</v>
      </c>
      <c r="D210">
        <v>35</v>
      </c>
      <c r="E210">
        <v>33.9</v>
      </c>
      <c r="F210">
        <v>17.8</v>
      </c>
      <c r="G210">
        <v>0.50800000000000001</v>
      </c>
      <c r="H210">
        <v>3.3</v>
      </c>
      <c r="I210">
        <v>6.5</v>
      </c>
      <c r="J210">
        <v>0.79600000000000004</v>
      </c>
      <c r="K210">
        <v>10.8</v>
      </c>
      <c r="L210">
        <v>4.4000000000000004</v>
      </c>
      <c r="M210">
        <v>0.9</v>
      </c>
      <c r="N210">
        <v>1.2</v>
      </c>
      <c r="O210">
        <v>3.1</v>
      </c>
      <c r="P210">
        <v>26.5</v>
      </c>
      <c r="Q210" s="19">
        <f>(G210 - AVERAGE(FG_Range))*F210</f>
        <v>0.87072956521739286</v>
      </c>
      <c r="R210" s="19">
        <f>(J210 - AVERAGE(FT_RANGE))*I210</f>
        <v>0.11117826086956512</v>
      </c>
      <c r="S210" s="19">
        <f>(H210 - AVERAGE(Three_Range))/STDEV(Three_Range)</f>
        <v>1.9640106426435879</v>
      </c>
      <c r="T210" s="19">
        <f>(P210 - AVERAGE(Pts_Range))/STDEV(Pts_Range)</f>
        <v>2.1283159714623809</v>
      </c>
      <c r="U210" s="19">
        <f>(K210 - AVERAGE(Reb_Range))/STDEV(Reb_Range)</f>
        <v>2.2749037435521475</v>
      </c>
      <c r="V210" s="19">
        <f>(L210 - AVERAGE(Ast_Range))/STDEV(Ast_Range)</f>
        <v>0.67729963923286507</v>
      </c>
      <c r="W210" s="19">
        <f>(M210 - AVERAGE(Stl_Range))/STDEV(Stl_Range)</f>
        <v>4.6951731605365706E-3</v>
      </c>
      <c r="X210" s="19">
        <f>(N210 - AVERAGE(Blk_Range))/STDEV(Blk_Range)</f>
        <v>1.3107639453085724</v>
      </c>
      <c r="Y210" s="19">
        <f>(O210 - AVERAGE(Tov_Range))/STDEV(Tov_Range)*-1</f>
        <v>-1.6164274520867421</v>
      </c>
      <c r="Z210" s="19">
        <f t="shared" si="3"/>
        <v>7.7254694893603064</v>
      </c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</row>
    <row r="211" spans="1:40" x14ac:dyDescent="0.55000000000000004">
      <c r="A211" t="s">
        <v>435</v>
      </c>
      <c r="B211" t="s">
        <v>15</v>
      </c>
      <c r="C211" t="s">
        <v>37</v>
      </c>
      <c r="D211">
        <v>64</v>
      </c>
      <c r="E211">
        <v>34.4</v>
      </c>
      <c r="F211">
        <v>5.8</v>
      </c>
      <c r="G211">
        <v>0.433</v>
      </c>
      <c r="H211">
        <v>1.5</v>
      </c>
      <c r="I211">
        <v>0.7</v>
      </c>
      <c r="J211">
        <v>0.84099999999999997</v>
      </c>
      <c r="K211">
        <v>6.9</v>
      </c>
      <c r="L211">
        <v>1.6</v>
      </c>
      <c r="M211">
        <v>1.1000000000000001</v>
      </c>
      <c r="N211">
        <v>0.5</v>
      </c>
      <c r="O211">
        <v>1</v>
      </c>
      <c r="P211">
        <v>7.1</v>
      </c>
      <c r="Q211" s="19">
        <f>(G211 - AVERAGE(FG_Range))*F211</f>
        <v>-0.15127913043478217</v>
      </c>
      <c r="R211" s="19">
        <f>(J211 - AVERAGE(FT_RANGE))*I211</f>
        <v>4.3473043478260809E-2</v>
      </c>
      <c r="S211" s="19">
        <f>(H211 - AVERAGE(Three_Range))/STDEV(Three_Range)</f>
        <v>-3.2307565199390695E-2</v>
      </c>
      <c r="T211" s="19">
        <f>(P211 - AVERAGE(Pts_Range))/STDEV(Pts_Range)</f>
        <v>-1.1377955516718692</v>
      </c>
      <c r="U211" s="19">
        <f>(K211 - AVERAGE(Reb_Range))/STDEV(Reb_Range)</f>
        <v>0.72099827754066781</v>
      </c>
      <c r="V211" s="19">
        <f>(L211 - AVERAGE(Ast_Range))/STDEV(Ast_Range)</f>
        <v>-0.73064409112854722</v>
      </c>
      <c r="W211" s="19">
        <f>(M211 - AVERAGE(Stl_Range))/STDEV(Stl_Range)</f>
        <v>0.54464008662225238</v>
      </c>
      <c r="X211" s="19">
        <f>(N211 - AVERAGE(Blk_Range))/STDEV(Blk_Range)</f>
        <v>-7.2152143778453748E-2</v>
      </c>
      <c r="Y211" s="19">
        <f>(O211 - AVERAGE(Tov_Range))/STDEV(Tov_Range)*-1</f>
        <v>0.80220470205791883</v>
      </c>
      <c r="Z211" s="19">
        <f t="shared" si="3"/>
        <v>-1.2862372513943177E-2</v>
      </c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</row>
    <row r="212" spans="1:40" x14ac:dyDescent="0.55000000000000004">
      <c r="A212" t="s">
        <v>438</v>
      </c>
      <c r="B212" t="s">
        <v>18</v>
      </c>
      <c r="C212" t="s">
        <v>83</v>
      </c>
      <c r="D212">
        <v>55</v>
      </c>
      <c r="E212">
        <v>29.6</v>
      </c>
      <c r="F212">
        <v>9.4</v>
      </c>
      <c r="G212">
        <v>0.45100000000000001</v>
      </c>
      <c r="H212">
        <v>1.4</v>
      </c>
      <c r="I212">
        <v>2.6</v>
      </c>
      <c r="J212">
        <v>0.75</v>
      </c>
      <c r="K212">
        <v>6.5</v>
      </c>
      <c r="L212">
        <v>1.1000000000000001</v>
      </c>
      <c r="M212">
        <v>0.8</v>
      </c>
      <c r="N212">
        <v>2.2000000000000002</v>
      </c>
      <c r="O212">
        <v>1.2</v>
      </c>
      <c r="P212">
        <v>11.8</v>
      </c>
      <c r="Q212" s="19">
        <f>(G212 - AVERAGE(FG_Range))*F212</f>
        <v>-7.5976521739129582E-2</v>
      </c>
      <c r="R212" s="19">
        <f>(J212 - AVERAGE(FT_RANGE))*I212</f>
        <v>-7.512869565217406E-2</v>
      </c>
      <c r="S212" s="19">
        <f>(H212 - AVERAGE(Three_Range))/STDEV(Three_Range)</f>
        <v>-0.14321413230177851</v>
      </c>
      <c r="T212" s="19">
        <f>(P212 - AVERAGE(Pts_Range))/STDEV(Pts_Range)</f>
        <v>-0.3465211105001692</v>
      </c>
      <c r="U212" s="19">
        <f>(K212 - AVERAGE(Reb_Range))/STDEV(Reb_Range)</f>
        <v>0.56162335794974672</v>
      </c>
      <c r="V212" s="19">
        <f>(L212 - AVERAGE(Ast_Range))/STDEV(Ast_Range)</f>
        <v>-0.98206261440737086</v>
      </c>
      <c r="W212" s="19">
        <f>(M212 - AVERAGE(Stl_Range))/STDEV(Stl_Range)</f>
        <v>-0.26527728357032115</v>
      </c>
      <c r="X212" s="19">
        <f>(N212 - AVERAGE(Blk_Range))/STDEV(Blk_Range)</f>
        <v>3.2863583582900393</v>
      </c>
      <c r="Y212" s="19">
        <f>(O212 - AVERAGE(Tov_Range))/STDEV(Tov_Range)*-1</f>
        <v>0.57185878261557022</v>
      </c>
      <c r="Z212" s="19">
        <f t="shared" si="3"/>
        <v>2.531660140684413</v>
      </c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</row>
    <row r="213" spans="1:40" x14ac:dyDescent="0.55000000000000004">
      <c r="A213" t="s">
        <v>675</v>
      </c>
      <c r="B213" t="s">
        <v>18</v>
      </c>
      <c r="C213" t="s">
        <v>28</v>
      </c>
      <c r="D213">
        <v>62</v>
      </c>
      <c r="E213">
        <v>26.3</v>
      </c>
      <c r="F213">
        <v>10.6</v>
      </c>
      <c r="G213">
        <v>0.58599999999999997</v>
      </c>
      <c r="H213">
        <v>0.5</v>
      </c>
      <c r="I213">
        <v>2.7</v>
      </c>
      <c r="J213">
        <v>0.73199999999999998</v>
      </c>
      <c r="K213">
        <v>11.2</v>
      </c>
      <c r="L213">
        <v>1.8</v>
      </c>
      <c r="M213">
        <v>0.4</v>
      </c>
      <c r="N213">
        <v>1.1000000000000001</v>
      </c>
      <c r="O213">
        <v>1.7</v>
      </c>
      <c r="P213">
        <v>14.9</v>
      </c>
      <c r="Q213" s="19">
        <f>(G213 - AVERAGE(FG_Range))*F213</f>
        <v>1.3453243478260875</v>
      </c>
      <c r="R213" s="19">
        <f>(J213 - AVERAGE(FT_RANGE))*I213</f>
        <v>-0.12661826086956543</v>
      </c>
      <c r="S213" s="19">
        <f>(H213 - AVERAGE(Three_Range))/STDEV(Three_Range)</f>
        <v>-1.1413732362232678</v>
      </c>
      <c r="T213" s="19">
        <f>(P213 - AVERAGE(Pts_Range))/STDEV(Pts_Range)</f>
        <v>0.17538330814499439</v>
      </c>
      <c r="U213" s="19">
        <f>(K213 - AVERAGE(Reb_Range))/STDEV(Reb_Range)</f>
        <v>2.434278663143068</v>
      </c>
      <c r="V213" s="19">
        <f>(L213 - AVERAGE(Ast_Range))/STDEV(Ast_Range)</f>
        <v>-0.63007668181701781</v>
      </c>
      <c r="W213" s="19">
        <f>(M213 - AVERAGE(Stl_Range))/STDEV(Stl_Range)</f>
        <v>-1.3451671104937524</v>
      </c>
      <c r="X213" s="19">
        <f>(N213 - AVERAGE(Blk_Range))/STDEV(Blk_Range)</f>
        <v>1.1132045040104261</v>
      </c>
      <c r="Y213" s="19">
        <f>(O213 - AVERAGE(Tov_Range))/STDEV(Tov_Range)*-1</f>
        <v>-4.006015990301386E-3</v>
      </c>
      <c r="Z213" s="19">
        <f t="shared" si="3"/>
        <v>1.8209495177306712</v>
      </c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</row>
    <row r="214" spans="1:40" x14ac:dyDescent="0.55000000000000004">
      <c r="A214" t="s">
        <v>441</v>
      </c>
      <c r="B214" t="s">
        <v>47</v>
      </c>
      <c r="C214" t="s">
        <v>45</v>
      </c>
      <c r="D214">
        <v>48</v>
      </c>
      <c r="E214">
        <v>35.799999999999997</v>
      </c>
      <c r="F214">
        <v>14.6</v>
      </c>
      <c r="G214">
        <v>0.40899999999999997</v>
      </c>
      <c r="H214">
        <v>2.7</v>
      </c>
      <c r="I214">
        <v>3.5</v>
      </c>
      <c r="J214">
        <v>0.84299999999999997</v>
      </c>
      <c r="K214">
        <v>3.8</v>
      </c>
      <c r="L214">
        <v>6.6</v>
      </c>
      <c r="M214">
        <v>1.9</v>
      </c>
      <c r="N214">
        <v>0.3</v>
      </c>
      <c r="O214">
        <v>2.2999999999999998</v>
      </c>
      <c r="P214">
        <v>17.600000000000001</v>
      </c>
      <c r="Q214" s="19">
        <f>(G214 - AVERAGE(FG_Range))*F214</f>
        <v>-0.7312060869565209</v>
      </c>
      <c r="R214" s="19">
        <f>(J214 - AVERAGE(FT_RANGE))*I214</f>
        <v>0.22436521739130405</v>
      </c>
      <c r="S214" s="19">
        <f>(H214 - AVERAGE(Three_Range))/STDEV(Three_Range)</f>
        <v>1.2985712400292622</v>
      </c>
      <c r="T214" s="19">
        <f>(P214 - AVERAGE(Pts_Range))/STDEV(Pts_Range)</f>
        <v>0.62994522115852425</v>
      </c>
      <c r="U214" s="19">
        <f>(K214 - AVERAGE(Reb_Range))/STDEV(Reb_Range)</f>
        <v>-0.51415734928897006</v>
      </c>
      <c r="V214" s="19">
        <f>(L214 - AVERAGE(Ast_Range))/STDEV(Ast_Range)</f>
        <v>1.7835411416596887</v>
      </c>
      <c r="W214" s="19">
        <f>(M214 - AVERAGE(Stl_Range))/STDEV(Stl_Range)</f>
        <v>2.7044197404691142</v>
      </c>
      <c r="X214" s="19">
        <f>(N214 - AVERAGE(Blk_Range))/STDEV(Blk_Range)</f>
        <v>-0.46727102637474699</v>
      </c>
      <c r="Y214" s="19">
        <f>(O214 - AVERAGE(Tov_Range))/STDEV(Tov_Range)*-1</f>
        <v>-0.69504377431734721</v>
      </c>
      <c r="Z214" s="19">
        <f t="shared" si="3"/>
        <v>4.2331643237703087</v>
      </c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</row>
    <row r="215" spans="1:40" x14ac:dyDescent="0.55000000000000004">
      <c r="A215" t="s">
        <v>676</v>
      </c>
      <c r="B215" t="s">
        <v>18</v>
      </c>
      <c r="C215" t="s">
        <v>34</v>
      </c>
      <c r="D215">
        <v>54</v>
      </c>
      <c r="E215">
        <v>32.6</v>
      </c>
      <c r="F215">
        <v>16.899999999999999</v>
      </c>
      <c r="G215">
        <v>0.47</v>
      </c>
      <c r="H215">
        <v>1.5</v>
      </c>
      <c r="I215">
        <v>2.7</v>
      </c>
      <c r="J215">
        <v>0.78100000000000003</v>
      </c>
      <c r="K215">
        <v>11</v>
      </c>
      <c r="L215">
        <v>3.7</v>
      </c>
      <c r="M215">
        <v>0.9</v>
      </c>
      <c r="N215">
        <v>0.9</v>
      </c>
      <c r="O215">
        <v>1.4</v>
      </c>
      <c r="P215">
        <v>19.5</v>
      </c>
      <c r="Q215" s="19">
        <f>(G215 - AVERAGE(FG_Range))*F215</f>
        <v>0.18450391304347913</v>
      </c>
      <c r="R215" s="19">
        <f>(J215 - AVERAGE(FT_RANGE))*I215</f>
        <v>5.6817391304347046E-3</v>
      </c>
      <c r="S215" s="19">
        <f>(H215 - AVERAGE(Three_Range))/STDEV(Three_Range)</f>
        <v>-3.2307565199390695E-2</v>
      </c>
      <c r="T215" s="19">
        <f>(P215 - AVERAGE(Pts_Range))/STDEV(Pts_Range)</f>
        <v>0.94982212290878554</v>
      </c>
      <c r="U215" s="19">
        <f>(K215 - AVERAGE(Reb_Range))/STDEV(Reb_Range)</f>
        <v>2.3545912033476077</v>
      </c>
      <c r="V215" s="19">
        <f>(L215 - AVERAGE(Ast_Range))/STDEV(Ast_Range)</f>
        <v>0.32531370664251197</v>
      </c>
      <c r="W215" s="19">
        <f>(M215 - AVERAGE(Stl_Range))/STDEV(Stl_Range)</f>
        <v>4.6951731605365706E-3</v>
      </c>
      <c r="X215" s="19">
        <f>(N215 - AVERAGE(Blk_Range))/STDEV(Blk_Range)</f>
        <v>0.71808562141413279</v>
      </c>
      <c r="Y215" s="19">
        <f>(O215 - AVERAGE(Tov_Range))/STDEV(Tov_Range)*-1</f>
        <v>0.34151286317322166</v>
      </c>
      <c r="Z215" s="19">
        <f t="shared" si="3"/>
        <v>4.8518987776213196</v>
      </c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</row>
    <row r="216" spans="1:40" x14ac:dyDescent="0.55000000000000004">
      <c r="A216" t="s">
        <v>444</v>
      </c>
      <c r="B216" t="s">
        <v>47</v>
      </c>
      <c r="C216" t="s">
        <v>109</v>
      </c>
      <c r="D216">
        <v>50</v>
      </c>
      <c r="E216">
        <v>31.8</v>
      </c>
      <c r="F216">
        <v>16.600000000000001</v>
      </c>
      <c r="G216">
        <v>0.42099999999999999</v>
      </c>
      <c r="H216">
        <v>3.3</v>
      </c>
      <c r="I216">
        <v>4.5</v>
      </c>
      <c r="J216">
        <v>0.86699999999999999</v>
      </c>
      <c r="K216">
        <v>4.0999999999999996</v>
      </c>
      <c r="L216">
        <v>4.9000000000000004</v>
      </c>
      <c r="M216">
        <v>0.9</v>
      </c>
      <c r="N216">
        <v>0.5</v>
      </c>
      <c r="O216">
        <v>2.1</v>
      </c>
      <c r="P216">
        <v>21.2</v>
      </c>
      <c r="Q216" s="19">
        <f>(G216 - AVERAGE(FG_Range))*F216</f>
        <v>-0.63217130434782509</v>
      </c>
      <c r="R216" s="19">
        <f>(J216 - AVERAGE(FT_RANGE))*I216</f>
        <v>0.39646956521739102</v>
      </c>
      <c r="S216" s="19">
        <f>(H216 - AVERAGE(Three_Range))/STDEV(Three_Range)</f>
        <v>1.9640106426435879</v>
      </c>
      <c r="T216" s="19">
        <f>(P216 - AVERAGE(Pts_Range))/STDEV(Pts_Range)</f>
        <v>1.23602777184323</v>
      </c>
      <c r="U216" s="19">
        <f>(K216 - AVERAGE(Reb_Range))/STDEV(Reb_Range)</f>
        <v>-0.3946261595957794</v>
      </c>
      <c r="V216" s="19">
        <f>(L216 - AVERAGE(Ast_Range))/STDEV(Ast_Range)</f>
        <v>0.92871816251168871</v>
      </c>
      <c r="W216" s="19">
        <f>(M216 - AVERAGE(Stl_Range))/STDEV(Stl_Range)</f>
        <v>4.6951731605365706E-3</v>
      </c>
      <c r="X216" s="19">
        <f>(N216 - AVERAGE(Blk_Range))/STDEV(Blk_Range)</f>
        <v>-7.2152143778453748E-2</v>
      </c>
      <c r="Y216" s="19">
        <f>(O216 - AVERAGE(Tov_Range))/STDEV(Tov_Range)*-1</f>
        <v>-0.46469785487499882</v>
      </c>
      <c r="Z216" s="19">
        <f t="shared" si="3"/>
        <v>2.9662738527793771</v>
      </c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</row>
    <row r="217" spans="1:40" x14ac:dyDescent="0.55000000000000004">
      <c r="A217" t="s">
        <v>447</v>
      </c>
      <c r="B217" t="s">
        <v>35</v>
      </c>
      <c r="C217" t="s">
        <v>83</v>
      </c>
      <c r="D217">
        <v>61</v>
      </c>
      <c r="E217">
        <v>32.5</v>
      </c>
      <c r="F217">
        <v>14.2</v>
      </c>
      <c r="G217">
        <v>0.52900000000000003</v>
      </c>
      <c r="H217">
        <v>1.1000000000000001</v>
      </c>
      <c r="I217">
        <v>3</v>
      </c>
      <c r="J217">
        <v>0.81200000000000006</v>
      </c>
      <c r="K217">
        <v>4</v>
      </c>
      <c r="L217">
        <v>1.4</v>
      </c>
      <c r="M217">
        <v>1.1000000000000001</v>
      </c>
      <c r="N217">
        <v>0.4</v>
      </c>
      <c r="O217">
        <v>1.3</v>
      </c>
      <c r="P217">
        <v>18.7</v>
      </c>
      <c r="Q217" s="19">
        <f>(G217 - AVERAGE(FG_Range))*F217</f>
        <v>0.99282695652174058</v>
      </c>
      <c r="R217" s="19">
        <f>(J217 - AVERAGE(FT_RANGE))*I217</f>
        <v>9.9313043478260865E-2</v>
      </c>
      <c r="S217" s="19">
        <f>(H217 - AVERAGE(Three_Range))/STDEV(Three_Range)</f>
        <v>-0.47593383360894148</v>
      </c>
      <c r="T217" s="19">
        <f>(P217 - AVERAGE(Pts_Range))/STDEV(Pts_Range)</f>
        <v>0.81513711164551739</v>
      </c>
      <c r="U217" s="19">
        <f>(K217 - AVERAGE(Reb_Range))/STDEV(Reb_Range)</f>
        <v>-0.43446988949350951</v>
      </c>
      <c r="V217" s="19">
        <f>(L217 - AVERAGE(Ast_Range))/STDEV(Ast_Range)</f>
        <v>-0.83121150044007674</v>
      </c>
      <c r="W217" s="19">
        <f>(M217 - AVERAGE(Stl_Range))/STDEV(Stl_Range)</f>
        <v>0.54464008662225238</v>
      </c>
      <c r="X217" s="19">
        <f>(N217 - AVERAGE(Blk_Range))/STDEV(Blk_Range)</f>
        <v>-0.26971158507660031</v>
      </c>
      <c r="Y217" s="19">
        <f>(O217 - AVERAGE(Tov_Range))/STDEV(Tov_Range)*-1</f>
        <v>0.4566858228943958</v>
      </c>
      <c r="Z217" s="19">
        <f t="shared" si="3"/>
        <v>0.89727621254303891</v>
      </c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</row>
    <row r="218" spans="1:40" x14ac:dyDescent="0.55000000000000004">
      <c r="A218" t="s">
        <v>487</v>
      </c>
      <c r="B218" t="s">
        <v>15</v>
      </c>
      <c r="C218" t="s">
        <v>56</v>
      </c>
      <c r="D218">
        <v>58</v>
      </c>
      <c r="E218">
        <v>30.3</v>
      </c>
      <c r="F218">
        <v>10.199999999999999</v>
      </c>
      <c r="G218">
        <v>0.45500000000000002</v>
      </c>
      <c r="H218">
        <v>1.5</v>
      </c>
      <c r="I218">
        <v>2.2999999999999998</v>
      </c>
      <c r="J218">
        <v>0.64700000000000002</v>
      </c>
      <c r="K218">
        <v>5.4</v>
      </c>
      <c r="L218">
        <v>2.1</v>
      </c>
      <c r="M218">
        <v>0.9</v>
      </c>
      <c r="N218">
        <v>0.8</v>
      </c>
      <c r="O218">
        <v>1.6</v>
      </c>
      <c r="P218">
        <v>12.2</v>
      </c>
      <c r="Q218" s="19">
        <f>(G218 - AVERAGE(FG_Range))*F218</f>
        <v>-4.1642608695651201E-2</v>
      </c>
      <c r="R218" s="19">
        <f>(J218 - AVERAGE(FT_RANGE))*I218</f>
        <v>-0.30336000000000007</v>
      </c>
      <c r="S218" s="19">
        <f>(H218 - AVERAGE(Three_Range))/STDEV(Three_Range)</f>
        <v>-3.2307565199390695E-2</v>
      </c>
      <c r="T218" s="19">
        <f>(P218 - AVERAGE(Pts_Range))/STDEV(Pts_Range)</f>
        <v>-0.27917860486853541</v>
      </c>
      <c r="U218" s="19">
        <f>(K218 - AVERAGE(Reb_Range))/STDEV(Reb_Range)</f>
        <v>0.12334232907471411</v>
      </c>
      <c r="V218" s="19">
        <f>(L218 - AVERAGE(Ast_Range))/STDEV(Ast_Range)</f>
        <v>-0.47922556784972364</v>
      </c>
      <c r="W218" s="19">
        <f>(M218 - AVERAGE(Stl_Range))/STDEV(Stl_Range)</f>
        <v>4.6951731605365706E-3</v>
      </c>
      <c r="X218" s="19">
        <f>(N218 - AVERAGE(Blk_Range))/STDEV(Blk_Range)</f>
        <v>0.52052618011598617</v>
      </c>
      <c r="Y218" s="19">
        <f>(O218 - AVERAGE(Tov_Range))/STDEV(Tov_Range)*-1</f>
        <v>0.11116694373087278</v>
      </c>
      <c r="Z218" s="19">
        <f t="shared" si="3"/>
        <v>-0.37598372053119145</v>
      </c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</row>
    <row r="219" spans="1:40" x14ac:dyDescent="0.55000000000000004">
      <c r="A219" t="s">
        <v>451</v>
      </c>
      <c r="B219" t="s">
        <v>47</v>
      </c>
      <c r="C219" t="s">
        <v>37</v>
      </c>
      <c r="D219">
        <v>53</v>
      </c>
      <c r="E219">
        <v>35.9</v>
      </c>
      <c r="F219">
        <v>22.6</v>
      </c>
      <c r="G219">
        <v>0.47399999999999998</v>
      </c>
      <c r="H219">
        <v>1</v>
      </c>
      <c r="I219">
        <v>6.5</v>
      </c>
      <c r="J219">
        <v>0.77700000000000002</v>
      </c>
      <c r="K219">
        <v>8</v>
      </c>
      <c r="L219">
        <v>7</v>
      </c>
      <c r="M219">
        <v>1.7</v>
      </c>
      <c r="N219">
        <v>0.3</v>
      </c>
      <c r="O219">
        <v>4.5</v>
      </c>
      <c r="P219">
        <v>27.5</v>
      </c>
      <c r="Q219" s="19">
        <f>(G219 - AVERAGE(FG_Range))*F219</f>
        <v>0.33713304347826217</v>
      </c>
      <c r="R219" s="19">
        <f>(J219 - AVERAGE(FT_RANGE))*I219</f>
        <v>-1.2321739130434994E-2</v>
      </c>
      <c r="S219" s="19">
        <f>(H219 - AVERAGE(Three_Range))/STDEV(Three_Range)</f>
        <v>-0.58684040071132926</v>
      </c>
      <c r="T219" s="19">
        <f>(P219 - AVERAGE(Pts_Range))/STDEV(Pts_Range)</f>
        <v>2.2966722355414659</v>
      </c>
      <c r="U219" s="19">
        <f>(K219 - AVERAGE(Reb_Range))/STDEV(Reb_Range)</f>
        <v>1.1592793064157003</v>
      </c>
      <c r="V219" s="19">
        <f>(L219 - AVERAGE(Ast_Range))/STDEV(Ast_Range)</f>
        <v>1.9846759602827477</v>
      </c>
      <c r="W219" s="19">
        <f>(M219 - AVERAGE(Stl_Range))/STDEV(Stl_Range)</f>
        <v>2.1644748270073988</v>
      </c>
      <c r="X219" s="19">
        <f>(N219 - AVERAGE(Blk_Range))/STDEV(Blk_Range)</f>
        <v>-0.46727102637474699</v>
      </c>
      <c r="Y219" s="19">
        <f>(O219 - AVERAGE(Tov_Range))/STDEV(Tov_Range)*-1</f>
        <v>-3.2288488881831827</v>
      </c>
      <c r="Z219" s="19">
        <f t="shared" si="3"/>
        <v>3.6469533183258807</v>
      </c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</row>
    <row r="220" spans="1:40" x14ac:dyDescent="0.55000000000000004">
      <c r="A220" t="s">
        <v>452</v>
      </c>
      <c r="B220" t="s">
        <v>25</v>
      </c>
      <c r="C220" t="s">
        <v>48</v>
      </c>
      <c r="D220">
        <v>65</v>
      </c>
      <c r="E220">
        <v>25.8</v>
      </c>
      <c r="F220">
        <v>12.2</v>
      </c>
      <c r="G220">
        <v>0.39400000000000002</v>
      </c>
      <c r="H220">
        <v>2</v>
      </c>
      <c r="I220">
        <v>2</v>
      </c>
      <c r="J220">
        <v>0.79100000000000004</v>
      </c>
      <c r="K220">
        <v>3.5</v>
      </c>
      <c r="L220">
        <v>2.7</v>
      </c>
      <c r="M220">
        <v>0.8</v>
      </c>
      <c r="N220">
        <v>0.1</v>
      </c>
      <c r="O220">
        <v>1.7</v>
      </c>
      <c r="P220">
        <v>13.2</v>
      </c>
      <c r="Q220" s="19">
        <f>(G220 - AVERAGE(FG_Range))*F220</f>
        <v>-0.7940078260869553</v>
      </c>
      <c r="R220" s="19">
        <f>(J220 - AVERAGE(FT_RANGE))*I220</f>
        <v>2.4208695652173873E-2</v>
      </c>
      <c r="S220" s="19">
        <f>(H220 - AVERAGE(Three_Range))/STDEV(Three_Range)</f>
        <v>0.52222527031254784</v>
      </c>
      <c r="T220" s="19">
        <f>(P220 - AVERAGE(Pts_Range))/STDEV(Pts_Range)</f>
        <v>-0.11082234078945036</v>
      </c>
      <c r="U220" s="19">
        <f>(K220 - AVERAGE(Reb_Range))/STDEV(Reb_Range)</f>
        <v>-0.63368853898216071</v>
      </c>
      <c r="V220" s="19">
        <f>(L220 - AVERAGE(Ast_Range))/STDEV(Ast_Range)</f>
        <v>-0.17752333991513525</v>
      </c>
      <c r="W220" s="19">
        <f>(M220 - AVERAGE(Stl_Range))/STDEV(Stl_Range)</f>
        <v>-0.26527728357032115</v>
      </c>
      <c r="X220" s="19">
        <f>(N220 - AVERAGE(Blk_Range))/STDEV(Blk_Range)</f>
        <v>-0.86238990897104029</v>
      </c>
      <c r="Y220" s="19">
        <f>(O220 - AVERAGE(Tov_Range))/STDEV(Tov_Range)*-1</f>
        <v>-4.006015990301386E-3</v>
      </c>
      <c r="Z220" s="19">
        <f t="shared" si="3"/>
        <v>-2.3012812883406428</v>
      </c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</row>
    <row r="221" spans="1:40" x14ac:dyDescent="0.55000000000000004">
      <c r="A221" t="s">
        <v>453</v>
      </c>
      <c r="B221" t="s">
        <v>25</v>
      </c>
      <c r="C221" t="s">
        <v>23</v>
      </c>
      <c r="D221">
        <v>61</v>
      </c>
      <c r="E221">
        <v>24.1</v>
      </c>
      <c r="F221">
        <v>7.6</v>
      </c>
      <c r="G221">
        <v>0.45900000000000002</v>
      </c>
      <c r="H221">
        <v>0.9</v>
      </c>
      <c r="I221">
        <v>2.9</v>
      </c>
      <c r="J221">
        <v>0.85699999999999998</v>
      </c>
      <c r="K221">
        <v>3.2</v>
      </c>
      <c r="L221">
        <v>3.4</v>
      </c>
      <c r="M221">
        <v>0.6</v>
      </c>
      <c r="N221">
        <v>0.9</v>
      </c>
      <c r="O221">
        <v>1.2</v>
      </c>
      <c r="P221">
        <v>10.4</v>
      </c>
      <c r="Q221" s="19">
        <f>(G221 - AVERAGE(FG_Range))*F221</f>
        <v>-6.2782608695577391E-4</v>
      </c>
      <c r="R221" s="19">
        <f>(J221 - AVERAGE(FT_RANGE))*I221</f>
        <v>0.22650260869565195</v>
      </c>
      <c r="S221" s="19">
        <f>(H221 - AVERAGE(Three_Range))/STDEV(Three_Range)</f>
        <v>-0.69774696781371692</v>
      </c>
      <c r="T221" s="19">
        <f>(P221 - AVERAGE(Pts_Range))/STDEV(Pts_Range)</f>
        <v>-0.58221988021088833</v>
      </c>
      <c r="U221" s="19">
        <f>(K221 - AVERAGE(Reb_Range))/STDEV(Reb_Range)</f>
        <v>-0.75321972867535136</v>
      </c>
      <c r="V221" s="19">
        <f>(L221 - AVERAGE(Ast_Range))/STDEV(Ast_Range)</f>
        <v>0.17446259267521766</v>
      </c>
      <c r="W221" s="19">
        <f>(M221 - AVERAGE(Stl_Range))/STDEV(Stl_Range)</f>
        <v>-0.80522219703203701</v>
      </c>
      <c r="X221" s="19">
        <f>(N221 - AVERAGE(Blk_Range))/STDEV(Blk_Range)</f>
        <v>0.71808562141413279</v>
      </c>
      <c r="Y221" s="19">
        <f>(O221 - AVERAGE(Tov_Range))/STDEV(Tov_Range)*-1</f>
        <v>0.57185878261557022</v>
      </c>
      <c r="Z221" s="19">
        <f t="shared" si="3"/>
        <v>-1.1481269944183765</v>
      </c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</row>
    <row r="222" spans="1:40" x14ac:dyDescent="0.55000000000000004">
      <c r="A222" t="s">
        <v>454</v>
      </c>
      <c r="B222" t="s">
        <v>18</v>
      </c>
      <c r="C222" t="s">
        <v>44</v>
      </c>
      <c r="D222">
        <v>61</v>
      </c>
      <c r="E222">
        <v>31.3</v>
      </c>
      <c r="F222">
        <v>11.1</v>
      </c>
      <c r="G222">
        <v>0.61799999999999999</v>
      </c>
      <c r="H222">
        <v>0.1</v>
      </c>
      <c r="I222">
        <v>3.7</v>
      </c>
      <c r="J222">
        <v>0.68</v>
      </c>
      <c r="K222">
        <v>14.2</v>
      </c>
      <c r="L222">
        <v>1.2</v>
      </c>
      <c r="M222">
        <v>0.4</v>
      </c>
      <c r="N222">
        <v>3.1</v>
      </c>
      <c r="O222">
        <v>1.9</v>
      </c>
      <c r="P222">
        <v>16.3</v>
      </c>
      <c r="Q222" s="19">
        <f>(G222 - AVERAGE(FG_Range))*F222</f>
        <v>1.7639830434782615</v>
      </c>
      <c r="R222" s="19">
        <f>(J222 - AVERAGE(FT_RANGE))*I222</f>
        <v>-0.36591391304347831</v>
      </c>
      <c r="S222" s="19">
        <f>(H222 - AVERAGE(Three_Range))/STDEV(Three_Range)</f>
        <v>-1.5849995046328187</v>
      </c>
      <c r="T222" s="19">
        <f>(P222 - AVERAGE(Pts_Range))/STDEV(Pts_Range)</f>
        <v>0.41108207785571355</v>
      </c>
      <c r="U222" s="19">
        <f>(K222 - AVERAGE(Reb_Range))/STDEV(Reb_Range)</f>
        <v>3.6295905600749756</v>
      </c>
      <c r="V222" s="19">
        <f>(L222 - AVERAGE(Ast_Range))/STDEV(Ast_Range)</f>
        <v>-0.93177890975160627</v>
      </c>
      <c r="W222" s="19">
        <f>(M222 - AVERAGE(Stl_Range))/STDEV(Stl_Range)</f>
        <v>-1.3451671104937524</v>
      </c>
      <c r="X222" s="19">
        <f>(N222 - AVERAGE(Blk_Range))/STDEV(Blk_Range)</f>
        <v>5.0643933299733579</v>
      </c>
      <c r="Y222" s="19">
        <f>(O222 - AVERAGE(Tov_Range))/STDEV(Tov_Range)*-1</f>
        <v>-0.23435193543264998</v>
      </c>
      <c r="Z222" s="19">
        <f t="shared" si="3"/>
        <v>6.4068376380280023</v>
      </c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</row>
    <row r="223" spans="1:40" x14ac:dyDescent="0.55000000000000004">
      <c r="A223" t="s">
        <v>455</v>
      </c>
      <c r="B223" t="s">
        <v>25</v>
      </c>
      <c r="C223" t="s">
        <v>96</v>
      </c>
      <c r="D223">
        <v>12</v>
      </c>
      <c r="E223">
        <v>33.6</v>
      </c>
      <c r="F223">
        <v>15.7</v>
      </c>
      <c r="G223">
        <v>0.45700000000000002</v>
      </c>
      <c r="H223">
        <v>1.7</v>
      </c>
      <c r="I223">
        <v>5.0999999999999996</v>
      </c>
      <c r="J223">
        <v>0.67200000000000004</v>
      </c>
      <c r="K223">
        <v>4.5999999999999996</v>
      </c>
      <c r="L223">
        <v>3.6</v>
      </c>
      <c r="M223">
        <v>1.3</v>
      </c>
      <c r="N223">
        <v>1.4</v>
      </c>
      <c r="O223">
        <v>2.1</v>
      </c>
      <c r="P223">
        <v>19.399999999999999</v>
      </c>
      <c r="Q223" s="19">
        <f>(G223 - AVERAGE(FG_Range))*F223</f>
        <v>-3.2696956521737611E-2</v>
      </c>
      <c r="R223" s="19">
        <f>(J223 - AVERAGE(FT_RANGE))*I223</f>
        <v>-0.54516782608695658</v>
      </c>
      <c r="S223" s="19">
        <f>(H223 - AVERAGE(Three_Range))/STDEV(Three_Range)</f>
        <v>0.18950556900538468</v>
      </c>
      <c r="T223" s="19">
        <f>(P223 - AVERAGE(Pts_Range))/STDEV(Pts_Range)</f>
        <v>0.93298649650087684</v>
      </c>
      <c r="U223" s="19">
        <f>(K223 - AVERAGE(Reb_Range))/STDEV(Reb_Range)</f>
        <v>-0.19540751010712815</v>
      </c>
      <c r="V223" s="19">
        <f>(L223 - AVERAGE(Ast_Range))/STDEV(Ast_Range)</f>
        <v>0.27503000198674721</v>
      </c>
      <c r="W223" s="19">
        <f>(M223 - AVERAGE(Stl_Range))/STDEV(Stl_Range)</f>
        <v>1.0845850000839679</v>
      </c>
      <c r="X223" s="19">
        <f>(N223 - AVERAGE(Blk_Range))/STDEV(Blk_Range)</f>
        <v>1.7058828279048657</v>
      </c>
      <c r="Y223" s="19">
        <f>(O223 - AVERAGE(Tov_Range))/STDEV(Tov_Range)*-1</f>
        <v>-0.46469785487499882</v>
      </c>
      <c r="Z223" s="19">
        <f t="shared" si="3"/>
        <v>2.9500197478910208</v>
      </c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</row>
    <row r="224" spans="1:40" x14ac:dyDescent="0.55000000000000004">
      <c r="A224" t="s">
        <v>458</v>
      </c>
      <c r="B224" t="s">
        <v>15</v>
      </c>
      <c r="C224" t="s">
        <v>26</v>
      </c>
      <c r="D224">
        <v>35</v>
      </c>
      <c r="E224">
        <v>22.3</v>
      </c>
      <c r="F224">
        <v>4.0999999999999996</v>
      </c>
      <c r="G224">
        <v>0.34300000000000003</v>
      </c>
      <c r="H224">
        <v>0.7</v>
      </c>
      <c r="I224">
        <v>0.7</v>
      </c>
      <c r="J224">
        <v>0.375</v>
      </c>
      <c r="K224">
        <v>5.0999999999999996</v>
      </c>
      <c r="L224">
        <v>1.5</v>
      </c>
      <c r="M224">
        <v>0.7</v>
      </c>
      <c r="N224">
        <v>0.6</v>
      </c>
      <c r="O224">
        <v>0.6</v>
      </c>
      <c r="P224">
        <v>3.8</v>
      </c>
      <c r="Q224" s="19">
        <f>(G224 - AVERAGE(FG_Range))*F224</f>
        <v>-0.47593869565217345</v>
      </c>
      <c r="R224" s="19">
        <f>(J224 - AVERAGE(FT_RANGE))*I224</f>
        <v>-0.28272695652173913</v>
      </c>
      <c r="S224" s="19">
        <f>(H224 - AVERAGE(Three_Range))/STDEV(Three_Range)</f>
        <v>-0.91956010201849248</v>
      </c>
      <c r="T224" s="19">
        <f>(P224 - AVERAGE(Pts_Range))/STDEV(Pts_Range)</f>
        <v>-1.6933712231328499</v>
      </c>
      <c r="U224" s="19">
        <f>(K224 - AVERAGE(Reb_Range))/STDEV(Reb_Range)</f>
        <v>3.8111393815230808E-3</v>
      </c>
      <c r="V224" s="19">
        <f>(L224 - AVERAGE(Ast_Range))/STDEV(Ast_Range)</f>
        <v>-0.78092779578431204</v>
      </c>
      <c r="W224" s="19">
        <f>(M224 - AVERAGE(Stl_Range))/STDEV(Stl_Range)</f>
        <v>-0.53524974030117922</v>
      </c>
      <c r="X224" s="19">
        <f>(N224 - AVERAGE(Blk_Range))/STDEV(Blk_Range)</f>
        <v>0.12540729751969285</v>
      </c>
      <c r="Y224" s="19">
        <f>(O224 - AVERAGE(Tov_Range))/STDEV(Tov_Range)*-1</f>
        <v>1.2628965409426163</v>
      </c>
      <c r="Z224" s="19">
        <f t="shared" si="3"/>
        <v>-3.295659535566914</v>
      </c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</row>
    <row r="225" spans="1:40" x14ac:dyDescent="0.55000000000000004">
      <c r="A225" t="s">
        <v>459</v>
      </c>
      <c r="B225" t="s">
        <v>25</v>
      </c>
      <c r="C225" t="s">
        <v>80</v>
      </c>
      <c r="D225">
        <v>60</v>
      </c>
      <c r="E225">
        <v>29.3</v>
      </c>
      <c r="F225">
        <v>14.7</v>
      </c>
      <c r="G225">
        <v>0.41599999999999998</v>
      </c>
      <c r="H225">
        <v>1.8</v>
      </c>
      <c r="I225">
        <v>5.4</v>
      </c>
      <c r="J225">
        <v>0.86299999999999999</v>
      </c>
      <c r="K225">
        <v>3.1</v>
      </c>
      <c r="L225">
        <v>5.7</v>
      </c>
      <c r="M225">
        <v>0.7</v>
      </c>
      <c r="N225">
        <v>0.2</v>
      </c>
      <c r="O225">
        <v>2.9</v>
      </c>
      <c r="P225">
        <v>18.7</v>
      </c>
      <c r="Q225" s="19">
        <f>(G225 - AVERAGE(FG_Range))*F225</f>
        <v>-0.63331434782608609</v>
      </c>
      <c r="R225" s="19">
        <f>(J225 - AVERAGE(FT_RANGE))*I225</f>
        <v>0.45416347826086922</v>
      </c>
      <c r="S225" s="19">
        <f>(H225 - AVERAGE(Three_Range))/STDEV(Three_Range)</f>
        <v>0.30041213610777251</v>
      </c>
      <c r="T225" s="19">
        <f>(P225 - AVERAGE(Pts_Range))/STDEV(Pts_Range)</f>
        <v>0.81513711164551739</v>
      </c>
      <c r="U225" s="19">
        <f>(K225 - AVERAGE(Reb_Range))/STDEV(Reb_Range)</f>
        <v>-0.79306345857308169</v>
      </c>
      <c r="V225" s="19">
        <f>(L225 - AVERAGE(Ast_Range))/STDEV(Ast_Range)</f>
        <v>1.3309877997578063</v>
      </c>
      <c r="W225" s="19">
        <f>(M225 - AVERAGE(Stl_Range))/STDEV(Stl_Range)</f>
        <v>-0.53524974030117922</v>
      </c>
      <c r="X225" s="19">
        <f>(N225 - AVERAGE(Blk_Range))/STDEV(Blk_Range)</f>
        <v>-0.66483046767289355</v>
      </c>
      <c r="Y225" s="19">
        <f>(O225 - AVERAGE(Tov_Range))/STDEV(Tov_Range)*-1</f>
        <v>-1.3860815326443932</v>
      </c>
      <c r="Z225" s="19">
        <f t="shared" si="3"/>
        <v>-1.1118390212456681</v>
      </c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</row>
    <row r="226" spans="1:40" x14ac:dyDescent="0.55000000000000004">
      <c r="A226" t="s">
        <v>463</v>
      </c>
      <c r="B226" t="s">
        <v>15</v>
      </c>
      <c r="C226" t="s">
        <v>26</v>
      </c>
      <c r="D226">
        <v>19</v>
      </c>
      <c r="E226">
        <v>29.7</v>
      </c>
      <c r="F226">
        <v>15.4</v>
      </c>
      <c r="G226">
        <v>0.58899999999999997</v>
      </c>
      <c r="H226">
        <v>0.3</v>
      </c>
      <c r="I226">
        <v>8</v>
      </c>
      <c r="J226">
        <v>0.64500000000000002</v>
      </c>
      <c r="K226">
        <v>6.8</v>
      </c>
      <c r="L226">
        <v>2.2000000000000002</v>
      </c>
      <c r="M226">
        <v>0.8</v>
      </c>
      <c r="N226">
        <v>0.5</v>
      </c>
      <c r="O226">
        <v>2.7</v>
      </c>
      <c r="P226">
        <v>23.6</v>
      </c>
      <c r="Q226" s="19">
        <f>(G226 - AVERAGE(FG_Range))*F226</f>
        <v>2.0007278260869574</v>
      </c>
      <c r="R226" s="19">
        <f>(J226 - AVERAGE(FT_RANGE))*I226</f>
        <v>-1.0711652173913047</v>
      </c>
      <c r="S226" s="19">
        <f>(H226 - AVERAGE(Three_Range))/STDEV(Three_Range)</f>
        <v>-1.3631863704280434</v>
      </c>
      <c r="T226" s="19">
        <f>(P226 - AVERAGE(Pts_Range))/STDEV(Pts_Range)</f>
        <v>1.6400828056330345</v>
      </c>
      <c r="U226" s="19">
        <f>(K226 - AVERAGE(Reb_Range))/STDEV(Reb_Range)</f>
        <v>0.68115454764293737</v>
      </c>
      <c r="V226" s="19">
        <f>(L226 - AVERAGE(Ast_Range))/STDEV(Ast_Range)</f>
        <v>-0.42894186319395888</v>
      </c>
      <c r="W226" s="19">
        <f>(M226 - AVERAGE(Stl_Range))/STDEV(Stl_Range)</f>
        <v>-0.26527728357032115</v>
      </c>
      <c r="X226" s="19">
        <f>(N226 - AVERAGE(Blk_Range))/STDEV(Blk_Range)</f>
        <v>-7.2152143778453748E-2</v>
      </c>
      <c r="Y226" s="19">
        <f>(O226 - AVERAGE(Tov_Range))/STDEV(Tov_Range)*-1</f>
        <v>-1.1557356132020449</v>
      </c>
      <c r="Z226" s="19">
        <f t="shared" si="3"/>
        <v>-3.4493312201197668E-2</v>
      </c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</row>
    <row r="227" spans="1:40" x14ac:dyDescent="0.55000000000000004">
      <c r="A227" t="s">
        <v>466</v>
      </c>
      <c r="B227" t="s">
        <v>15</v>
      </c>
      <c r="C227" t="s">
        <v>90</v>
      </c>
      <c r="D227">
        <v>62</v>
      </c>
      <c r="E227">
        <v>21.4</v>
      </c>
      <c r="F227">
        <v>8.1999999999999993</v>
      </c>
      <c r="G227">
        <v>0.56699999999999995</v>
      </c>
      <c r="H227">
        <v>0.9</v>
      </c>
      <c r="I227">
        <v>3.9</v>
      </c>
      <c r="J227">
        <v>0.74399999999999999</v>
      </c>
      <c r="K227">
        <v>6.3</v>
      </c>
      <c r="L227">
        <v>1</v>
      </c>
      <c r="M227">
        <v>0.5</v>
      </c>
      <c r="N227">
        <v>0.9</v>
      </c>
      <c r="O227">
        <v>1.4</v>
      </c>
      <c r="P227">
        <v>13.1</v>
      </c>
      <c r="Q227" s="19">
        <f>(G227 - AVERAGE(FG_Range))*F227</f>
        <v>0.88492260869565231</v>
      </c>
      <c r="R227" s="19">
        <f>(J227 - AVERAGE(FT_RANGE))*I227</f>
        <v>-0.13609304347826109</v>
      </c>
      <c r="S227" s="19">
        <f>(H227 - AVERAGE(Three_Range))/STDEV(Three_Range)</f>
        <v>-0.69774696781371692</v>
      </c>
      <c r="T227" s="19">
        <f>(P227 - AVERAGE(Pts_Range))/STDEV(Pts_Range)</f>
        <v>-0.12765796719735881</v>
      </c>
      <c r="U227" s="19">
        <f>(K227 - AVERAGE(Reb_Range))/STDEV(Reb_Range)</f>
        <v>0.48193589815428611</v>
      </c>
      <c r="V227" s="19">
        <f>(L227 - AVERAGE(Ast_Range))/STDEV(Ast_Range)</f>
        <v>-1.0323463190631357</v>
      </c>
      <c r="W227" s="19">
        <f>(M227 - AVERAGE(Stl_Range))/STDEV(Stl_Range)</f>
        <v>-1.0751946537628947</v>
      </c>
      <c r="X227" s="19">
        <f>(N227 - AVERAGE(Blk_Range))/STDEV(Blk_Range)</f>
        <v>0.71808562141413279</v>
      </c>
      <c r="Y227" s="19">
        <f>(O227 - AVERAGE(Tov_Range))/STDEV(Tov_Range)*-1</f>
        <v>0.34151286317322166</v>
      </c>
      <c r="Z227" s="19">
        <f t="shared" si="3"/>
        <v>-0.6425819598780742</v>
      </c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</row>
    <row r="228" spans="1:40" x14ac:dyDescent="0.55000000000000004">
      <c r="A228" t="s">
        <v>467</v>
      </c>
      <c r="B228" t="s">
        <v>25</v>
      </c>
      <c r="C228" t="s">
        <v>60</v>
      </c>
      <c r="D228">
        <v>65</v>
      </c>
      <c r="E228">
        <v>21.7</v>
      </c>
      <c r="F228">
        <v>5.9</v>
      </c>
      <c r="G228">
        <v>0.47</v>
      </c>
      <c r="H228">
        <v>0.7</v>
      </c>
      <c r="I228">
        <v>1.4</v>
      </c>
      <c r="J228">
        <v>0.78900000000000003</v>
      </c>
      <c r="K228">
        <v>4</v>
      </c>
      <c r="L228">
        <v>3.4</v>
      </c>
      <c r="M228">
        <v>1.2</v>
      </c>
      <c r="N228">
        <v>0.3</v>
      </c>
      <c r="O228">
        <v>1</v>
      </c>
      <c r="P228">
        <v>7.3</v>
      </c>
      <c r="Q228" s="19">
        <f>(G228 - AVERAGE(FG_Range))*F228</f>
        <v>6.441260869565249E-2</v>
      </c>
      <c r="R228" s="19">
        <f>(J228 - AVERAGE(FT_RANGE))*I228</f>
        <v>1.4146086956521708E-2</v>
      </c>
      <c r="S228" s="19">
        <f>(H228 - AVERAGE(Three_Range))/STDEV(Three_Range)</f>
        <v>-0.91956010201849248</v>
      </c>
      <c r="T228" s="19">
        <f>(P228 - AVERAGE(Pts_Range))/STDEV(Pts_Range)</f>
        <v>-1.104124298856052</v>
      </c>
      <c r="U228" s="19">
        <f>(K228 - AVERAGE(Reb_Range))/STDEV(Reb_Range)</f>
        <v>-0.43446988949350951</v>
      </c>
      <c r="V228" s="19">
        <f>(L228 - AVERAGE(Ast_Range))/STDEV(Ast_Range)</f>
        <v>0.17446259267521766</v>
      </c>
      <c r="W228" s="19">
        <f>(M228 - AVERAGE(Stl_Range))/STDEV(Stl_Range)</f>
        <v>0.81461254335310984</v>
      </c>
      <c r="X228" s="19">
        <f>(N228 - AVERAGE(Blk_Range))/STDEV(Blk_Range)</f>
        <v>-0.46727102637474699</v>
      </c>
      <c r="Y228" s="19">
        <f>(O228 - AVERAGE(Tov_Range))/STDEV(Tov_Range)*-1</f>
        <v>0.80220470205791883</v>
      </c>
      <c r="Z228" s="19">
        <f t="shared" si="3"/>
        <v>-1.0555867830043806</v>
      </c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</row>
    <row r="229" spans="1:40" x14ac:dyDescent="0.55000000000000004">
      <c r="A229" t="s">
        <v>468</v>
      </c>
      <c r="B229" t="s">
        <v>15</v>
      </c>
      <c r="C229" t="s">
        <v>48</v>
      </c>
      <c r="D229">
        <v>64</v>
      </c>
      <c r="E229">
        <v>24.9</v>
      </c>
      <c r="F229">
        <v>9.4</v>
      </c>
      <c r="G229">
        <v>0.44800000000000001</v>
      </c>
      <c r="H229">
        <v>1.2</v>
      </c>
      <c r="I229">
        <v>1.1000000000000001</v>
      </c>
      <c r="J229">
        <v>0.58299999999999996</v>
      </c>
      <c r="K229">
        <v>4.9000000000000004</v>
      </c>
      <c r="L229">
        <v>1.8</v>
      </c>
      <c r="M229">
        <v>1.4</v>
      </c>
      <c r="N229">
        <v>0.4</v>
      </c>
      <c r="O229">
        <v>1.6</v>
      </c>
      <c r="P229">
        <v>10.3</v>
      </c>
      <c r="Q229" s="19">
        <f>(G229 - AVERAGE(FG_Range))*F229</f>
        <v>-0.1041765217391296</v>
      </c>
      <c r="R229" s="19">
        <f>(J229 - AVERAGE(FT_RANGE))*I229</f>
        <v>-0.21548521739130447</v>
      </c>
      <c r="S229" s="19">
        <f>(H229 - AVERAGE(Three_Range))/STDEV(Three_Range)</f>
        <v>-0.36502726650655393</v>
      </c>
      <c r="T229" s="19">
        <f>(P229 - AVERAGE(Pts_Range))/STDEV(Pts_Range)</f>
        <v>-0.59905550661879681</v>
      </c>
      <c r="U229" s="19">
        <f>(K229 - AVERAGE(Reb_Range))/STDEV(Reb_Range)</f>
        <v>-7.5876320413937132E-2</v>
      </c>
      <c r="V229" s="19">
        <f>(L229 - AVERAGE(Ast_Range))/STDEV(Ast_Range)</f>
        <v>-0.63007668181701781</v>
      </c>
      <c r="W229" s="19">
        <f>(M229 - AVERAGE(Stl_Range))/STDEV(Stl_Range)</f>
        <v>1.3545574568148253</v>
      </c>
      <c r="X229" s="19">
        <f>(N229 - AVERAGE(Blk_Range))/STDEV(Blk_Range)</f>
        <v>-0.26971158507660031</v>
      </c>
      <c r="Y229" s="19">
        <f>(O229 - AVERAGE(Tov_Range))/STDEV(Tov_Range)*-1</f>
        <v>0.11116694373087278</v>
      </c>
      <c r="Z229" s="19">
        <f t="shared" si="3"/>
        <v>-0.79368469901764216</v>
      </c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</row>
    <row r="230" spans="1:40" x14ac:dyDescent="0.55000000000000004">
      <c r="A230" t="s">
        <v>469</v>
      </c>
      <c r="B230" t="s">
        <v>47</v>
      </c>
      <c r="C230" t="s">
        <v>77</v>
      </c>
      <c r="D230">
        <v>60</v>
      </c>
      <c r="E230">
        <v>35.299999999999997</v>
      </c>
      <c r="F230">
        <v>20.8</v>
      </c>
      <c r="G230">
        <v>0.437</v>
      </c>
      <c r="H230">
        <v>3.4</v>
      </c>
      <c r="I230">
        <v>9.3000000000000007</v>
      </c>
      <c r="J230">
        <v>0.86</v>
      </c>
      <c r="K230">
        <v>4.3</v>
      </c>
      <c r="L230">
        <v>9.3000000000000007</v>
      </c>
      <c r="M230">
        <v>1.1000000000000001</v>
      </c>
      <c r="N230">
        <v>0.1</v>
      </c>
      <c r="O230">
        <v>4.8</v>
      </c>
      <c r="P230">
        <v>29.6</v>
      </c>
      <c r="Q230" s="19">
        <f>(G230 - AVERAGE(FG_Range))*F230</f>
        <v>-0.45931826086956357</v>
      </c>
      <c r="R230" s="19">
        <f>(J230 - AVERAGE(FT_RANGE))*I230</f>
        <v>0.75427043478260813</v>
      </c>
      <c r="S230" s="19">
        <f>(H230 - AVERAGE(Three_Range))/STDEV(Three_Range)</f>
        <v>2.0749172097459758</v>
      </c>
      <c r="T230" s="19">
        <f>(P230 - AVERAGE(Pts_Range))/STDEV(Pts_Range)</f>
        <v>2.650220390107545</v>
      </c>
      <c r="U230" s="19">
        <f>(K230 - AVERAGE(Reb_Range))/STDEV(Reb_Range)</f>
        <v>-0.3149386998003188</v>
      </c>
      <c r="V230" s="19">
        <f>(L230 - AVERAGE(Ast_Range))/STDEV(Ast_Range)</f>
        <v>3.1412011673653364</v>
      </c>
      <c r="W230" s="19">
        <f>(M230 - AVERAGE(Stl_Range))/STDEV(Stl_Range)</f>
        <v>0.54464008662225238</v>
      </c>
      <c r="X230" s="19">
        <f>(N230 - AVERAGE(Blk_Range))/STDEV(Blk_Range)</f>
        <v>-0.86238990897104029</v>
      </c>
      <c r="Y230" s="19">
        <f>(O230 - AVERAGE(Tov_Range))/STDEV(Tov_Range)*-1</f>
        <v>-3.5743677673467058</v>
      </c>
      <c r="Z230" s="19">
        <f t="shared" si="3"/>
        <v>3.9542346516360896</v>
      </c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</row>
    <row r="231" spans="1:40" x14ac:dyDescent="0.55000000000000004">
      <c r="A231" t="s">
        <v>470</v>
      </c>
      <c r="B231" t="s">
        <v>18</v>
      </c>
      <c r="C231" t="s">
        <v>56</v>
      </c>
      <c r="D231">
        <v>58</v>
      </c>
      <c r="E231">
        <v>23.1</v>
      </c>
      <c r="F231">
        <v>8.3000000000000007</v>
      </c>
      <c r="G231">
        <v>0.52400000000000002</v>
      </c>
      <c r="H231">
        <v>0.3</v>
      </c>
      <c r="I231">
        <v>3.1</v>
      </c>
      <c r="J231">
        <v>0.68200000000000005</v>
      </c>
      <c r="K231">
        <v>7.1</v>
      </c>
      <c r="L231">
        <v>1.5</v>
      </c>
      <c r="M231">
        <v>0.7</v>
      </c>
      <c r="N231">
        <v>0.4</v>
      </c>
      <c r="O231">
        <v>1.3</v>
      </c>
      <c r="P231">
        <v>11.1</v>
      </c>
      <c r="Q231" s="19">
        <f>(G231 - AVERAGE(FG_Range))*F231</f>
        <v>0.53881434782608784</v>
      </c>
      <c r="R231" s="19">
        <f>(J231 - AVERAGE(FT_RANGE))*I231</f>
        <v>-0.30037652173913049</v>
      </c>
      <c r="S231" s="19">
        <f>(H231 - AVERAGE(Three_Range))/STDEV(Three_Range)</f>
        <v>-1.3631863704280434</v>
      </c>
      <c r="T231" s="19">
        <f>(P231 - AVERAGE(Pts_Range))/STDEV(Pts_Range)</f>
        <v>-0.46437049535552888</v>
      </c>
      <c r="U231" s="19">
        <f>(K231 - AVERAGE(Reb_Range))/STDEV(Reb_Range)</f>
        <v>0.80068573733612802</v>
      </c>
      <c r="V231" s="19">
        <f>(L231 - AVERAGE(Ast_Range))/STDEV(Ast_Range)</f>
        <v>-0.78092779578431204</v>
      </c>
      <c r="W231" s="19">
        <f>(M231 - AVERAGE(Stl_Range))/STDEV(Stl_Range)</f>
        <v>-0.53524974030117922</v>
      </c>
      <c r="X231" s="19">
        <f>(N231 - AVERAGE(Blk_Range))/STDEV(Blk_Range)</f>
        <v>-0.26971158507660031</v>
      </c>
      <c r="Y231" s="19">
        <f>(O231 - AVERAGE(Tov_Range))/STDEV(Tov_Range)*-1</f>
        <v>0.4566858228943958</v>
      </c>
      <c r="Z231" s="19">
        <f t="shared" si="3"/>
        <v>-1.9176366006281833</v>
      </c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</row>
    <row r="232" spans="1:40" x14ac:dyDescent="0.55000000000000004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</row>
    <row r="233" spans="1:40" x14ac:dyDescent="0.55000000000000004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</row>
    <row r="234" spans="1:40" x14ac:dyDescent="0.55000000000000004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</row>
    <row r="235" spans="1:40" x14ac:dyDescent="0.55000000000000004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</row>
    <row r="236" spans="1:40" x14ac:dyDescent="0.55000000000000004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</row>
    <row r="237" spans="1:40" x14ac:dyDescent="0.55000000000000004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</row>
    <row r="238" spans="1:40" x14ac:dyDescent="0.55000000000000004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</row>
    <row r="239" spans="1:40" x14ac:dyDescent="0.55000000000000004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</row>
    <row r="240" spans="1:40" x14ac:dyDescent="0.55000000000000004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</row>
    <row r="241" spans="1:40" x14ac:dyDescent="0.55000000000000004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</row>
    <row r="242" spans="1:40" x14ac:dyDescent="0.55000000000000004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</row>
    <row r="243" spans="1:40" x14ac:dyDescent="0.55000000000000004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</row>
    <row r="244" spans="1:40" x14ac:dyDescent="0.55000000000000004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</row>
    <row r="245" spans="1:40" x14ac:dyDescent="0.55000000000000004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</row>
    <row r="246" spans="1:40" x14ac:dyDescent="0.55000000000000004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</row>
    <row r="247" spans="1:40" x14ac:dyDescent="0.55000000000000004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</row>
    <row r="248" spans="1:40" x14ac:dyDescent="0.55000000000000004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</row>
    <row r="249" spans="1:40" x14ac:dyDescent="0.55000000000000004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</row>
    <row r="250" spans="1:40" x14ac:dyDescent="0.55000000000000004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</row>
    <row r="251" spans="1:40" x14ac:dyDescent="0.55000000000000004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</row>
    <row r="252" spans="1:40" x14ac:dyDescent="0.55000000000000004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</row>
    <row r="253" spans="1:40" x14ac:dyDescent="0.55000000000000004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</row>
    <row r="254" spans="1:40" x14ac:dyDescent="0.55000000000000004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</row>
    <row r="255" spans="1:40" x14ac:dyDescent="0.55000000000000004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</row>
    <row r="256" spans="1:40" x14ac:dyDescent="0.55000000000000004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</row>
    <row r="257" spans="1:40" x14ac:dyDescent="0.55000000000000004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</row>
    <row r="258" spans="1:40" x14ac:dyDescent="0.55000000000000004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</row>
    <row r="259" spans="1:40" x14ac:dyDescent="0.55000000000000004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</row>
    <row r="260" spans="1:40" x14ac:dyDescent="0.55000000000000004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</row>
    <row r="261" spans="1:40" x14ac:dyDescent="0.55000000000000004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</row>
    <row r="262" spans="1:40" x14ac:dyDescent="0.55000000000000004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</row>
    <row r="263" spans="1:40" x14ac:dyDescent="0.55000000000000004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</row>
    <row r="264" spans="1:40" x14ac:dyDescent="0.55000000000000004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</row>
    <row r="265" spans="1:40" x14ac:dyDescent="0.55000000000000004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</row>
    <row r="266" spans="1:40" x14ac:dyDescent="0.55000000000000004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</row>
    <row r="267" spans="1:40" x14ac:dyDescent="0.55000000000000004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</row>
    <row r="268" spans="1:40" x14ac:dyDescent="0.55000000000000004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</row>
    <row r="269" spans="1:40" x14ac:dyDescent="0.55000000000000004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</row>
    <row r="270" spans="1:40" x14ac:dyDescent="0.55000000000000004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</row>
    <row r="271" spans="1:40" x14ac:dyDescent="0.55000000000000004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</row>
    <row r="272" spans="1:40" x14ac:dyDescent="0.55000000000000004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</row>
    <row r="273" spans="1:40" x14ac:dyDescent="0.55000000000000004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</row>
    <row r="274" spans="1:40" x14ac:dyDescent="0.55000000000000004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</row>
    <row r="275" spans="1:40" x14ac:dyDescent="0.55000000000000004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</row>
    <row r="276" spans="1:40" x14ac:dyDescent="0.55000000000000004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</row>
    <row r="277" spans="1:40" x14ac:dyDescent="0.55000000000000004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</row>
    <row r="278" spans="1:40" x14ac:dyDescent="0.55000000000000004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</row>
    <row r="279" spans="1:40" x14ac:dyDescent="0.55000000000000004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</row>
    <row r="280" spans="1:40" x14ac:dyDescent="0.55000000000000004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</row>
    <row r="281" spans="1:40" x14ac:dyDescent="0.55000000000000004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</row>
    <row r="282" spans="1:40" x14ac:dyDescent="0.55000000000000004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</row>
    <row r="283" spans="1:40" x14ac:dyDescent="0.55000000000000004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</row>
    <row r="284" spans="1:40" x14ac:dyDescent="0.55000000000000004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</row>
    <row r="285" spans="1:40" x14ac:dyDescent="0.55000000000000004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</row>
    <row r="286" spans="1:40" x14ac:dyDescent="0.55000000000000004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</row>
    <row r="287" spans="1:40" x14ac:dyDescent="0.55000000000000004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</row>
    <row r="288" spans="1:40" x14ac:dyDescent="0.55000000000000004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</row>
    <row r="289" spans="1:40" x14ac:dyDescent="0.55000000000000004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</row>
    <row r="290" spans="1:40" x14ac:dyDescent="0.55000000000000004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</row>
    <row r="291" spans="1:40" x14ac:dyDescent="0.55000000000000004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</row>
    <row r="292" spans="1:40" x14ac:dyDescent="0.55000000000000004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</row>
    <row r="293" spans="1:40" x14ac:dyDescent="0.55000000000000004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</row>
    <row r="294" spans="1:40" x14ac:dyDescent="0.55000000000000004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</row>
    <row r="295" spans="1:40" x14ac:dyDescent="0.55000000000000004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</row>
    <row r="296" spans="1:40" x14ac:dyDescent="0.55000000000000004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</row>
    <row r="297" spans="1:40" x14ac:dyDescent="0.55000000000000004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</row>
    <row r="298" spans="1:40" x14ac:dyDescent="0.55000000000000004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</row>
    <row r="299" spans="1:40" x14ac:dyDescent="0.55000000000000004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</row>
    <row r="300" spans="1:40" x14ac:dyDescent="0.55000000000000004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</row>
    <row r="301" spans="1:40" x14ac:dyDescent="0.55000000000000004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</row>
    <row r="302" spans="1:40" x14ac:dyDescent="0.55000000000000004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</row>
    <row r="303" spans="1:40" x14ac:dyDescent="0.55000000000000004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</row>
    <row r="304" spans="1:40" x14ac:dyDescent="0.55000000000000004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</row>
    <row r="305" spans="1:40" x14ac:dyDescent="0.55000000000000004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</row>
    <row r="306" spans="1:40" x14ac:dyDescent="0.55000000000000004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</row>
    <row r="307" spans="1:40" x14ac:dyDescent="0.55000000000000004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</row>
    <row r="308" spans="1:40" x14ac:dyDescent="0.55000000000000004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</row>
    <row r="309" spans="1:40" x14ac:dyDescent="0.55000000000000004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</row>
    <row r="310" spans="1:40" x14ac:dyDescent="0.55000000000000004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</row>
    <row r="311" spans="1:40" x14ac:dyDescent="0.55000000000000004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</row>
    <row r="312" spans="1:40" x14ac:dyDescent="0.55000000000000004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</row>
    <row r="313" spans="1:40" x14ac:dyDescent="0.55000000000000004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</row>
    <row r="314" spans="1:40" x14ac:dyDescent="0.55000000000000004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</row>
    <row r="315" spans="1:40" x14ac:dyDescent="0.55000000000000004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</row>
    <row r="316" spans="1:40" x14ac:dyDescent="0.55000000000000004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</row>
    <row r="317" spans="1:40" x14ac:dyDescent="0.55000000000000004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</row>
    <row r="318" spans="1:40" x14ac:dyDescent="0.55000000000000004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</row>
    <row r="319" spans="1:40" x14ac:dyDescent="0.55000000000000004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</row>
    <row r="320" spans="1:40" x14ac:dyDescent="0.55000000000000004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</row>
    <row r="321" spans="1:40" x14ac:dyDescent="0.55000000000000004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</row>
    <row r="322" spans="1:40" x14ac:dyDescent="0.55000000000000004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</row>
    <row r="323" spans="1:40" x14ac:dyDescent="0.55000000000000004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</row>
    <row r="324" spans="1:40" x14ac:dyDescent="0.55000000000000004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</row>
    <row r="325" spans="1:40" x14ac:dyDescent="0.55000000000000004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</row>
    <row r="326" spans="1:40" x14ac:dyDescent="0.55000000000000004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</row>
    <row r="327" spans="1:40" x14ac:dyDescent="0.55000000000000004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</row>
    <row r="328" spans="1:40" x14ac:dyDescent="0.55000000000000004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</row>
    <row r="329" spans="1:40" x14ac:dyDescent="0.55000000000000004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</row>
    <row r="330" spans="1:40" x14ac:dyDescent="0.55000000000000004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</row>
    <row r="331" spans="1:40" x14ac:dyDescent="0.55000000000000004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</row>
    <row r="332" spans="1:40" x14ac:dyDescent="0.55000000000000004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</row>
    <row r="333" spans="1:40" x14ac:dyDescent="0.55000000000000004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</row>
    <row r="334" spans="1:40" x14ac:dyDescent="0.55000000000000004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</row>
    <row r="335" spans="1:40" x14ac:dyDescent="0.55000000000000004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</row>
    <row r="336" spans="1:40" x14ac:dyDescent="0.55000000000000004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</row>
    <row r="337" spans="1:40" x14ac:dyDescent="0.55000000000000004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</row>
    <row r="338" spans="1:40" x14ac:dyDescent="0.55000000000000004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</row>
    <row r="339" spans="1:40" x14ac:dyDescent="0.55000000000000004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</row>
    <row r="340" spans="1:40" x14ac:dyDescent="0.55000000000000004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</row>
    <row r="341" spans="1:40" x14ac:dyDescent="0.55000000000000004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</row>
    <row r="342" spans="1:40" x14ac:dyDescent="0.55000000000000004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</row>
    <row r="343" spans="1:40" x14ac:dyDescent="0.55000000000000004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</row>
    <row r="344" spans="1:40" x14ac:dyDescent="0.55000000000000004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</row>
    <row r="345" spans="1:40" x14ac:dyDescent="0.55000000000000004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</row>
    <row r="346" spans="1:40" x14ac:dyDescent="0.55000000000000004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</row>
    <row r="347" spans="1:40" x14ac:dyDescent="0.55000000000000004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</row>
    <row r="348" spans="1:40" x14ac:dyDescent="0.55000000000000004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</row>
    <row r="349" spans="1:40" x14ac:dyDescent="0.55000000000000004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</row>
    <row r="350" spans="1:40" x14ac:dyDescent="0.55000000000000004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</row>
    <row r="351" spans="1:40" x14ac:dyDescent="0.55000000000000004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</row>
    <row r="352" spans="1:40" x14ac:dyDescent="0.55000000000000004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</row>
    <row r="353" spans="1:40" x14ac:dyDescent="0.55000000000000004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</row>
    <row r="354" spans="1:40" x14ac:dyDescent="0.55000000000000004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</row>
    <row r="355" spans="1:40" x14ac:dyDescent="0.55000000000000004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</row>
    <row r="356" spans="1:40" x14ac:dyDescent="0.55000000000000004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</row>
    <row r="357" spans="1:40" x14ac:dyDescent="0.55000000000000004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</row>
    <row r="358" spans="1:40" x14ac:dyDescent="0.55000000000000004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</row>
    <row r="359" spans="1:40" x14ac:dyDescent="0.55000000000000004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</row>
    <row r="360" spans="1:40" x14ac:dyDescent="0.55000000000000004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</row>
    <row r="361" spans="1:40" x14ac:dyDescent="0.55000000000000004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</row>
    <row r="362" spans="1:40" x14ac:dyDescent="0.55000000000000004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</row>
    <row r="363" spans="1:40" x14ac:dyDescent="0.55000000000000004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</row>
    <row r="364" spans="1:40" x14ac:dyDescent="0.55000000000000004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</row>
    <row r="365" spans="1:40" x14ac:dyDescent="0.55000000000000004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</row>
    <row r="366" spans="1:40" x14ac:dyDescent="0.55000000000000004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</row>
    <row r="367" spans="1:40" x14ac:dyDescent="0.55000000000000004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</row>
    <row r="368" spans="1:40" x14ac:dyDescent="0.55000000000000004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</row>
    <row r="369" spans="1:40" x14ac:dyDescent="0.55000000000000004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</row>
    <row r="370" spans="1:40" x14ac:dyDescent="0.55000000000000004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</row>
    <row r="371" spans="1:40" x14ac:dyDescent="0.55000000000000004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</row>
    <row r="372" spans="1:40" x14ac:dyDescent="0.55000000000000004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</row>
    <row r="373" spans="1:40" x14ac:dyDescent="0.55000000000000004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</row>
    <row r="374" spans="1:40" x14ac:dyDescent="0.55000000000000004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</row>
    <row r="375" spans="1:40" x14ac:dyDescent="0.55000000000000004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</row>
    <row r="376" spans="1:40" x14ac:dyDescent="0.55000000000000004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</row>
    <row r="377" spans="1:40" x14ac:dyDescent="0.55000000000000004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</row>
    <row r="378" spans="1:40" x14ac:dyDescent="0.55000000000000004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</row>
    <row r="379" spans="1:40" x14ac:dyDescent="0.55000000000000004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</row>
    <row r="380" spans="1:40" x14ac:dyDescent="0.55000000000000004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</row>
    <row r="381" spans="1:40" x14ac:dyDescent="0.55000000000000004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</row>
    <row r="382" spans="1:40" x14ac:dyDescent="0.55000000000000004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</row>
    <row r="383" spans="1:40" x14ac:dyDescent="0.55000000000000004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</row>
    <row r="384" spans="1:40" x14ac:dyDescent="0.55000000000000004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</row>
    <row r="385" spans="1:40" x14ac:dyDescent="0.55000000000000004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</row>
    <row r="386" spans="1:40" x14ac:dyDescent="0.55000000000000004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</row>
    <row r="387" spans="1:40" x14ac:dyDescent="0.55000000000000004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</row>
    <row r="388" spans="1:40" x14ac:dyDescent="0.55000000000000004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</row>
    <row r="389" spans="1:40" x14ac:dyDescent="0.55000000000000004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</row>
    <row r="390" spans="1:40" x14ac:dyDescent="0.55000000000000004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</row>
    <row r="391" spans="1:40" x14ac:dyDescent="0.55000000000000004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</row>
    <row r="392" spans="1:40" x14ac:dyDescent="0.55000000000000004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</row>
    <row r="393" spans="1:40" x14ac:dyDescent="0.55000000000000004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</row>
    <row r="394" spans="1:40" x14ac:dyDescent="0.55000000000000004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</row>
    <row r="395" spans="1:40" x14ac:dyDescent="0.55000000000000004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</row>
    <row r="396" spans="1:40" x14ac:dyDescent="0.55000000000000004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</row>
    <row r="397" spans="1:40" x14ac:dyDescent="0.55000000000000004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</row>
    <row r="398" spans="1:40" x14ac:dyDescent="0.55000000000000004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</row>
    <row r="399" spans="1:40" x14ac:dyDescent="0.55000000000000004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</row>
    <row r="400" spans="1:40" x14ac:dyDescent="0.55000000000000004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</row>
    <row r="401" spans="1:40" x14ac:dyDescent="0.55000000000000004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</row>
    <row r="402" spans="1:40" x14ac:dyDescent="0.55000000000000004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</row>
    <row r="403" spans="1:40" x14ac:dyDescent="0.55000000000000004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</row>
    <row r="404" spans="1:40" x14ac:dyDescent="0.55000000000000004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</row>
    <row r="405" spans="1:40" x14ac:dyDescent="0.55000000000000004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</row>
    <row r="406" spans="1:40" x14ac:dyDescent="0.55000000000000004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</row>
    <row r="407" spans="1:40" x14ac:dyDescent="0.55000000000000004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</row>
    <row r="408" spans="1:40" x14ac:dyDescent="0.55000000000000004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</row>
    <row r="409" spans="1:40" x14ac:dyDescent="0.55000000000000004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</row>
    <row r="410" spans="1:40" x14ac:dyDescent="0.55000000000000004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</row>
    <row r="411" spans="1:40" x14ac:dyDescent="0.55000000000000004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</row>
    <row r="412" spans="1:40" x14ac:dyDescent="0.55000000000000004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</row>
    <row r="413" spans="1:40" x14ac:dyDescent="0.55000000000000004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</row>
    <row r="414" spans="1:40" x14ac:dyDescent="0.55000000000000004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</row>
    <row r="415" spans="1:40" x14ac:dyDescent="0.55000000000000004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</row>
    <row r="416" spans="1:40" x14ac:dyDescent="0.55000000000000004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</row>
    <row r="417" spans="1:40" x14ac:dyDescent="0.55000000000000004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</row>
    <row r="418" spans="1:40" x14ac:dyDescent="0.55000000000000004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</row>
    <row r="419" spans="1:40" x14ac:dyDescent="0.55000000000000004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</row>
    <row r="420" spans="1:40" x14ac:dyDescent="0.55000000000000004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</row>
    <row r="421" spans="1:40" x14ac:dyDescent="0.55000000000000004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</row>
    <row r="422" spans="1:40" x14ac:dyDescent="0.55000000000000004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</row>
    <row r="423" spans="1:40" x14ac:dyDescent="0.55000000000000004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</row>
    <row r="424" spans="1:40" x14ac:dyDescent="0.55000000000000004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</row>
    <row r="425" spans="1:40" x14ac:dyDescent="0.55000000000000004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</row>
    <row r="426" spans="1:40" x14ac:dyDescent="0.55000000000000004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</row>
    <row r="427" spans="1:40" x14ac:dyDescent="0.55000000000000004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</row>
    <row r="428" spans="1:40" x14ac:dyDescent="0.55000000000000004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</row>
    <row r="429" spans="1:40" x14ac:dyDescent="0.55000000000000004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</row>
    <row r="430" spans="1:40" x14ac:dyDescent="0.55000000000000004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</row>
    <row r="431" spans="1:40" x14ac:dyDescent="0.55000000000000004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</row>
    <row r="432" spans="1:40" x14ac:dyDescent="0.55000000000000004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</row>
    <row r="433" spans="1:40" x14ac:dyDescent="0.55000000000000004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</row>
    <row r="434" spans="1:40" x14ac:dyDescent="0.55000000000000004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</row>
    <row r="435" spans="1:40" x14ac:dyDescent="0.55000000000000004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</row>
    <row r="436" spans="1:40" x14ac:dyDescent="0.55000000000000004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</row>
    <row r="437" spans="1:40" x14ac:dyDescent="0.55000000000000004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</row>
    <row r="438" spans="1:40" x14ac:dyDescent="0.55000000000000004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</row>
    <row r="439" spans="1:40" x14ac:dyDescent="0.55000000000000004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</row>
    <row r="440" spans="1:40" x14ac:dyDescent="0.55000000000000004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</row>
    <row r="441" spans="1:40" x14ac:dyDescent="0.55000000000000004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</row>
    <row r="442" spans="1:40" x14ac:dyDescent="0.55000000000000004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</row>
    <row r="443" spans="1:40" x14ac:dyDescent="0.55000000000000004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</row>
    <row r="444" spans="1:40" x14ac:dyDescent="0.55000000000000004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</row>
    <row r="445" spans="1:40" x14ac:dyDescent="0.55000000000000004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</row>
    <row r="446" spans="1:40" x14ac:dyDescent="0.55000000000000004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</row>
    <row r="447" spans="1:40" x14ac:dyDescent="0.55000000000000004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</row>
    <row r="448" spans="1:40" x14ac:dyDescent="0.55000000000000004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</row>
    <row r="449" spans="1:40" x14ac:dyDescent="0.55000000000000004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</row>
    <row r="450" spans="1:40" x14ac:dyDescent="0.55000000000000004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</row>
    <row r="451" spans="1:40" x14ac:dyDescent="0.55000000000000004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</row>
    <row r="452" spans="1:40" x14ac:dyDescent="0.55000000000000004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</row>
    <row r="453" spans="1:40" x14ac:dyDescent="0.55000000000000004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</row>
    <row r="454" spans="1:40" x14ac:dyDescent="0.55000000000000004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</row>
    <row r="455" spans="1:40" x14ac:dyDescent="0.55000000000000004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</row>
    <row r="456" spans="1:40" x14ac:dyDescent="0.55000000000000004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</row>
    <row r="457" spans="1:40" x14ac:dyDescent="0.55000000000000004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</row>
    <row r="458" spans="1:40" x14ac:dyDescent="0.55000000000000004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</row>
    <row r="459" spans="1:40" x14ac:dyDescent="0.55000000000000004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</row>
    <row r="460" spans="1:40" x14ac:dyDescent="0.55000000000000004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</row>
    <row r="461" spans="1:40" x14ac:dyDescent="0.55000000000000004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</row>
    <row r="462" spans="1:40" x14ac:dyDescent="0.55000000000000004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</row>
    <row r="463" spans="1:40" x14ac:dyDescent="0.55000000000000004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</row>
    <row r="464" spans="1:40" x14ac:dyDescent="0.55000000000000004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</row>
    <row r="465" spans="1:40" x14ac:dyDescent="0.55000000000000004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</row>
    <row r="466" spans="1:40" x14ac:dyDescent="0.55000000000000004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</row>
    <row r="467" spans="1:40" x14ac:dyDescent="0.55000000000000004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</row>
    <row r="468" spans="1:40" x14ac:dyDescent="0.55000000000000004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</row>
    <row r="469" spans="1:40" x14ac:dyDescent="0.55000000000000004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</row>
    <row r="470" spans="1:40" x14ac:dyDescent="0.55000000000000004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</row>
    <row r="471" spans="1:40" x14ac:dyDescent="0.55000000000000004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</row>
    <row r="472" spans="1:40" x14ac:dyDescent="0.55000000000000004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</row>
    <row r="473" spans="1:40" x14ac:dyDescent="0.55000000000000004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</row>
    <row r="474" spans="1:40" x14ac:dyDescent="0.55000000000000004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</row>
    <row r="475" spans="1:40" x14ac:dyDescent="0.55000000000000004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</row>
    <row r="476" spans="1:40" x14ac:dyDescent="0.55000000000000004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</row>
    <row r="477" spans="1:40" x14ac:dyDescent="0.55000000000000004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</row>
    <row r="478" spans="1:40" x14ac:dyDescent="0.55000000000000004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</row>
    <row r="479" spans="1:40" x14ac:dyDescent="0.55000000000000004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</row>
    <row r="480" spans="1:40" x14ac:dyDescent="0.55000000000000004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</row>
    <row r="481" spans="1:40" x14ac:dyDescent="0.55000000000000004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</row>
    <row r="482" spans="1:40" x14ac:dyDescent="0.55000000000000004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</row>
    <row r="483" spans="1:40" x14ac:dyDescent="0.55000000000000004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</row>
    <row r="484" spans="1:40" x14ac:dyDescent="0.55000000000000004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</row>
    <row r="485" spans="1:40" x14ac:dyDescent="0.55000000000000004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</row>
    <row r="486" spans="1:40" x14ac:dyDescent="0.55000000000000004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</row>
    <row r="487" spans="1:40" x14ac:dyDescent="0.55000000000000004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</row>
    <row r="488" spans="1:40" x14ac:dyDescent="0.55000000000000004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</row>
    <row r="489" spans="1:40" x14ac:dyDescent="0.55000000000000004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</row>
    <row r="490" spans="1:40" x14ac:dyDescent="0.55000000000000004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</row>
    <row r="491" spans="1:40" x14ac:dyDescent="0.55000000000000004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</row>
    <row r="492" spans="1:40" x14ac:dyDescent="0.55000000000000004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</row>
    <row r="493" spans="1:40" x14ac:dyDescent="0.55000000000000004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</row>
    <row r="494" spans="1:40" x14ac:dyDescent="0.55000000000000004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</row>
    <row r="495" spans="1:40" x14ac:dyDescent="0.55000000000000004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</row>
    <row r="496" spans="1:40" x14ac:dyDescent="0.55000000000000004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</row>
    <row r="497" spans="1:40" x14ac:dyDescent="0.55000000000000004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</row>
    <row r="498" spans="1:40" x14ac:dyDescent="0.55000000000000004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</row>
    <row r="499" spans="1:40" x14ac:dyDescent="0.55000000000000004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</row>
    <row r="500" spans="1:40" x14ac:dyDescent="0.55000000000000004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</row>
    <row r="501" spans="1:40" x14ac:dyDescent="0.55000000000000004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J501"/>
      <c r="AK501"/>
      <c r="AL501"/>
      <c r="AM501"/>
      <c r="AN501"/>
    </row>
    <row r="502" spans="1:40" x14ac:dyDescent="0.55000000000000004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J502"/>
      <c r="AK502"/>
      <c r="AL502"/>
      <c r="AM502"/>
      <c r="AN502"/>
    </row>
    <row r="503" spans="1:40" x14ac:dyDescent="0.55000000000000004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J503"/>
      <c r="AK503"/>
      <c r="AL503"/>
      <c r="AM503"/>
      <c r="AN503"/>
    </row>
    <row r="504" spans="1:40" x14ac:dyDescent="0.55000000000000004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J504"/>
      <c r="AK504"/>
      <c r="AL504"/>
      <c r="AM504"/>
      <c r="AN504"/>
    </row>
    <row r="505" spans="1:40" x14ac:dyDescent="0.55000000000000004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J505"/>
      <c r="AK505"/>
      <c r="AL505"/>
      <c r="AM505"/>
      <c r="AN505"/>
    </row>
    <row r="506" spans="1:40" x14ac:dyDescent="0.55000000000000004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J506"/>
      <c r="AK506"/>
      <c r="AL506"/>
      <c r="AM506"/>
      <c r="AN506"/>
    </row>
    <row r="507" spans="1:40" x14ac:dyDescent="0.55000000000000004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J507"/>
      <c r="AK507"/>
      <c r="AL507"/>
      <c r="AM507"/>
      <c r="AN507"/>
    </row>
    <row r="508" spans="1:40" x14ac:dyDescent="0.55000000000000004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J508"/>
      <c r="AK508"/>
      <c r="AL508"/>
      <c r="AM508"/>
      <c r="AN508"/>
    </row>
    <row r="509" spans="1:40" x14ac:dyDescent="0.55000000000000004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J509"/>
      <c r="AK509"/>
      <c r="AL509"/>
      <c r="AM509"/>
      <c r="AN509"/>
    </row>
    <row r="510" spans="1:40" x14ac:dyDescent="0.55000000000000004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J510"/>
      <c r="AK510"/>
      <c r="AL510"/>
      <c r="AM510"/>
      <c r="AN510"/>
    </row>
    <row r="511" spans="1:40" x14ac:dyDescent="0.55000000000000004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J511"/>
      <c r="AK511"/>
      <c r="AL511"/>
      <c r="AM511"/>
      <c r="AN511"/>
    </row>
    <row r="512" spans="1:40" x14ac:dyDescent="0.55000000000000004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J512"/>
      <c r="AK512"/>
      <c r="AL512"/>
      <c r="AM512"/>
      <c r="AN512"/>
    </row>
    <row r="513" spans="1:40" x14ac:dyDescent="0.55000000000000004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J513"/>
      <c r="AK513"/>
      <c r="AL513"/>
      <c r="AM513"/>
      <c r="AN513"/>
    </row>
    <row r="514" spans="1:40" x14ac:dyDescent="0.55000000000000004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J514"/>
      <c r="AK514"/>
      <c r="AL514"/>
      <c r="AM514"/>
      <c r="AN514"/>
    </row>
    <row r="515" spans="1:40" x14ac:dyDescent="0.55000000000000004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J515"/>
      <c r="AK515"/>
      <c r="AL515"/>
      <c r="AM515"/>
      <c r="AN515"/>
    </row>
    <row r="516" spans="1:40" x14ac:dyDescent="0.55000000000000004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J516"/>
      <c r="AK516"/>
      <c r="AL516"/>
      <c r="AM516"/>
      <c r="AN516"/>
    </row>
    <row r="517" spans="1:40" x14ac:dyDescent="0.55000000000000004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J517"/>
      <c r="AK517"/>
      <c r="AL517"/>
      <c r="AM517"/>
      <c r="AN517"/>
    </row>
    <row r="518" spans="1:40" x14ac:dyDescent="0.55000000000000004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J518"/>
      <c r="AK518"/>
      <c r="AL518"/>
      <c r="AM518"/>
      <c r="AN518"/>
    </row>
    <row r="519" spans="1:40" x14ac:dyDescent="0.55000000000000004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J519"/>
      <c r="AK519"/>
      <c r="AL519"/>
      <c r="AM519"/>
      <c r="AN519"/>
    </row>
    <row r="520" spans="1:40" x14ac:dyDescent="0.55000000000000004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J520"/>
      <c r="AK520"/>
      <c r="AL520"/>
      <c r="AM520"/>
      <c r="AN520"/>
    </row>
  </sheetData>
  <sortState xmlns:xlrd2="http://schemas.microsoft.com/office/spreadsheetml/2017/richdata2" ref="A2:Z242">
    <sortCondition descending="1" ref="Z12"/>
  </sortState>
  <conditionalFormatting sqref="Q2:Y231">
    <cfRule type="colorScale" priority="1">
      <colorScale>
        <cfvo type="num" val="-2"/>
        <cfvo type="num" val="0"/>
        <cfvo type="num" val="2"/>
        <color rgb="FFFF0000"/>
        <color rgb="FFFFFF00"/>
        <color rgb="FF00FF00"/>
      </colorScale>
    </cfRule>
  </conditionalFormatting>
  <conditionalFormatting sqref="Z2:Z231">
    <cfRule type="colorScale" priority="2">
      <colorScale>
        <cfvo type="num" val="-4"/>
        <cfvo type="num" val="0"/>
        <cfvo type="num" val="5"/>
        <color rgb="FFFF0000"/>
        <color rgb="FFFFFF00"/>
        <color rgb="FF00FF00"/>
      </colorScale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E8FE8A-9B41-4C24-8588-B3E32D468B38}">
  <sheetPr codeName="Sheet4"/>
  <dimension ref="A1:F534"/>
  <sheetViews>
    <sheetView zoomScale="96" workbookViewId="0">
      <selection activeCell="E5" sqref="E5"/>
    </sheetView>
  </sheetViews>
  <sheetFormatPr defaultRowHeight="14.5" x14ac:dyDescent="0.35"/>
  <cols>
    <col min="1" max="1" width="25.1796875" style="2" bestFit="1" customWidth="1"/>
    <col min="2" max="2" width="28.36328125" style="2" customWidth="1"/>
    <col min="3" max="3" width="8.7265625" style="2"/>
    <col min="4" max="4" width="23.7265625" style="6" bestFit="1" customWidth="1"/>
    <col min="5" max="5" width="23" style="6" bestFit="1" customWidth="1"/>
    <col min="6" max="6" width="23.1796875" style="6" bestFit="1" customWidth="1"/>
    <col min="7" max="7" width="23.1796875" style="2" bestFit="1" customWidth="1"/>
    <col min="8" max="16384" width="8.7265625" style="2"/>
  </cols>
  <sheetData>
    <row r="1" spans="1:6" x14ac:dyDescent="0.35">
      <c r="A1" s="20" t="s">
        <v>683</v>
      </c>
      <c r="B1" s="20"/>
      <c r="D1" s="20" t="s">
        <v>682</v>
      </c>
      <c r="E1" s="20"/>
      <c r="F1" s="20"/>
    </row>
    <row r="2" spans="1:6" x14ac:dyDescent="0.35">
      <c r="A2" s="3" t="s">
        <v>573</v>
      </c>
      <c r="B2" s="4" t="s">
        <v>574</v>
      </c>
      <c r="D2" s="5" t="s">
        <v>679</v>
      </c>
      <c r="E2" s="5" t="s">
        <v>680</v>
      </c>
      <c r="F2" s="5" t="s">
        <v>492</v>
      </c>
    </row>
    <row r="3" spans="1:6" x14ac:dyDescent="0.35">
      <c r="A3" s="2" t="s">
        <v>517</v>
      </c>
      <c r="B3" s="2" t="s">
        <v>77</v>
      </c>
      <c r="D3" s="6" t="s">
        <v>17</v>
      </c>
      <c r="E3" s="6" t="s">
        <v>17</v>
      </c>
      <c r="F3" s="6" t="str">
        <f t="shared" ref="F3:F66" si="0">VLOOKUP(VLOOKUP(E3,Roster_Range,2,FALSE),Abbreviations, 2, FALSE)</f>
        <v>OKC</v>
      </c>
    </row>
    <row r="4" spans="1:6" x14ac:dyDescent="0.35">
      <c r="A4" s="2" t="s">
        <v>528</v>
      </c>
      <c r="B4" s="2" t="s">
        <v>109</v>
      </c>
      <c r="D4" s="6" t="s">
        <v>20</v>
      </c>
      <c r="E4" s="6" t="s">
        <v>20</v>
      </c>
      <c r="F4" s="6" t="str">
        <f t="shared" si="0"/>
        <v>MIA</v>
      </c>
    </row>
    <row r="5" spans="1:6" x14ac:dyDescent="0.35">
      <c r="A5" s="2" t="s">
        <v>499</v>
      </c>
      <c r="B5" s="2" t="s">
        <v>30</v>
      </c>
      <c r="D5" s="6" t="s">
        <v>22</v>
      </c>
      <c r="E5" s="6" t="s">
        <v>22</v>
      </c>
      <c r="F5" s="6" t="str">
        <f t="shared" si="0"/>
        <v>SAS</v>
      </c>
    </row>
    <row r="6" spans="1:6" x14ac:dyDescent="0.35">
      <c r="A6" s="2" t="s">
        <v>509</v>
      </c>
      <c r="B6" s="2" t="s">
        <v>56</v>
      </c>
      <c r="D6" s="6" t="s">
        <v>24</v>
      </c>
      <c r="E6" s="6" t="s">
        <v>24</v>
      </c>
      <c r="F6" s="6" t="str">
        <f t="shared" si="0"/>
        <v>NOP</v>
      </c>
    </row>
    <row r="7" spans="1:6" x14ac:dyDescent="0.35">
      <c r="A7" s="2" t="s">
        <v>507</v>
      </c>
      <c r="B7" s="2" t="s">
        <v>48</v>
      </c>
      <c r="D7" s="6" t="s">
        <v>27</v>
      </c>
      <c r="E7" s="6" t="s">
        <v>27</v>
      </c>
      <c r="F7" s="6" t="str">
        <f t="shared" si="0"/>
        <v>MEM</v>
      </c>
    </row>
    <row r="8" spans="1:6" x14ac:dyDescent="0.35">
      <c r="A8" s="2" t="s">
        <v>533</v>
      </c>
      <c r="B8" s="2" t="s">
        <v>137</v>
      </c>
      <c r="D8" s="6" t="s">
        <v>29</v>
      </c>
      <c r="E8" s="6" t="s">
        <v>29</v>
      </c>
      <c r="F8" s="6" t="str">
        <f t="shared" si="0"/>
        <v>BRK</v>
      </c>
    </row>
    <row r="9" spans="1:6" x14ac:dyDescent="0.35">
      <c r="A9" s="2" t="s">
        <v>512</v>
      </c>
      <c r="B9" s="2" t="s">
        <v>60</v>
      </c>
      <c r="D9" s="6" t="s">
        <v>31</v>
      </c>
      <c r="E9" s="6" t="s">
        <v>31</v>
      </c>
      <c r="F9" s="6" t="str">
        <f t="shared" si="0"/>
        <v>NYK</v>
      </c>
    </row>
    <row r="10" spans="1:6" x14ac:dyDescent="0.35">
      <c r="A10" s="2" t="s">
        <v>514</v>
      </c>
      <c r="B10" s="2" t="s">
        <v>63</v>
      </c>
      <c r="D10" s="6" t="s">
        <v>33</v>
      </c>
      <c r="E10" s="6" t="s">
        <v>33</v>
      </c>
      <c r="F10" s="6" t="str">
        <f t="shared" si="0"/>
        <v>ORL</v>
      </c>
    </row>
    <row r="11" spans="1:6" x14ac:dyDescent="0.35">
      <c r="A11" s="2" t="s">
        <v>526</v>
      </c>
      <c r="B11" s="2" t="s">
        <v>90</v>
      </c>
      <c r="D11" s="6" t="s">
        <v>582</v>
      </c>
      <c r="E11" s="6" t="s">
        <v>582</v>
      </c>
      <c r="F11" s="6" t="e">
        <f t="shared" si="0"/>
        <v>#N/A</v>
      </c>
    </row>
    <row r="12" spans="1:6" x14ac:dyDescent="0.35">
      <c r="A12" s="2" t="s">
        <v>518</v>
      </c>
      <c r="B12" s="2" t="s">
        <v>96</v>
      </c>
      <c r="D12" s="6" t="s">
        <v>36</v>
      </c>
      <c r="E12" s="6" t="s">
        <v>36</v>
      </c>
      <c r="F12" s="6" t="str">
        <f t="shared" si="0"/>
        <v>MEM</v>
      </c>
    </row>
    <row r="13" spans="1:6" x14ac:dyDescent="0.35">
      <c r="A13" s="2" t="s">
        <v>530</v>
      </c>
      <c r="B13" s="2" t="s">
        <v>37</v>
      </c>
      <c r="D13" s="6" t="s">
        <v>583</v>
      </c>
      <c r="E13" s="6" t="s">
        <v>583</v>
      </c>
      <c r="F13" s="6" t="e">
        <f t="shared" si="0"/>
        <v>#N/A</v>
      </c>
    </row>
    <row r="14" spans="1:6" x14ac:dyDescent="0.35">
      <c r="A14" s="2" t="s">
        <v>521</v>
      </c>
      <c r="B14" s="2" t="s">
        <v>83</v>
      </c>
      <c r="D14" s="6" t="s">
        <v>38</v>
      </c>
      <c r="E14" s="6" t="s">
        <v>38</v>
      </c>
      <c r="F14" s="6" t="str">
        <f t="shared" si="0"/>
        <v>MIL</v>
      </c>
    </row>
    <row r="15" spans="1:6" x14ac:dyDescent="0.35">
      <c r="A15" s="2" t="s">
        <v>520</v>
      </c>
      <c r="B15" s="2" t="s">
        <v>80</v>
      </c>
      <c r="D15" s="6" t="s">
        <v>40</v>
      </c>
      <c r="E15" s="6" t="s">
        <v>40</v>
      </c>
      <c r="F15" s="6" t="str">
        <f t="shared" si="0"/>
        <v>LAL</v>
      </c>
    </row>
    <row r="16" spans="1:6" x14ac:dyDescent="0.35">
      <c r="A16" s="2" t="s">
        <v>503</v>
      </c>
      <c r="B16" s="2" t="s">
        <v>41</v>
      </c>
      <c r="D16" s="6" t="s">
        <v>42</v>
      </c>
      <c r="E16" s="6" t="s">
        <v>42</v>
      </c>
      <c r="F16" s="6" t="str">
        <f t="shared" si="0"/>
        <v>MIL</v>
      </c>
    </row>
    <row r="17" spans="1:6" x14ac:dyDescent="0.35">
      <c r="A17" s="2" t="s">
        <v>498</v>
      </c>
      <c r="B17" s="2" t="s">
        <v>28</v>
      </c>
      <c r="D17" s="6" t="s">
        <v>43</v>
      </c>
      <c r="E17" s="6" t="s">
        <v>43</v>
      </c>
      <c r="F17" s="6" t="str">
        <f t="shared" si="0"/>
        <v>POR</v>
      </c>
    </row>
    <row r="18" spans="1:6" x14ac:dyDescent="0.35">
      <c r="A18" s="2" t="s">
        <v>494</v>
      </c>
      <c r="B18" s="2" t="s">
        <v>21</v>
      </c>
      <c r="D18" s="6" t="s">
        <v>646</v>
      </c>
      <c r="E18" s="6" t="s">
        <v>505</v>
      </c>
      <c r="F18" s="6" t="str">
        <f t="shared" si="0"/>
        <v>TOR</v>
      </c>
    </row>
    <row r="19" spans="1:6" x14ac:dyDescent="0.35">
      <c r="A19" s="2" t="s">
        <v>502</v>
      </c>
      <c r="B19" s="2" t="s">
        <v>39</v>
      </c>
      <c r="D19" s="6" t="s">
        <v>46</v>
      </c>
      <c r="E19" s="6" t="s">
        <v>46</v>
      </c>
      <c r="F19" s="6" t="str">
        <f t="shared" si="0"/>
        <v>CHI</v>
      </c>
    </row>
    <row r="20" spans="1:6" x14ac:dyDescent="0.35">
      <c r="A20" s="2" t="s">
        <v>516</v>
      </c>
      <c r="B20" s="2" t="s">
        <v>65</v>
      </c>
      <c r="D20" s="6" t="s">
        <v>49</v>
      </c>
      <c r="E20" s="6" t="s">
        <v>49</v>
      </c>
      <c r="F20" s="6" t="str">
        <f t="shared" si="0"/>
        <v>POR</v>
      </c>
    </row>
    <row r="21" spans="1:6" x14ac:dyDescent="0.35">
      <c r="A21" s="2" t="s">
        <v>497</v>
      </c>
      <c r="B21" s="2" t="s">
        <v>26</v>
      </c>
      <c r="D21" s="6" t="s">
        <v>52</v>
      </c>
      <c r="E21" s="6" t="s">
        <v>52</v>
      </c>
      <c r="F21" s="6" t="str">
        <f t="shared" si="0"/>
        <v>ORL</v>
      </c>
    </row>
    <row r="22" spans="1:6" x14ac:dyDescent="0.35">
      <c r="A22" s="2" t="s">
        <v>500</v>
      </c>
      <c r="B22" s="2" t="s">
        <v>32</v>
      </c>
      <c r="D22" s="6" t="s">
        <v>53</v>
      </c>
      <c r="E22" s="6" t="s">
        <v>53</v>
      </c>
      <c r="F22" s="6" t="str">
        <f t="shared" si="0"/>
        <v>PHO</v>
      </c>
    </row>
    <row r="23" spans="1:6" x14ac:dyDescent="0.35">
      <c r="A23" s="2" t="s">
        <v>493</v>
      </c>
      <c r="B23" s="2" t="s">
        <v>19</v>
      </c>
      <c r="D23" s="6" t="s">
        <v>55</v>
      </c>
      <c r="E23" s="6" t="s">
        <v>55</v>
      </c>
      <c r="F23" s="6" t="str">
        <f t="shared" si="0"/>
        <v>CHO</v>
      </c>
    </row>
    <row r="24" spans="1:6" x14ac:dyDescent="0.35">
      <c r="A24" s="2" t="s">
        <v>501</v>
      </c>
      <c r="B24" s="2" t="s">
        <v>34</v>
      </c>
      <c r="D24" s="6" t="s">
        <v>57</v>
      </c>
      <c r="E24" s="6" t="s">
        <v>627</v>
      </c>
      <c r="F24" s="6" t="str">
        <f t="shared" si="0"/>
        <v>SAC</v>
      </c>
    </row>
    <row r="25" spans="1:6" x14ac:dyDescent="0.35">
      <c r="A25" s="2" t="s">
        <v>529</v>
      </c>
      <c r="B25" s="2" t="s">
        <v>88</v>
      </c>
      <c r="D25" s="6" t="s">
        <v>58</v>
      </c>
      <c r="E25" s="6" t="s">
        <v>58</v>
      </c>
      <c r="F25" s="6" t="str">
        <f t="shared" si="0"/>
        <v>NOP</v>
      </c>
    </row>
    <row r="26" spans="1:6" x14ac:dyDescent="0.35">
      <c r="A26" s="2" t="s">
        <v>508</v>
      </c>
      <c r="B26" s="2" t="s">
        <v>54</v>
      </c>
      <c r="D26" s="6" t="s">
        <v>647</v>
      </c>
      <c r="E26" s="6" t="s">
        <v>511</v>
      </c>
      <c r="F26" s="6" t="str">
        <f t="shared" si="0"/>
        <v>ORL</v>
      </c>
    </row>
    <row r="27" spans="1:6" x14ac:dyDescent="0.35">
      <c r="A27" s="2" t="s">
        <v>504</v>
      </c>
      <c r="B27" s="2" t="s">
        <v>44</v>
      </c>
      <c r="D27" s="6" t="s">
        <v>59</v>
      </c>
      <c r="E27" s="6" t="s">
        <v>59</v>
      </c>
      <c r="F27" s="6" t="str">
        <f t="shared" si="0"/>
        <v>DAL</v>
      </c>
    </row>
    <row r="28" spans="1:6" x14ac:dyDescent="0.35">
      <c r="A28" s="2" t="s">
        <v>510</v>
      </c>
      <c r="B28" s="2" t="s">
        <v>51</v>
      </c>
      <c r="D28" s="6" t="s">
        <v>61</v>
      </c>
      <c r="E28" s="6" t="s">
        <v>61</v>
      </c>
      <c r="F28" s="6" t="str">
        <f t="shared" si="0"/>
        <v>SAC</v>
      </c>
    </row>
    <row r="29" spans="1:6" x14ac:dyDescent="0.35">
      <c r="A29" s="2" t="s">
        <v>495</v>
      </c>
      <c r="B29" s="2" t="s">
        <v>23</v>
      </c>
      <c r="D29" s="6" t="s">
        <v>648</v>
      </c>
      <c r="E29" s="6" t="s">
        <v>513</v>
      </c>
      <c r="F29" s="6" t="str">
        <f t="shared" si="0"/>
        <v>NYK</v>
      </c>
    </row>
    <row r="30" spans="1:6" x14ac:dyDescent="0.35">
      <c r="A30" s="2" t="s">
        <v>506</v>
      </c>
      <c r="B30" s="2" t="s">
        <v>45</v>
      </c>
      <c r="D30" s="6" t="s">
        <v>62</v>
      </c>
      <c r="E30" s="6" t="s">
        <v>62</v>
      </c>
      <c r="F30" s="6" t="str">
        <f t="shared" si="0"/>
        <v>DEN</v>
      </c>
    </row>
    <row r="31" spans="1:6" x14ac:dyDescent="0.35">
      <c r="A31" s="2" t="s">
        <v>524</v>
      </c>
      <c r="B31" s="2" t="s">
        <v>87</v>
      </c>
      <c r="D31" s="6" t="s">
        <v>64</v>
      </c>
      <c r="E31" s="6" t="s">
        <v>64</v>
      </c>
      <c r="F31" s="6" t="str">
        <f t="shared" si="0"/>
        <v>DEN</v>
      </c>
    </row>
    <row r="32" spans="1:6" x14ac:dyDescent="0.35">
      <c r="A32" s="2" t="s">
        <v>515</v>
      </c>
      <c r="B32" s="2" t="s">
        <v>72</v>
      </c>
      <c r="D32" s="6" t="s">
        <v>66</v>
      </c>
      <c r="E32" s="6" t="s">
        <v>66</v>
      </c>
      <c r="F32" s="6" t="str">
        <f t="shared" si="0"/>
        <v>CHO</v>
      </c>
    </row>
    <row r="33" spans="4:6" x14ac:dyDescent="0.35">
      <c r="D33" s="6" t="s">
        <v>67</v>
      </c>
      <c r="E33" s="6" t="s">
        <v>67</v>
      </c>
      <c r="F33" s="6" t="str">
        <f t="shared" si="0"/>
        <v>PHO</v>
      </c>
    </row>
    <row r="34" spans="4:6" x14ac:dyDescent="0.35">
      <c r="D34" s="6" t="s">
        <v>68</v>
      </c>
      <c r="E34" s="6" t="s">
        <v>68</v>
      </c>
      <c r="F34" s="6" t="str">
        <f t="shared" si="0"/>
        <v>SAC</v>
      </c>
    </row>
    <row r="35" spans="4:6" x14ac:dyDescent="0.35">
      <c r="D35" s="6" t="s">
        <v>70</v>
      </c>
      <c r="E35" s="6" t="s">
        <v>70</v>
      </c>
      <c r="F35" s="6" t="str">
        <f t="shared" si="0"/>
        <v>OKC</v>
      </c>
    </row>
    <row r="36" spans="4:6" x14ac:dyDescent="0.35">
      <c r="D36" s="6" t="s">
        <v>71</v>
      </c>
      <c r="E36" s="6" t="s">
        <v>71</v>
      </c>
      <c r="F36" s="6" t="str">
        <f t="shared" si="0"/>
        <v>WAS</v>
      </c>
    </row>
    <row r="37" spans="4:6" x14ac:dyDescent="0.35">
      <c r="D37" s="6" t="s">
        <v>73</v>
      </c>
      <c r="E37" s="6" t="s">
        <v>73</v>
      </c>
      <c r="F37" s="6" t="str">
        <f t="shared" si="0"/>
        <v>MIN</v>
      </c>
    </row>
    <row r="38" spans="4:6" x14ac:dyDescent="0.35">
      <c r="D38" s="6" t="s">
        <v>74</v>
      </c>
      <c r="E38" s="6" t="s">
        <v>74</v>
      </c>
      <c r="F38" s="6" t="str">
        <f t="shared" si="0"/>
        <v>SAS</v>
      </c>
    </row>
    <row r="39" spans="4:6" x14ac:dyDescent="0.35">
      <c r="D39" s="6" t="s">
        <v>75</v>
      </c>
      <c r="E39" s="6" t="s">
        <v>75</v>
      </c>
      <c r="F39" s="6" t="e">
        <f t="shared" si="0"/>
        <v>#N/A</v>
      </c>
    </row>
    <row r="40" spans="4:6" x14ac:dyDescent="0.35">
      <c r="D40" s="6" t="s">
        <v>76</v>
      </c>
      <c r="E40" s="6" t="s">
        <v>76</v>
      </c>
      <c r="F40" s="6" t="str">
        <f t="shared" si="0"/>
        <v>ATL</v>
      </c>
    </row>
    <row r="41" spans="4:6" x14ac:dyDescent="0.35">
      <c r="D41" s="6" t="s">
        <v>78</v>
      </c>
      <c r="E41" s="6" t="s">
        <v>78</v>
      </c>
      <c r="F41" s="6" t="e">
        <f t="shared" si="0"/>
        <v>#N/A</v>
      </c>
    </row>
    <row r="42" spans="4:6" x14ac:dyDescent="0.35">
      <c r="D42" s="6" t="s">
        <v>649</v>
      </c>
      <c r="E42" s="6" t="s">
        <v>519</v>
      </c>
      <c r="F42" s="6" t="str">
        <f t="shared" si="0"/>
        <v>WAS</v>
      </c>
    </row>
    <row r="43" spans="4:6" x14ac:dyDescent="0.35">
      <c r="D43" s="6" t="s">
        <v>79</v>
      </c>
      <c r="E43" s="6" t="s">
        <v>79</v>
      </c>
      <c r="F43" s="6" t="str">
        <f t="shared" si="0"/>
        <v>LAC</v>
      </c>
    </row>
    <row r="44" spans="4:6" x14ac:dyDescent="0.35">
      <c r="D44" s="6" t="s">
        <v>81</v>
      </c>
      <c r="E44" s="6" t="s">
        <v>81</v>
      </c>
      <c r="F44" s="6" t="str">
        <f t="shared" si="0"/>
        <v>ORL</v>
      </c>
    </row>
    <row r="45" spans="4:6" x14ac:dyDescent="0.35">
      <c r="D45" s="6" t="s">
        <v>82</v>
      </c>
      <c r="E45" s="6" t="s">
        <v>82</v>
      </c>
      <c r="F45" s="6" t="str">
        <f t="shared" si="0"/>
        <v>IND</v>
      </c>
    </row>
    <row r="46" spans="4:6" x14ac:dyDescent="0.35">
      <c r="D46" s="6" t="s">
        <v>84</v>
      </c>
      <c r="E46" s="6" t="s">
        <v>84</v>
      </c>
      <c r="F46" s="6" t="str">
        <f t="shared" si="0"/>
        <v>CHO</v>
      </c>
    </row>
    <row r="47" spans="4:6" x14ac:dyDescent="0.35">
      <c r="D47" s="6" t="s">
        <v>85</v>
      </c>
      <c r="E47" s="6" t="s">
        <v>85</v>
      </c>
      <c r="F47" s="6" t="str">
        <f t="shared" si="0"/>
        <v>SAC</v>
      </c>
    </row>
    <row r="48" spans="4:6" x14ac:dyDescent="0.35">
      <c r="D48" s="6" t="s">
        <v>86</v>
      </c>
      <c r="E48" s="6" t="s">
        <v>86</v>
      </c>
      <c r="F48" s="6" t="str">
        <f t="shared" si="0"/>
        <v>MIL</v>
      </c>
    </row>
    <row r="49" spans="4:6" x14ac:dyDescent="0.35">
      <c r="D49" s="6" t="s">
        <v>650</v>
      </c>
      <c r="E49" s="6" t="s">
        <v>522</v>
      </c>
      <c r="F49" s="6" t="str">
        <f t="shared" si="0"/>
        <v>SAC</v>
      </c>
    </row>
    <row r="50" spans="4:6" x14ac:dyDescent="0.35">
      <c r="D50" s="6" t="s">
        <v>651</v>
      </c>
      <c r="E50" s="6" t="s">
        <v>523</v>
      </c>
      <c r="F50" s="6" t="str">
        <f t="shared" si="0"/>
        <v>UTA</v>
      </c>
    </row>
    <row r="51" spans="4:6" x14ac:dyDescent="0.35">
      <c r="D51" s="6" t="s">
        <v>525</v>
      </c>
      <c r="E51" s="6" t="s">
        <v>525</v>
      </c>
      <c r="F51" s="6" t="str">
        <f t="shared" si="0"/>
        <v>DEN</v>
      </c>
    </row>
    <row r="52" spans="4:6" x14ac:dyDescent="0.35">
      <c r="D52" s="6" t="s">
        <v>584</v>
      </c>
      <c r="E52" s="6" t="s">
        <v>584</v>
      </c>
      <c r="F52" s="6" t="e">
        <f t="shared" si="0"/>
        <v>#N/A</v>
      </c>
    </row>
    <row r="53" spans="4:6" x14ac:dyDescent="0.35">
      <c r="D53" s="6" t="s">
        <v>585</v>
      </c>
      <c r="E53" s="6" t="s">
        <v>585</v>
      </c>
      <c r="F53" s="6" t="e">
        <f t="shared" si="0"/>
        <v>#N/A</v>
      </c>
    </row>
    <row r="54" spans="4:6" x14ac:dyDescent="0.35">
      <c r="D54" s="6" t="s">
        <v>89</v>
      </c>
      <c r="E54" s="6" t="s">
        <v>89</v>
      </c>
      <c r="F54" s="6" t="str">
        <f t="shared" si="0"/>
        <v>DET</v>
      </c>
    </row>
    <row r="55" spans="4:6" x14ac:dyDescent="0.35">
      <c r="D55" s="6" t="s">
        <v>91</v>
      </c>
      <c r="E55" s="6" t="s">
        <v>91</v>
      </c>
      <c r="F55" s="6" t="str">
        <f t="shared" si="0"/>
        <v>WAS</v>
      </c>
    </row>
    <row r="56" spans="4:6" x14ac:dyDescent="0.35">
      <c r="D56" s="6" t="s">
        <v>92</v>
      </c>
      <c r="E56" s="6" t="s">
        <v>92</v>
      </c>
      <c r="F56" s="6" t="str">
        <f t="shared" si="0"/>
        <v>PHO</v>
      </c>
    </row>
    <row r="57" spans="4:6" x14ac:dyDescent="0.35">
      <c r="D57" s="6" t="s">
        <v>93</v>
      </c>
      <c r="E57" s="6" t="s">
        <v>93</v>
      </c>
      <c r="F57" s="6" t="str">
        <f t="shared" si="0"/>
        <v>TOR</v>
      </c>
    </row>
    <row r="58" spans="4:6" x14ac:dyDescent="0.35">
      <c r="D58" s="6" t="s">
        <v>94</v>
      </c>
      <c r="E58" s="6" t="s">
        <v>628</v>
      </c>
      <c r="F58" s="6" t="str">
        <f t="shared" si="0"/>
        <v>IND</v>
      </c>
    </row>
    <row r="59" spans="4:6" x14ac:dyDescent="0.35">
      <c r="D59" s="6" t="s">
        <v>95</v>
      </c>
      <c r="E59" s="6" t="s">
        <v>95</v>
      </c>
      <c r="F59" s="6" t="str">
        <f t="shared" si="0"/>
        <v>GSW</v>
      </c>
    </row>
    <row r="60" spans="4:6" x14ac:dyDescent="0.35">
      <c r="D60" s="6" t="s">
        <v>97</v>
      </c>
      <c r="E60" s="6" t="s">
        <v>97</v>
      </c>
      <c r="F60" s="6" t="str">
        <f t="shared" si="0"/>
        <v>LAL</v>
      </c>
    </row>
    <row r="61" spans="4:6" x14ac:dyDescent="0.35">
      <c r="D61" s="6" t="s">
        <v>98</v>
      </c>
      <c r="E61" s="6" t="s">
        <v>98</v>
      </c>
      <c r="F61" s="6" t="str">
        <f t="shared" si="0"/>
        <v>UTA</v>
      </c>
    </row>
    <row r="62" spans="4:6" x14ac:dyDescent="0.35">
      <c r="D62" s="6" t="s">
        <v>99</v>
      </c>
      <c r="E62" s="6" t="s">
        <v>99</v>
      </c>
      <c r="F62" s="6" t="str">
        <f t="shared" si="0"/>
        <v>UTA</v>
      </c>
    </row>
    <row r="63" spans="4:6" x14ac:dyDescent="0.35">
      <c r="D63" s="6" t="s">
        <v>100</v>
      </c>
      <c r="E63" s="6" t="s">
        <v>100</v>
      </c>
      <c r="F63" s="6" t="str">
        <f t="shared" si="0"/>
        <v>NYK</v>
      </c>
    </row>
    <row r="64" spans="4:6" x14ac:dyDescent="0.35">
      <c r="D64" s="6" t="s">
        <v>101</v>
      </c>
      <c r="E64" s="6" t="s">
        <v>101</v>
      </c>
      <c r="F64" s="6" t="str">
        <f t="shared" si="0"/>
        <v>PHO</v>
      </c>
    </row>
    <row r="65" spans="4:6" x14ac:dyDescent="0.35">
      <c r="D65" s="6" t="s">
        <v>102</v>
      </c>
      <c r="E65" s="6" t="s">
        <v>102</v>
      </c>
      <c r="F65" s="6" t="str">
        <f t="shared" si="0"/>
        <v>CHO</v>
      </c>
    </row>
    <row r="66" spans="4:6" x14ac:dyDescent="0.35">
      <c r="D66" s="6" t="s">
        <v>103</v>
      </c>
      <c r="E66" s="6" t="s">
        <v>527</v>
      </c>
      <c r="F66" s="6" t="str">
        <f t="shared" si="0"/>
        <v>TOR</v>
      </c>
    </row>
    <row r="67" spans="4:6" x14ac:dyDescent="0.35">
      <c r="D67" s="6" t="s">
        <v>586</v>
      </c>
      <c r="E67" s="6" t="s">
        <v>586</v>
      </c>
      <c r="F67" s="6" t="e">
        <f t="shared" ref="F67:F130" si="1">VLOOKUP(VLOOKUP(E67,Roster_Range,2,FALSE),Abbreviations, 2, FALSE)</f>
        <v>#N/A</v>
      </c>
    </row>
    <row r="68" spans="4:6" x14ac:dyDescent="0.35">
      <c r="D68" s="6" t="s">
        <v>104</v>
      </c>
      <c r="E68" s="6" t="s">
        <v>104</v>
      </c>
      <c r="F68" s="6" t="str">
        <f t="shared" si="1"/>
        <v>IND</v>
      </c>
    </row>
    <row r="69" spans="4:6" x14ac:dyDescent="0.35">
      <c r="D69" s="6" t="s">
        <v>105</v>
      </c>
      <c r="E69" s="6" t="s">
        <v>105</v>
      </c>
      <c r="F69" s="6" t="str">
        <f t="shared" si="1"/>
        <v>MEM</v>
      </c>
    </row>
    <row r="70" spans="4:6" x14ac:dyDescent="0.35">
      <c r="D70" s="6" t="s">
        <v>106</v>
      </c>
      <c r="E70" s="6" t="s">
        <v>629</v>
      </c>
      <c r="F70" s="6" t="str">
        <f t="shared" si="1"/>
        <v>DET</v>
      </c>
    </row>
    <row r="71" spans="4:6" x14ac:dyDescent="0.35">
      <c r="D71" s="6" t="s">
        <v>107</v>
      </c>
      <c r="E71" s="6" t="s">
        <v>107</v>
      </c>
      <c r="F71" s="6" t="str">
        <f t="shared" si="1"/>
        <v>ATL</v>
      </c>
    </row>
    <row r="72" spans="4:6" x14ac:dyDescent="0.35">
      <c r="D72" s="6" t="s">
        <v>108</v>
      </c>
      <c r="E72" s="6" t="s">
        <v>108</v>
      </c>
      <c r="F72" s="6" t="str">
        <f t="shared" si="1"/>
        <v>BOS</v>
      </c>
    </row>
    <row r="73" spans="4:6" x14ac:dyDescent="0.35">
      <c r="D73" s="6" t="s">
        <v>110</v>
      </c>
      <c r="E73" s="6" t="s">
        <v>110</v>
      </c>
      <c r="F73" s="6" t="str">
        <f t="shared" si="1"/>
        <v>POR</v>
      </c>
    </row>
    <row r="74" spans="4:6" x14ac:dyDescent="0.35">
      <c r="D74" s="6" t="s">
        <v>111</v>
      </c>
      <c r="E74" s="6" t="s">
        <v>111</v>
      </c>
      <c r="F74" s="6" t="str">
        <f t="shared" si="1"/>
        <v>MIL</v>
      </c>
    </row>
    <row r="75" spans="4:6" x14ac:dyDescent="0.35">
      <c r="D75" s="6" t="s">
        <v>112</v>
      </c>
      <c r="E75" s="6" t="s">
        <v>630</v>
      </c>
      <c r="F75" s="6" t="str">
        <f t="shared" si="1"/>
        <v>WAS</v>
      </c>
    </row>
    <row r="76" spans="4:6" x14ac:dyDescent="0.35">
      <c r="D76" s="6" t="s">
        <v>113</v>
      </c>
      <c r="E76" s="6" t="s">
        <v>113</v>
      </c>
      <c r="F76" s="6" t="str">
        <f t="shared" si="1"/>
        <v>DAL</v>
      </c>
    </row>
    <row r="77" spans="4:6" x14ac:dyDescent="0.35">
      <c r="D77" s="6" t="s">
        <v>114</v>
      </c>
      <c r="E77" s="6" t="s">
        <v>114</v>
      </c>
      <c r="F77" s="6" t="str">
        <f t="shared" si="1"/>
        <v>WAS</v>
      </c>
    </row>
    <row r="78" spans="4:6" x14ac:dyDescent="0.35">
      <c r="D78" s="6" t="s">
        <v>115</v>
      </c>
      <c r="E78" s="6" t="s">
        <v>115</v>
      </c>
      <c r="F78" s="6" t="str">
        <f t="shared" si="1"/>
        <v>NYK</v>
      </c>
    </row>
    <row r="79" spans="4:6" x14ac:dyDescent="0.35">
      <c r="D79" s="6" t="s">
        <v>587</v>
      </c>
      <c r="E79" s="6" t="s">
        <v>587</v>
      </c>
      <c r="F79" s="6" t="e">
        <f t="shared" si="1"/>
        <v>#N/A</v>
      </c>
    </row>
    <row r="80" spans="4:6" x14ac:dyDescent="0.35">
      <c r="D80" s="6" t="s">
        <v>116</v>
      </c>
      <c r="E80" s="6" t="s">
        <v>116</v>
      </c>
      <c r="F80" s="6" t="str">
        <f t="shared" si="1"/>
        <v>PHI</v>
      </c>
    </row>
    <row r="81" spans="4:6" x14ac:dyDescent="0.35">
      <c r="D81" s="6" t="s">
        <v>117</v>
      </c>
      <c r="E81" s="6" t="s">
        <v>117</v>
      </c>
      <c r="F81" s="6" t="str">
        <f t="shared" si="1"/>
        <v>OKC</v>
      </c>
    </row>
    <row r="82" spans="4:6" x14ac:dyDescent="0.35">
      <c r="D82" s="6" t="s">
        <v>118</v>
      </c>
      <c r="E82" s="6" t="s">
        <v>118</v>
      </c>
      <c r="F82" s="6" t="str">
        <f t="shared" si="1"/>
        <v>MIA</v>
      </c>
    </row>
    <row r="83" spans="4:6" x14ac:dyDescent="0.35">
      <c r="D83" s="6" t="s">
        <v>119</v>
      </c>
      <c r="E83" s="6" t="s">
        <v>119</v>
      </c>
      <c r="F83" s="6" t="str">
        <f t="shared" si="1"/>
        <v>HOU</v>
      </c>
    </row>
    <row r="84" spans="4:6" x14ac:dyDescent="0.35">
      <c r="D84" s="6" t="s">
        <v>120</v>
      </c>
      <c r="E84" s="6" t="s">
        <v>120</v>
      </c>
      <c r="F84" s="6" t="str">
        <f t="shared" si="1"/>
        <v>LAL</v>
      </c>
    </row>
    <row r="85" spans="4:6" x14ac:dyDescent="0.35">
      <c r="D85" s="6" t="s">
        <v>652</v>
      </c>
      <c r="E85" s="6" t="s">
        <v>532</v>
      </c>
      <c r="F85" s="6" t="str">
        <f t="shared" si="1"/>
        <v>DEN</v>
      </c>
    </row>
    <row r="86" spans="4:6" x14ac:dyDescent="0.35">
      <c r="D86" s="6" t="s">
        <v>121</v>
      </c>
      <c r="E86" s="6" t="s">
        <v>121</v>
      </c>
      <c r="F86" s="6" t="str">
        <f t="shared" si="1"/>
        <v>ATL</v>
      </c>
    </row>
    <row r="87" spans="4:6" x14ac:dyDescent="0.35">
      <c r="D87" s="6" t="s">
        <v>122</v>
      </c>
      <c r="E87" s="6" t="s">
        <v>122</v>
      </c>
      <c r="F87" s="6" t="str">
        <f t="shared" si="1"/>
        <v>HOU</v>
      </c>
    </row>
    <row r="88" spans="4:6" x14ac:dyDescent="0.35">
      <c r="D88" s="6" t="s">
        <v>123</v>
      </c>
      <c r="E88" s="6" t="s">
        <v>123</v>
      </c>
      <c r="F88" s="6" t="str">
        <f t="shared" si="1"/>
        <v>PHO</v>
      </c>
    </row>
    <row r="89" spans="4:6" x14ac:dyDescent="0.35">
      <c r="D89" s="6" t="s">
        <v>125</v>
      </c>
      <c r="E89" s="6" t="s">
        <v>631</v>
      </c>
      <c r="F89" s="6" t="str">
        <f t="shared" si="1"/>
        <v>CHI</v>
      </c>
    </row>
    <row r="90" spans="4:6" x14ac:dyDescent="0.35">
      <c r="D90" s="6" t="s">
        <v>124</v>
      </c>
      <c r="E90" s="6" t="s">
        <v>124</v>
      </c>
      <c r="F90" s="6" t="str">
        <f t="shared" si="1"/>
        <v>ATL</v>
      </c>
    </row>
    <row r="91" spans="4:6" x14ac:dyDescent="0.35">
      <c r="D91" s="6" t="s">
        <v>126</v>
      </c>
      <c r="E91" s="6" t="s">
        <v>126</v>
      </c>
      <c r="F91" s="6" t="str">
        <f t="shared" si="1"/>
        <v>ORL</v>
      </c>
    </row>
    <row r="92" spans="4:6" x14ac:dyDescent="0.35">
      <c r="D92" s="6" t="s">
        <v>127</v>
      </c>
      <c r="E92" s="6" t="s">
        <v>127</v>
      </c>
      <c r="F92" s="6" t="str">
        <f t="shared" si="1"/>
        <v>LAL</v>
      </c>
    </row>
    <row r="93" spans="4:6" x14ac:dyDescent="0.35">
      <c r="D93" s="6" t="s">
        <v>128</v>
      </c>
      <c r="E93" s="6" t="s">
        <v>128</v>
      </c>
      <c r="F93" s="6" t="str">
        <f t="shared" si="1"/>
        <v>DAL</v>
      </c>
    </row>
    <row r="94" spans="4:6" x14ac:dyDescent="0.35">
      <c r="D94" s="6" t="s">
        <v>129</v>
      </c>
      <c r="E94" s="6" t="s">
        <v>129</v>
      </c>
      <c r="F94" s="6" t="str">
        <f t="shared" si="1"/>
        <v>HOU</v>
      </c>
    </row>
    <row r="95" spans="4:6" x14ac:dyDescent="0.35">
      <c r="D95" s="6" t="s">
        <v>130</v>
      </c>
      <c r="E95" s="6" t="s">
        <v>130</v>
      </c>
      <c r="F95" s="6" t="str">
        <f t="shared" si="1"/>
        <v>BRK</v>
      </c>
    </row>
    <row r="96" spans="4:6" x14ac:dyDescent="0.35">
      <c r="D96" s="6" t="s">
        <v>588</v>
      </c>
      <c r="E96" s="6" t="s">
        <v>588</v>
      </c>
      <c r="F96" s="6" t="e">
        <f t="shared" si="1"/>
        <v>#N/A</v>
      </c>
    </row>
    <row r="97" spans="4:6" x14ac:dyDescent="0.35">
      <c r="D97" s="6" t="s">
        <v>131</v>
      </c>
      <c r="E97" s="6" t="s">
        <v>131</v>
      </c>
      <c r="F97" s="6" t="str">
        <f t="shared" si="1"/>
        <v>NOP</v>
      </c>
    </row>
    <row r="98" spans="4:6" x14ac:dyDescent="0.35">
      <c r="D98" s="6" t="s">
        <v>132</v>
      </c>
      <c r="E98" s="6" t="s">
        <v>132</v>
      </c>
      <c r="F98" s="6" t="str">
        <f t="shared" si="1"/>
        <v>BRK</v>
      </c>
    </row>
    <row r="99" spans="4:6" x14ac:dyDescent="0.35">
      <c r="D99" s="6" t="s">
        <v>133</v>
      </c>
      <c r="E99" s="6" t="s">
        <v>133</v>
      </c>
      <c r="F99" s="6" t="str">
        <f t="shared" si="1"/>
        <v>GSW</v>
      </c>
    </row>
    <row r="100" spans="4:6" x14ac:dyDescent="0.35">
      <c r="D100" s="6" t="s">
        <v>134</v>
      </c>
      <c r="E100" s="6" t="s">
        <v>134</v>
      </c>
      <c r="F100" s="6" t="str">
        <f t="shared" si="1"/>
        <v>ORL</v>
      </c>
    </row>
    <row r="101" spans="4:6" x14ac:dyDescent="0.35">
      <c r="D101" s="6" t="s">
        <v>135</v>
      </c>
      <c r="E101" s="6" t="s">
        <v>135</v>
      </c>
      <c r="F101" s="6" t="str">
        <f t="shared" si="1"/>
        <v>MEM</v>
      </c>
    </row>
    <row r="102" spans="4:6" x14ac:dyDescent="0.35">
      <c r="D102" s="6" t="s">
        <v>136</v>
      </c>
      <c r="E102" s="6" t="s">
        <v>136</v>
      </c>
      <c r="F102" s="6" t="str">
        <f t="shared" si="1"/>
        <v>UTA</v>
      </c>
    </row>
    <row r="103" spans="4:6" x14ac:dyDescent="0.35">
      <c r="D103" s="6" t="s">
        <v>138</v>
      </c>
      <c r="E103" s="6" t="s">
        <v>138</v>
      </c>
      <c r="F103" s="6" t="str">
        <f t="shared" si="1"/>
        <v>BRK</v>
      </c>
    </row>
    <row r="104" spans="4:6" x14ac:dyDescent="0.35">
      <c r="D104" s="6" t="s">
        <v>139</v>
      </c>
      <c r="E104" s="6" t="s">
        <v>139</v>
      </c>
      <c r="F104" s="6" t="str">
        <f t="shared" si="1"/>
        <v>HOU</v>
      </c>
    </row>
    <row r="105" spans="4:6" x14ac:dyDescent="0.35">
      <c r="D105" s="6" t="s">
        <v>140</v>
      </c>
      <c r="E105" s="6" t="s">
        <v>140</v>
      </c>
      <c r="F105" s="6" t="str">
        <f t="shared" si="1"/>
        <v>DAL</v>
      </c>
    </row>
    <row r="106" spans="4:6" x14ac:dyDescent="0.35">
      <c r="D106" s="6" t="s">
        <v>141</v>
      </c>
      <c r="E106" s="6" t="s">
        <v>141</v>
      </c>
      <c r="F106" s="6" t="str">
        <f t="shared" si="1"/>
        <v>LAC</v>
      </c>
    </row>
    <row r="107" spans="4:6" x14ac:dyDescent="0.35">
      <c r="D107" s="6" t="s">
        <v>142</v>
      </c>
      <c r="E107" s="6" t="s">
        <v>142</v>
      </c>
      <c r="F107" s="6" t="str">
        <f t="shared" si="1"/>
        <v>ATL</v>
      </c>
    </row>
    <row r="108" spans="4:6" x14ac:dyDescent="0.35">
      <c r="D108" s="6" t="s">
        <v>143</v>
      </c>
      <c r="E108" s="6" t="s">
        <v>143</v>
      </c>
      <c r="F108" s="6" t="str">
        <f t="shared" si="1"/>
        <v>POR</v>
      </c>
    </row>
    <row r="109" spans="4:6" x14ac:dyDescent="0.35">
      <c r="D109" s="6" t="s">
        <v>144</v>
      </c>
      <c r="E109" s="6" t="s">
        <v>144</v>
      </c>
      <c r="F109" s="6" t="str">
        <f t="shared" si="1"/>
        <v>UTA</v>
      </c>
    </row>
    <row r="110" spans="4:6" x14ac:dyDescent="0.35">
      <c r="D110" s="6" t="s">
        <v>145</v>
      </c>
      <c r="E110" s="6" t="s">
        <v>145</v>
      </c>
      <c r="F110" s="6" t="str">
        <f t="shared" si="1"/>
        <v>MIL</v>
      </c>
    </row>
    <row r="111" spans="4:6" x14ac:dyDescent="0.35">
      <c r="D111" s="6" t="s">
        <v>146</v>
      </c>
      <c r="E111" s="6" t="s">
        <v>146</v>
      </c>
      <c r="F111" s="6" t="str">
        <f t="shared" si="1"/>
        <v>LAL</v>
      </c>
    </row>
    <row r="112" spans="4:6" x14ac:dyDescent="0.35">
      <c r="D112" s="6" t="s">
        <v>589</v>
      </c>
      <c r="E112" s="6" t="s">
        <v>589</v>
      </c>
      <c r="F112" s="6" t="e">
        <f t="shared" si="1"/>
        <v>#N/A</v>
      </c>
    </row>
    <row r="113" spans="4:6" x14ac:dyDescent="0.35">
      <c r="D113" s="6" t="s">
        <v>147</v>
      </c>
      <c r="E113" s="6" t="s">
        <v>147</v>
      </c>
      <c r="F113" s="6" t="str">
        <f t="shared" si="1"/>
        <v>HOU</v>
      </c>
    </row>
    <row r="114" spans="4:6" x14ac:dyDescent="0.35">
      <c r="D114" s="6" t="s">
        <v>590</v>
      </c>
      <c r="E114" s="6" t="s">
        <v>590</v>
      </c>
      <c r="F114" s="6" t="e">
        <f t="shared" si="1"/>
        <v>#N/A</v>
      </c>
    </row>
    <row r="115" spans="4:6" x14ac:dyDescent="0.35">
      <c r="D115" s="6" t="s">
        <v>148</v>
      </c>
      <c r="E115" s="6" t="s">
        <v>148</v>
      </c>
      <c r="F115" s="6" t="str">
        <f t="shared" si="1"/>
        <v>DEN</v>
      </c>
    </row>
    <row r="116" spans="4:6" x14ac:dyDescent="0.35">
      <c r="D116" s="6" t="s">
        <v>149</v>
      </c>
      <c r="E116" s="6" t="s">
        <v>149</v>
      </c>
      <c r="F116" s="6" t="str">
        <f t="shared" si="1"/>
        <v>MIA</v>
      </c>
    </row>
    <row r="117" spans="4:6" x14ac:dyDescent="0.35">
      <c r="D117" s="6" t="s">
        <v>150</v>
      </c>
      <c r="E117" s="6" t="s">
        <v>150</v>
      </c>
      <c r="F117" s="6" t="str">
        <f t="shared" si="1"/>
        <v>MIN</v>
      </c>
    </row>
    <row r="118" spans="4:6" x14ac:dyDescent="0.35">
      <c r="D118" s="6" t="s">
        <v>151</v>
      </c>
      <c r="E118" s="6" t="s">
        <v>151</v>
      </c>
      <c r="F118" s="6" t="str">
        <f t="shared" si="1"/>
        <v>DAL</v>
      </c>
    </row>
    <row r="119" spans="4:6" x14ac:dyDescent="0.35">
      <c r="D119" s="6" t="s">
        <v>152</v>
      </c>
      <c r="E119" s="6" t="s">
        <v>152</v>
      </c>
      <c r="F119" s="6" t="str">
        <f t="shared" si="1"/>
        <v>GSW</v>
      </c>
    </row>
    <row r="120" spans="4:6" x14ac:dyDescent="0.35">
      <c r="D120" s="6" t="s">
        <v>591</v>
      </c>
      <c r="E120" s="6" t="s">
        <v>591</v>
      </c>
      <c r="F120" s="6" t="str">
        <f t="shared" si="1"/>
        <v>DEN</v>
      </c>
    </row>
    <row r="121" spans="4:6" x14ac:dyDescent="0.35">
      <c r="D121" s="6" t="s">
        <v>153</v>
      </c>
      <c r="E121" s="6" t="s">
        <v>153</v>
      </c>
      <c r="F121" s="6" t="str">
        <f t="shared" si="1"/>
        <v>LAL</v>
      </c>
    </row>
    <row r="122" spans="4:6" x14ac:dyDescent="0.35">
      <c r="D122" s="6" t="s">
        <v>154</v>
      </c>
      <c r="E122" s="6" t="s">
        <v>154</v>
      </c>
      <c r="F122" s="6" t="str">
        <f t="shared" si="1"/>
        <v>UTA</v>
      </c>
    </row>
    <row r="123" spans="4:6" x14ac:dyDescent="0.35">
      <c r="D123" s="6" t="s">
        <v>155</v>
      </c>
      <c r="E123" s="6" t="s">
        <v>155</v>
      </c>
      <c r="F123" s="6" t="str">
        <f t="shared" si="1"/>
        <v>TOR</v>
      </c>
    </row>
    <row r="124" spans="4:6" x14ac:dyDescent="0.35">
      <c r="D124" s="6" t="s">
        <v>156</v>
      </c>
      <c r="E124" s="6" t="s">
        <v>156</v>
      </c>
      <c r="F124" s="6" t="str">
        <f t="shared" si="1"/>
        <v>ATL</v>
      </c>
    </row>
    <row r="125" spans="4:6" x14ac:dyDescent="0.35">
      <c r="D125" s="6" t="s">
        <v>592</v>
      </c>
      <c r="E125" s="6" t="s">
        <v>632</v>
      </c>
      <c r="F125" s="6" t="str">
        <f t="shared" si="1"/>
        <v>CLE</v>
      </c>
    </row>
    <row r="126" spans="4:6" x14ac:dyDescent="0.35">
      <c r="D126" s="6" t="s">
        <v>157</v>
      </c>
      <c r="E126" s="6" t="s">
        <v>157</v>
      </c>
      <c r="F126" s="6" t="str">
        <f t="shared" si="1"/>
        <v>SAS</v>
      </c>
    </row>
    <row r="127" spans="4:6" x14ac:dyDescent="0.35">
      <c r="D127" s="6" t="s">
        <v>158</v>
      </c>
      <c r="E127" s="6" t="s">
        <v>158</v>
      </c>
      <c r="F127" s="6" t="str">
        <f t="shared" si="1"/>
        <v>PHO</v>
      </c>
    </row>
    <row r="128" spans="4:6" x14ac:dyDescent="0.35">
      <c r="D128" s="6" t="s">
        <v>159</v>
      </c>
      <c r="E128" s="6" t="s">
        <v>159</v>
      </c>
      <c r="F128" s="6" t="str">
        <f t="shared" si="1"/>
        <v>OKC</v>
      </c>
    </row>
    <row r="129" spans="4:6" x14ac:dyDescent="0.35">
      <c r="D129" s="6" t="s">
        <v>160</v>
      </c>
      <c r="E129" s="6" t="s">
        <v>160</v>
      </c>
      <c r="F129" s="6" t="str">
        <f t="shared" si="1"/>
        <v>MEM</v>
      </c>
    </row>
    <row r="130" spans="4:6" x14ac:dyDescent="0.35">
      <c r="D130" s="6" t="s">
        <v>162</v>
      </c>
      <c r="E130" s="6" t="s">
        <v>162</v>
      </c>
      <c r="F130" s="6" t="str">
        <f t="shared" si="1"/>
        <v>MIL</v>
      </c>
    </row>
    <row r="131" spans="4:6" x14ac:dyDescent="0.35">
      <c r="D131" s="6" t="s">
        <v>161</v>
      </c>
      <c r="E131" s="6" t="s">
        <v>161</v>
      </c>
      <c r="F131" s="6" t="str">
        <f t="shared" ref="F131:F194" si="2">VLOOKUP(VLOOKUP(E131,Roster_Range,2,FALSE),Abbreviations, 2, FALSE)</f>
        <v>BRK</v>
      </c>
    </row>
    <row r="132" spans="4:6" x14ac:dyDescent="0.35">
      <c r="D132" s="6" t="s">
        <v>653</v>
      </c>
      <c r="E132" s="6" t="s">
        <v>534</v>
      </c>
      <c r="F132" s="6" t="str">
        <f t="shared" si="2"/>
        <v>DAL</v>
      </c>
    </row>
    <row r="133" spans="4:6" x14ac:dyDescent="0.35">
      <c r="D133" s="6" t="s">
        <v>163</v>
      </c>
      <c r="E133" s="6" t="s">
        <v>163</v>
      </c>
      <c r="F133" s="6" t="str">
        <f t="shared" si="2"/>
        <v>OKC</v>
      </c>
    </row>
    <row r="134" spans="4:6" x14ac:dyDescent="0.35">
      <c r="D134" s="6" t="s">
        <v>164</v>
      </c>
      <c r="E134" s="6" t="s">
        <v>164</v>
      </c>
      <c r="F134" s="6" t="str">
        <f t="shared" si="2"/>
        <v>NYK</v>
      </c>
    </row>
    <row r="135" spans="4:6" x14ac:dyDescent="0.35">
      <c r="D135" s="6" t="s">
        <v>165</v>
      </c>
      <c r="E135" s="6" t="s">
        <v>165</v>
      </c>
      <c r="F135" s="6" t="str">
        <f t="shared" si="2"/>
        <v>DET</v>
      </c>
    </row>
    <row r="136" spans="4:6" x14ac:dyDescent="0.35">
      <c r="D136" s="6" t="s">
        <v>654</v>
      </c>
      <c r="E136" s="6" t="s">
        <v>535</v>
      </c>
      <c r="F136" s="6" t="str">
        <f t="shared" si="2"/>
        <v>DEN</v>
      </c>
    </row>
    <row r="137" spans="4:6" x14ac:dyDescent="0.35">
      <c r="D137" s="6" t="s">
        <v>655</v>
      </c>
      <c r="E137" s="6" t="s">
        <v>536</v>
      </c>
      <c r="F137" s="6" t="str">
        <f t="shared" si="2"/>
        <v>MIA</v>
      </c>
    </row>
    <row r="138" spans="4:6" x14ac:dyDescent="0.35">
      <c r="D138" s="6" t="s">
        <v>166</v>
      </c>
      <c r="E138" s="6" t="s">
        <v>166</v>
      </c>
      <c r="F138" s="6" t="str">
        <f t="shared" si="2"/>
        <v>CLE</v>
      </c>
    </row>
    <row r="139" spans="4:6" x14ac:dyDescent="0.35">
      <c r="D139" s="6" t="s">
        <v>167</v>
      </c>
      <c r="E139" s="6" t="s">
        <v>167</v>
      </c>
      <c r="F139" s="6" t="str">
        <f t="shared" si="2"/>
        <v>LAL</v>
      </c>
    </row>
    <row r="140" spans="4:6" x14ac:dyDescent="0.35">
      <c r="D140" s="6" t="s">
        <v>168</v>
      </c>
      <c r="E140" s="6" t="s">
        <v>168</v>
      </c>
      <c r="F140" s="6" t="str">
        <f t="shared" si="2"/>
        <v>CHI</v>
      </c>
    </row>
    <row r="141" spans="4:6" x14ac:dyDescent="0.35">
      <c r="D141" s="6" t="s">
        <v>537</v>
      </c>
      <c r="E141" s="6" t="s">
        <v>537</v>
      </c>
      <c r="F141" s="6" t="str">
        <f t="shared" si="2"/>
        <v>BRK</v>
      </c>
    </row>
    <row r="142" spans="4:6" x14ac:dyDescent="0.35">
      <c r="D142" s="6" t="s">
        <v>169</v>
      </c>
      <c r="E142" s="6" t="s">
        <v>169</v>
      </c>
      <c r="F142" s="6" t="str">
        <f t="shared" si="2"/>
        <v>BOS</v>
      </c>
    </row>
    <row r="143" spans="4:6" x14ac:dyDescent="0.35">
      <c r="D143" s="6" t="s">
        <v>593</v>
      </c>
      <c r="E143" s="6" t="s">
        <v>593</v>
      </c>
      <c r="F143" s="6" t="e">
        <f t="shared" si="2"/>
        <v>#N/A</v>
      </c>
    </row>
    <row r="144" spans="4:6" x14ac:dyDescent="0.35">
      <c r="D144" s="6" t="s">
        <v>170</v>
      </c>
      <c r="E144" s="6" t="s">
        <v>170</v>
      </c>
      <c r="F144" s="6" t="str">
        <f t="shared" si="2"/>
        <v>NYK</v>
      </c>
    </row>
    <row r="145" spans="4:6" x14ac:dyDescent="0.35">
      <c r="D145" s="6" t="s">
        <v>171</v>
      </c>
      <c r="E145" s="6" t="s">
        <v>171</v>
      </c>
      <c r="F145" s="6" t="str">
        <f t="shared" si="2"/>
        <v>PHI</v>
      </c>
    </row>
    <row r="146" spans="4:6" x14ac:dyDescent="0.35">
      <c r="D146" s="6" t="s">
        <v>172</v>
      </c>
      <c r="E146" s="6" t="s">
        <v>172</v>
      </c>
      <c r="F146" s="6" t="str">
        <f t="shared" si="2"/>
        <v>ORL</v>
      </c>
    </row>
    <row r="147" spans="4:6" x14ac:dyDescent="0.35">
      <c r="D147" s="6" t="s">
        <v>173</v>
      </c>
      <c r="E147" s="6" t="s">
        <v>173</v>
      </c>
      <c r="F147" s="6" t="str">
        <f t="shared" si="2"/>
        <v>SAS</v>
      </c>
    </row>
    <row r="148" spans="4:6" x14ac:dyDescent="0.35">
      <c r="D148" s="6" t="s">
        <v>174</v>
      </c>
      <c r="E148" s="6" t="s">
        <v>174</v>
      </c>
      <c r="F148" s="6" t="str">
        <f t="shared" si="2"/>
        <v>MIN</v>
      </c>
    </row>
    <row r="149" spans="4:6" x14ac:dyDescent="0.35">
      <c r="D149" s="6" t="s">
        <v>175</v>
      </c>
      <c r="E149" s="6" t="s">
        <v>175</v>
      </c>
      <c r="F149" s="6" t="str">
        <f t="shared" si="2"/>
        <v>CLE</v>
      </c>
    </row>
    <row r="150" spans="4:6" x14ac:dyDescent="0.35">
      <c r="D150" s="6" t="s">
        <v>176</v>
      </c>
      <c r="E150" s="6" t="s">
        <v>176</v>
      </c>
      <c r="F150" s="6" t="str">
        <f t="shared" si="2"/>
        <v>BOS</v>
      </c>
    </row>
    <row r="151" spans="4:6" x14ac:dyDescent="0.35">
      <c r="D151" s="6" t="s">
        <v>177</v>
      </c>
      <c r="E151" s="6" t="s">
        <v>177</v>
      </c>
      <c r="F151" s="6" t="str">
        <f t="shared" si="2"/>
        <v>NOP</v>
      </c>
    </row>
    <row r="152" spans="4:6" x14ac:dyDescent="0.35">
      <c r="D152" s="6" t="s">
        <v>656</v>
      </c>
      <c r="E152" s="6" t="s">
        <v>538</v>
      </c>
      <c r="F152" s="6" t="str">
        <f t="shared" si="2"/>
        <v>CHI</v>
      </c>
    </row>
    <row r="153" spans="4:6" x14ac:dyDescent="0.35">
      <c r="D153" s="6" t="s">
        <v>178</v>
      </c>
      <c r="E153" s="6" t="s">
        <v>178</v>
      </c>
      <c r="F153" s="6" t="str">
        <f t="shared" si="2"/>
        <v>OKC</v>
      </c>
    </row>
    <row r="154" spans="4:6" x14ac:dyDescent="0.35">
      <c r="D154" s="6" t="s">
        <v>179</v>
      </c>
      <c r="E154" s="6" t="s">
        <v>179</v>
      </c>
      <c r="F154" s="6" t="str">
        <f t="shared" si="2"/>
        <v>ATL</v>
      </c>
    </row>
    <row r="155" spans="4:6" x14ac:dyDescent="0.35">
      <c r="D155" s="6" t="s">
        <v>180</v>
      </c>
      <c r="E155" s="6" t="s">
        <v>180</v>
      </c>
      <c r="F155" s="6" t="str">
        <f t="shared" si="2"/>
        <v>SAC</v>
      </c>
    </row>
    <row r="156" spans="4:6" x14ac:dyDescent="0.35">
      <c r="D156" s="6" t="s">
        <v>181</v>
      </c>
      <c r="E156" s="6" t="s">
        <v>181</v>
      </c>
      <c r="F156" s="6" t="str">
        <f t="shared" si="2"/>
        <v>DAL</v>
      </c>
    </row>
    <row r="157" spans="4:6" x14ac:dyDescent="0.35">
      <c r="D157" s="6" t="s">
        <v>182</v>
      </c>
      <c r="E157" s="6" t="s">
        <v>182</v>
      </c>
      <c r="F157" s="6" t="str">
        <f t="shared" si="2"/>
        <v>SAS</v>
      </c>
    </row>
    <row r="158" spans="4:6" x14ac:dyDescent="0.35">
      <c r="D158" s="6" t="s">
        <v>183</v>
      </c>
      <c r="E158" s="6" t="s">
        <v>183</v>
      </c>
      <c r="F158" s="6" t="str">
        <f t="shared" si="2"/>
        <v>ORL</v>
      </c>
    </row>
    <row r="159" spans="4:6" x14ac:dyDescent="0.35">
      <c r="D159" s="6" t="s">
        <v>184</v>
      </c>
      <c r="E159" s="6" t="s">
        <v>184</v>
      </c>
      <c r="F159" s="6" t="str">
        <f t="shared" si="2"/>
        <v>SAC</v>
      </c>
    </row>
    <row r="160" spans="4:6" x14ac:dyDescent="0.35">
      <c r="D160" s="6" t="s">
        <v>185</v>
      </c>
      <c r="E160" s="6" t="s">
        <v>633</v>
      </c>
      <c r="F160" s="6" t="str">
        <f t="shared" si="2"/>
        <v>ORL</v>
      </c>
    </row>
    <row r="161" spans="4:6" x14ac:dyDescent="0.35">
      <c r="D161" s="6" t="s">
        <v>186</v>
      </c>
      <c r="E161" s="6" t="s">
        <v>186</v>
      </c>
      <c r="F161" s="6" t="str">
        <f t="shared" si="2"/>
        <v>HOU</v>
      </c>
    </row>
    <row r="162" spans="4:6" x14ac:dyDescent="0.35">
      <c r="D162" s="6" t="s">
        <v>594</v>
      </c>
      <c r="E162" s="6" t="s">
        <v>594</v>
      </c>
      <c r="F162" s="6" t="e">
        <f t="shared" si="2"/>
        <v>#N/A</v>
      </c>
    </row>
    <row r="163" spans="4:6" x14ac:dyDescent="0.35">
      <c r="D163" s="6" t="s">
        <v>187</v>
      </c>
      <c r="E163" s="6" t="s">
        <v>187</v>
      </c>
      <c r="F163" s="6" t="str">
        <f t="shared" si="2"/>
        <v>ORL</v>
      </c>
    </row>
    <row r="164" spans="4:6" x14ac:dyDescent="0.35">
      <c r="D164" s="6" t="s">
        <v>188</v>
      </c>
      <c r="E164" s="6" t="s">
        <v>188</v>
      </c>
      <c r="F164" s="6" t="str">
        <f t="shared" si="2"/>
        <v>POR</v>
      </c>
    </row>
    <row r="165" spans="4:6" x14ac:dyDescent="0.35">
      <c r="D165" s="6" t="s">
        <v>189</v>
      </c>
      <c r="E165" s="6" t="s">
        <v>189</v>
      </c>
      <c r="F165" s="6" t="str">
        <f t="shared" si="2"/>
        <v>CHI</v>
      </c>
    </row>
    <row r="166" spans="4:6" x14ac:dyDescent="0.35">
      <c r="D166" s="6" t="s">
        <v>190</v>
      </c>
      <c r="E166" s="6" t="s">
        <v>190</v>
      </c>
      <c r="F166" s="6" t="str">
        <f t="shared" si="2"/>
        <v>OKC</v>
      </c>
    </row>
    <row r="167" spans="4:6" x14ac:dyDescent="0.35">
      <c r="D167" s="6" t="s">
        <v>191</v>
      </c>
      <c r="E167" s="6" t="s">
        <v>191</v>
      </c>
      <c r="F167" s="6" t="str">
        <f t="shared" si="2"/>
        <v>DET</v>
      </c>
    </row>
    <row r="168" spans="4:6" x14ac:dyDescent="0.35">
      <c r="D168" s="6" t="s">
        <v>192</v>
      </c>
      <c r="E168" s="6" t="s">
        <v>192</v>
      </c>
      <c r="F168" s="6" t="str">
        <f t="shared" si="2"/>
        <v>CLE</v>
      </c>
    </row>
    <row r="169" spans="4:6" x14ac:dyDescent="0.35">
      <c r="D169" s="6" t="s">
        <v>193</v>
      </c>
      <c r="E169" s="6" t="s">
        <v>193</v>
      </c>
      <c r="F169" s="6" t="str">
        <f t="shared" si="2"/>
        <v>TOR</v>
      </c>
    </row>
    <row r="170" spans="4:6" x14ac:dyDescent="0.35">
      <c r="D170" s="6" t="s">
        <v>194</v>
      </c>
      <c r="E170" s="6" t="s">
        <v>194</v>
      </c>
      <c r="F170" s="6" t="str">
        <f t="shared" si="2"/>
        <v>SAS</v>
      </c>
    </row>
    <row r="171" spans="4:6" x14ac:dyDescent="0.35">
      <c r="D171" s="6" t="s">
        <v>195</v>
      </c>
      <c r="E171" s="6" t="s">
        <v>195</v>
      </c>
      <c r="F171" s="6" t="str">
        <f t="shared" si="2"/>
        <v>LAC</v>
      </c>
    </row>
    <row r="172" spans="4:6" x14ac:dyDescent="0.35">
      <c r="D172" s="6" t="s">
        <v>196</v>
      </c>
      <c r="E172" s="6" t="s">
        <v>196</v>
      </c>
      <c r="F172" s="6" t="str">
        <f t="shared" si="2"/>
        <v>NYK</v>
      </c>
    </row>
    <row r="173" spans="4:6" x14ac:dyDescent="0.35">
      <c r="D173" s="6" t="s">
        <v>197</v>
      </c>
      <c r="E173" s="6" t="s">
        <v>197</v>
      </c>
      <c r="F173" s="6" t="str">
        <f t="shared" si="2"/>
        <v>SAC</v>
      </c>
    </row>
    <row r="174" spans="4:6" x14ac:dyDescent="0.35">
      <c r="D174" s="6" t="s">
        <v>198</v>
      </c>
      <c r="E174" s="6" t="s">
        <v>198</v>
      </c>
      <c r="F174" s="6" t="str">
        <f t="shared" si="2"/>
        <v>OKC</v>
      </c>
    </row>
    <row r="175" spans="4:6" x14ac:dyDescent="0.35">
      <c r="D175" s="6" t="s">
        <v>199</v>
      </c>
      <c r="E175" s="6" t="s">
        <v>199</v>
      </c>
      <c r="F175" s="6" t="str">
        <f t="shared" si="2"/>
        <v>UTA</v>
      </c>
    </row>
    <row r="176" spans="4:6" x14ac:dyDescent="0.35">
      <c r="D176" s="6" t="s">
        <v>200</v>
      </c>
      <c r="E176" s="6" t="s">
        <v>200</v>
      </c>
      <c r="F176" s="6" t="str">
        <f t="shared" si="2"/>
        <v>ATL</v>
      </c>
    </row>
    <row r="177" spans="4:6" x14ac:dyDescent="0.35">
      <c r="D177" s="6" t="s">
        <v>201</v>
      </c>
      <c r="E177" s="6" t="s">
        <v>201</v>
      </c>
      <c r="F177" s="6" t="str">
        <f t="shared" si="2"/>
        <v>ORL</v>
      </c>
    </row>
    <row r="178" spans="4:6" x14ac:dyDescent="0.35">
      <c r="D178" s="6" t="s">
        <v>202</v>
      </c>
      <c r="E178" s="6" t="s">
        <v>202</v>
      </c>
      <c r="F178" s="6" t="str">
        <f t="shared" si="2"/>
        <v>HOU</v>
      </c>
    </row>
    <row r="179" spans="4:6" x14ac:dyDescent="0.35">
      <c r="D179" s="6" t="s">
        <v>203</v>
      </c>
      <c r="E179" s="6" t="s">
        <v>203</v>
      </c>
      <c r="F179" s="6" t="str">
        <f t="shared" si="2"/>
        <v>CHO</v>
      </c>
    </row>
    <row r="180" spans="4:6" x14ac:dyDescent="0.35">
      <c r="D180" s="6" t="s">
        <v>204</v>
      </c>
      <c r="E180" s="6" t="s">
        <v>204</v>
      </c>
      <c r="F180" s="6" t="str">
        <f t="shared" si="2"/>
        <v>ATL</v>
      </c>
    </row>
    <row r="181" spans="4:6" x14ac:dyDescent="0.35">
      <c r="D181" s="6" t="s">
        <v>205</v>
      </c>
      <c r="E181" s="6" t="s">
        <v>205</v>
      </c>
      <c r="F181" s="6" t="str">
        <f t="shared" si="2"/>
        <v>DEN</v>
      </c>
    </row>
    <row r="182" spans="4:6" x14ac:dyDescent="0.35">
      <c r="D182" s="6" t="s">
        <v>595</v>
      </c>
      <c r="E182" s="6" t="s">
        <v>539</v>
      </c>
      <c r="F182" s="6" t="str">
        <f t="shared" si="2"/>
        <v>NOP</v>
      </c>
    </row>
    <row r="183" spans="4:6" x14ac:dyDescent="0.35">
      <c r="D183" s="6" t="s">
        <v>206</v>
      </c>
      <c r="E183" s="6" t="s">
        <v>206</v>
      </c>
      <c r="F183" s="6" t="str">
        <f t="shared" si="2"/>
        <v>LAL</v>
      </c>
    </row>
    <row r="184" spans="4:6" x14ac:dyDescent="0.35">
      <c r="D184" s="6" t="s">
        <v>207</v>
      </c>
      <c r="E184" s="6" t="s">
        <v>207</v>
      </c>
      <c r="F184" s="6" t="str">
        <f t="shared" si="2"/>
        <v>GSW</v>
      </c>
    </row>
    <row r="185" spans="4:6" x14ac:dyDescent="0.35">
      <c r="D185" s="6" t="s">
        <v>208</v>
      </c>
      <c r="E185" s="6" t="s">
        <v>208</v>
      </c>
      <c r="F185" s="6" t="str">
        <f t="shared" si="2"/>
        <v>LAC</v>
      </c>
    </row>
    <row r="186" spans="4:6" x14ac:dyDescent="0.35">
      <c r="D186" s="6" t="s">
        <v>209</v>
      </c>
      <c r="E186" s="6" t="s">
        <v>209</v>
      </c>
      <c r="F186" s="6" t="str">
        <f t="shared" si="2"/>
        <v>BOS</v>
      </c>
    </row>
    <row r="187" spans="4:6" x14ac:dyDescent="0.35">
      <c r="D187" s="6" t="s">
        <v>210</v>
      </c>
      <c r="E187" s="6" t="s">
        <v>210</v>
      </c>
      <c r="F187" s="6" t="str">
        <f t="shared" si="2"/>
        <v>HOU</v>
      </c>
    </row>
    <row r="188" spans="4:6" x14ac:dyDescent="0.35">
      <c r="D188" s="6" t="s">
        <v>211</v>
      </c>
      <c r="E188" s="6" t="s">
        <v>211</v>
      </c>
      <c r="F188" s="6" t="str">
        <f t="shared" si="2"/>
        <v>DET</v>
      </c>
    </row>
    <row r="189" spans="4:6" x14ac:dyDescent="0.35">
      <c r="D189" s="6" t="s">
        <v>212</v>
      </c>
      <c r="E189" s="6" t="s">
        <v>212</v>
      </c>
      <c r="F189" s="6" t="str">
        <f t="shared" si="2"/>
        <v>MEM</v>
      </c>
    </row>
    <row r="190" spans="4:6" x14ac:dyDescent="0.35">
      <c r="D190" s="6" t="s">
        <v>213</v>
      </c>
      <c r="E190" s="6" t="s">
        <v>213</v>
      </c>
      <c r="F190" s="6" t="str">
        <f t="shared" si="2"/>
        <v>SAC</v>
      </c>
    </row>
    <row r="191" spans="4:6" x14ac:dyDescent="0.35">
      <c r="D191" s="6" t="s">
        <v>214</v>
      </c>
      <c r="E191" s="6" t="s">
        <v>214</v>
      </c>
      <c r="F191" s="6" t="str">
        <f t="shared" si="2"/>
        <v>WAS</v>
      </c>
    </row>
    <row r="192" spans="4:6" x14ac:dyDescent="0.35">
      <c r="D192" s="6" t="s">
        <v>596</v>
      </c>
      <c r="E192" s="6" t="s">
        <v>596</v>
      </c>
      <c r="F192" s="6" t="e">
        <f t="shared" si="2"/>
        <v>#N/A</v>
      </c>
    </row>
    <row r="193" spans="4:6" x14ac:dyDescent="0.35">
      <c r="D193" s="6" t="s">
        <v>490</v>
      </c>
      <c r="E193" s="6" t="s">
        <v>490</v>
      </c>
      <c r="F193" s="6" t="e">
        <f t="shared" si="2"/>
        <v>#N/A</v>
      </c>
    </row>
    <row r="194" spans="4:6" x14ac:dyDescent="0.35">
      <c r="D194" s="6" t="s">
        <v>597</v>
      </c>
      <c r="E194" s="6" t="s">
        <v>597</v>
      </c>
      <c r="F194" s="6" t="e">
        <f t="shared" si="2"/>
        <v>#N/A</v>
      </c>
    </row>
    <row r="195" spans="4:6" x14ac:dyDescent="0.35">
      <c r="D195" s="6" t="s">
        <v>215</v>
      </c>
      <c r="E195" s="6" t="s">
        <v>634</v>
      </c>
      <c r="F195" s="6" t="str">
        <f t="shared" ref="F195:F258" si="3">VLOOKUP(VLOOKUP(E195,Roster_Range,2,FALSE),Abbreviations, 2, FALSE)</f>
        <v>DAL</v>
      </c>
    </row>
    <row r="196" spans="4:6" x14ac:dyDescent="0.35">
      <c r="D196" s="6" t="s">
        <v>216</v>
      </c>
      <c r="E196" s="6" t="s">
        <v>216</v>
      </c>
      <c r="F196" s="6" t="str">
        <f t="shared" si="3"/>
        <v>HOU</v>
      </c>
    </row>
    <row r="197" spans="4:6" x14ac:dyDescent="0.35">
      <c r="D197" s="6" t="s">
        <v>217</v>
      </c>
      <c r="E197" s="6" t="s">
        <v>217</v>
      </c>
      <c r="F197" s="6" t="str">
        <f t="shared" si="3"/>
        <v>NYK</v>
      </c>
    </row>
    <row r="198" spans="4:6" x14ac:dyDescent="0.35">
      <c r="D198" s="6" t="s">
        <v>218</v>
      </c>
      <c r="E198" s="6" t="s">
        <v>218</v>
      </c>
      <c r="F198" s="6" t="str">
        <f t="shared" si="3"/>
        <v>PHO</v>
      </c>
    </row>
    <row r="199" spans="4:6" x14ac:dyDescent="0.35">
      <c r="D199" s="6" t="s">
        <v>219</v>
      </c>
      <c r="E199" s="6" t="s">
        <v>219</v>
      </c>
      <c r="F199" s="6" t="str">
        <f t="shared" si="3"/>
        <v>LAC</v>
      </c>
    </row>
    <row r="200" spans="4:6" x14ac:dyDescent="0.35">
      <c r="D200" s="6" t="s">
        <v>220</v>
      </c>
      <c r="E200" s="6" t="s">
        <v>220</v>
      </c>
      <c r="F200" s="6" t="str">
        <f t="shared" si="3"/>
        <v>DEN</v>
      </c>
    </row>
    <row r="201" spans="4:6" x14ac:dyDescent="0.35">
      <c r="D201" s="6" t="s">
        <v>221</v>
      </c>
      <c r="E201" s="6" t="s">
        <v>221</v>
      </c>
      <c r="F201" s="6" t="str">
        <f t="shared" si="3"/>
        <v>BRK</v>
      </c>
    </row>
    <row r="202" spans="4:6" x14ac:dyDescent="0.35">
      <c r="D202" s="6" t="s">
        <v>222</v>
      </c>
      <c r="E202" s="6" t="s">
        <v>222</v>
      </c>
      <c r="F202" s="6" t="str">
        <f t="shared" si="3"/>
        <v>PHI</v>
      </c>
    </row>
    <row r="203" spans="4:6" x14ac:dyDescent="0.35">
      <c r="D203" s="6" t="s">
        <v>223</v>
      </c>
      <c r="E203" s="6" t="s">
        <v>223</v>
      </c>
      <c r="F203" s="6" t="str">
        <f t="shared" si="3"/>
        <v>CHI</v>
      </c>
    </row>
    <row r="204" spans="4:6" x14ac:dyDescent="0.35">
      <c r="D204" s="6" t="s">
        <v>224</v>
      </c>
      <c r="E204" s="6" t="s">
        <v>224</v>
      </c>
      <c r="F204" s="6" t="str">
        <f t="shared" si="3"/>
        <v>NOP</v>
      </c>
    </row>
    <row r="205" spans="4:6" x14ac:dyDescent="0.35">
      <c r="D205" s="6" t="s">
        <v>225</v>
      </c>
      <c r="E205" s="6" t="s">
        <v>225</v>
      </c>
      <c r="F205" s="6" t="str">
        <f t="shared" si="3"/>
        <v>HOU</v>
      </c>
    </row>
    <row r="206" spans="4:6" x14ac:dyDescent="0.35">
      <c r="D206" s="6" t="s">
        <v>226</v>
      </c>
      <c r="E206" s="6" t="s">
        <v>226</v>
      </c>
      <c r="F206" s="6" t="str">
        <f t="shared" si="3"/>
        <v>MIA</v>
      </c>
    </row>
    <row r="207" spans="4:6" x14ac:dyDescent="0.35">
      <c r="D207" s="6" t="s">
        <v>227</v>
      </c>
      <c r="E207" s="6" t="s">
        <v>227</v>
      </c>
      <c r="F207" s="6" t="str">
        <f t="shared" si="3"/>
        <v>NOP</v>
      </c>
    </row>
    <row r="208" spans="4:6" x14ac:dyDescent="0.35">
      <c r="D208" s="6" t="s">
        <v>228</v>
      </c>
      <c r="E208" s="6" t="s">
        <v>228</v>
      </c>
      <c r="F208" s="6" t="str">
        <f t="shared" si="3"/>
        <v>BOS</v>
      </c>
    </row>
    <row r="209" spans="4:6" x14ac:dyDescent="0.35">
      <c r="D209" s="6" t="s">
        <v>229</v>
      </c>
      <c r="E209" s="6" t="s">
        <v>229</v>
      </c>
      <c r="F209" s="6" t="str">
        <f t="shared" si="3"/>
        <v>DET</v>
      </c>
    </row>
    <row r="210" spans="4:6" x14ac:dyDescent="0.35">
      <c r="D210" s="6" t="s">
        <v>230</v>
      </c>
      <c r="E210" s="6" t="s">
        <v>230</v>
      </c>
      <c r="F210" s="6" t="str">
        <f t="shared" si="3"/>
        <v>TOR</v>
      </c>
    </row>
    <row r="211" spans="4:6" x14ac:dyDescent="0.35">
      <c r="D211" s="6" t="s">
        <v>657</v>
      </c>
      <c r="E211" s="6" t="s">
        <v>540</v>
      </c>
      <c r="F211" s="6" t="str">
        <f t="shared" si="3"/>
        <v>MIN</v>
      </c>
    </row>
    <row r="212" spans="4:6" x14ac:dyDescent="0.35">
      <c r="D212" s="6" t="s">
        <v>658</v>
      </c>
      <c r="E212" s="6" t="s">
        <v>541</v>
      </c>
      <c r="F212" s="6" t="str">
        <f t="shared" si="3"/>
        <v>CHO</v>
      </c>
    </row>
    <row r="213" spans="4:6" x14ac:dyDescent="0.35">
      <c r="D213" s="6" t="s">
        <v>231</v>
      </c>
      <c r="E213" s="6" t="s">
        <v>231</v>
      </c>
      <c r="F213" s="6" t="str">
        <f t="shared" si="3"/>
        <v>MIA</v>
      </c>
    </row>
    <row r="214" spans="4:6" x14ac:dyDescent="0.35">
      <c r="D214" s="6" t="s">
        <v>232</v>
      </c>
      <c r="E214" s="6" t="s">
        <v>232</v>
      </c>
      <c r="F214" s="6" t="str">
        <f t="shared" si="3"/>
        <v>OKC</v>
      </c>
    </row>
    <row r="215" spans="4:6" x14ac:dyDescent="0.35">
      <c r="D215" s="6" t="s">
        <v>233</v>
      </c>
      <c r="E215" s="6" t="s">
        <v>233</v>
      </c>
      <c r="F215" s="6" t="str">
        <f t="shared" si="3"/>
        <v>POR</v>
      </c>
    </row>
    <row r="216" spans="4:6" x14ac:dyDescent="0.35">
      <c r="D216" s="6" t="s">
        <v>234</v>
      </c>
      <c r="E216" s="6" t="s">
        <v>234</v>
      </c>
      <c r="F216" s="6" t="str">
        <f t="shared" si="3"/>
        <v>SAC</v>
      </c>
    </row>
    <row r="217" spans="4:6" x14ac:dyDescent="0.35">
      <c r="D217" s="6" t="s">
        <v>235</v>
      </c>
      <c r="E217" s="6" t="s">
        <v>235</v>
      </c>
      <c r="F217" s="6" t="str">
        <f t="shared" si="3"/>
        <v>MIL</v>
      </c>
    </row>
    <row r="218" spans="4:6" x14ac:dyDescent="0.35">
      <c r="D218" s="6" t="s">
        <v>236</v>
      </c>
      <c r="E218" s="6" t="s">
        <v>236</v>
      </c>
      <c r="F218" s="6" t="str">
        <f t="shared" si="3"/>
        <v>MIA</v>
      </c>
    </row>
    <row r="219" spans="4:6" x14ac:dyDescent="0.35">
      <c r="D219" s="6" t="s">
        <v>237</v>
      </c>
      <c r="E219" s="6" t="s">
        <v>237</v>
      </c>
      <c r="F219" s="6" t="str">
        <f t="shared" si="3"/>
        <v>POR</v>
      </c>
    </row>
    <row r="220" spans="4:6" x14ac:dyDescent="0.35">
      <c r="D220" s="6" t="s">
        <v>238</v>
      </c>
      <c r="E220" s="6" t="s">
        <v>238</v>
      </c>
      <c r="F220" s="6" t="str">
        <f t="shared" si="3"/>
        <v>IND</v>
      </c>
    </row>
    <row r="221" spans="4:6" x14ac:dyDescent="0.35">
      <c r="D221" s="6" t="s">
        <v>239</v>
      </c>
      <c r="E221" s="6" t="s">
        <v>239</v>
      </c>
      <c r="F221" s="6" t="str">
        <f t="shared" si="3"/>
        <v>NOP</v>
      </c>
    </row>
    <row r="222" spans="4:6" x14ac:dyDescent="0.35">
      <c r="D222" s="6" t="s">
        <v>240</v>
      </c>
      <c r="E222" s="6" t="s">
        <v>240</v>
      </c>
      <c r="F222" s="6" t="str">
        <f t="shared" si="3"/>
        <v>IND</v>
      </c>
    </row>
    <row r="223" spans="4:6" x14ac:dyDescent="0.35">
      <c r="D223" s="6" t="s">
        <v>241</v>
      </c>
      <c r="E223" s="6" t="s">
        <v>241</v>
      </c>
      <c r="F223" s="6" t="str">
        <f t="shared" si="3"/>
        <v>TOR</v>
      </c>
    </row>
    <row r="224" spans="4:6" x14ac:dyDescent="0.35">
      <c r="D224" s="6" t="s">
        <v>242</v>
      </c>
      <c r="E224" s="6" t="s">
        <v>242</v>
      </c>
      <c r="F224" s="6" t="str">
        <f t="shared" si="3"/>
        <v>SAC</v>
      </c>
    </row>
    <row r="225" spans="4:6" x14ac:dyDescent="0.35">
      <c r="D225" s="6" t="s">
        <v>243</v>
      </c>
      <c r="E225" s="6" t="s">
        <v>243</v>
      </c>
      <c r="F225" s="6" t="str">
        <f t="shared" si="3"/>
        <v>POR</v>
      </c>
    </row>
    <row r="226" spans="4:6" x14ac:dyDescent="0.35">
      <c r="D226" s="6" t="s">
        <v>244</v>
      </c>
      <c r="E226" s="6" t="s">
        <v>244</v>
      </c>
      <c r="F226" s="6" t="str">
        <f t="shared" si="3"/>
        <v>PHI</v>
      </c>
    </row>
    <row r="227" spans="4:6" x14ac:dyDescent="0.35">
      <c r="D227" s="6" t="s">
        <v>245</v>
      </c>
      <c r="E227" s="6" t="s">
        <v>245</v>
      </c>
      <c r="F227" s="6" t="str">
        <f t="shared" si="3"/>
        <v>LAL</v>
      </c>
    </row>
    <row r="228" spans="4:6" x14ac:dyDescent="0.35">
      <c r="D228" s="6" t="s">
        <v>246</v>
      </c>
      <c r="E228" s="6" t="s">
        <v>246</v>
      </c>
      <c r="F228" s="6" t="str">
        <f t="shared" si="3"/>
        <v>HOU</v>
      </c>
    </row>
    <row r="229" spans="4:6" x14ac:dyDescent="0.35">
      <c r="D229" s="6" t="s">
        <v>247</v>
      </c>
      <c r="E229" s="6" t="s">
        <v>247</v>
      </c>
      <c r="F229" s="6" t="str">
        <f t="shared" si="3"/>
        <v>LAL</v>
      </c>
    </row>
    <row r="230" spans="4:6" x14ac:dyDescent="0.35">
      <c r="D230" s="6" t="s">
        <v>474</v>
      </c>
      <c r="E230" s="6" t="s">
        <v>474</v>
      </c>
      <c r="F230" s="6" t="str">
        <f t="shared" si="3"/>
        <v>HOU</v>
      </c>
    </row>
    <row r="231" spans="4:6" x14ac:dyDescent="0.35">
      <c r="D231" s="6" t="s">
        <v>248</v>
      </c>
      <c r="E231" s="6" t="s">
        <v>248</v>
      </c>
      <c r="F231" s="6" t="str">
        <f t="shared" si="3"/>
        <v>ATL</v>
      </c>
    </row>
    <row r="232" spans="4:6" x14ac:dyDescent="0.35">
      <c r="D232" s="6" t="s">
        <v>249</v>
      </c>
      <c r="E232" s="6" t="s">
        <v>249</v>
      </c>
      <c r="F232" s="6" t="str">
        <f t="shared" si="3"/>
        <v>ATL</v>
      </c>
    </row>
    <row r="233" spans="4:6" x14ac:dyDescent="0.35">
      <c r="D233" s="6" t="s">
        <v>250</v>
      </c>
      <c r="E233" s="6" t="s">
        <v>250</v>
      </c>
      <c r="F233" s="6" t="str">
        <f t="shared" si="3"/>
        <v>CHI</v>
      </c>
    </row>
    <row r="234" spans="4:6" x14ac:dyDescent="0.35">
      <c r="D234" s="6" t="s">
        <v>251</v>
      </c>
      <c r="E234" s="6" t="s">
        <v>251</v>
      </c>
      <c r="F234" s="6" t="str">
        <f t="shared" si="3"/>
        <v>TOR</v>
      </c>
    </row>
    <row r="235" spans="4:6" x14ac:dyDescent="0.35">
      <c r="D235" s="6" t="s">
        <v>475</v>
      </c>
      <c r="E235" s="6" t="s">
        <v>475</v>
      </c>
      <c r="F235" s="6" t="str">
        <f t="shared" si="3"/>
        <v>MIA</v>
      </c>
    </row>
    <row r="236" spans="4:6" x14ac:dyDescent="0.35">
      <c r="D236" s="6" t="s">
        <v>659</v>
      </c>
      <c r="E236" s="6" t="s">
        <v>542</v>
      </c>
      <c r="F236" s="6" t="str">
        <f t="shared" si="3"/>
        <v>MIL</v>
      </c>
    </row>
    <row r="237" spans="4:6" x14ac:dyDescent="0.35">
      <c r="D237" s="6" t="s">
        <v>252</v>
      </c>
      <c r="E237" s="6" t="s">
        <v>252</v>
      </c>
      <c r="F237" s="6" t="str">
        <f t="shared" si="3"/>
        <v>UTA</v>
      </c>
    </row>
    <row r="238" spans="4:6" x14ac:dyDescent="0.35">
      <c r="D238" s="6" t="s">
        <v>253</v>
      </c>
      <c r="E238" s="6" t="s">
        <v>253</v>
      </c>
      <c r="F238" s="6" t="str">
        <f t="shared" si="3"/>
        <v>NOP</v>
      </c>
    </row>
    <row r="239" spans="4:6" x14ac:dyDescent="0.35">
      <c r="D239" s="6" t="s">
        <v>254</v>
      </c>
      <c r="E239" s="6" t="s">
        <v>254</v>
      </c>
      <c r="F239" s="6" t="str">
        <f t="shared" si="3"/>
        <v>BRK</v>
      </c>
    </row>
    <row r="240" spans="4:6" x14ac:dyDescent="0.35">
      <c r="D240" s="6" t="s">
        <v>255</v>
      </c>
      <c r="E240" s="6" t="s">
        <v>255</v>
      </c>
      <c r="F240" s="6" t="str">
        <f t="shared" si="3"/>
        <v>ORL</v>
      </c>
    </row>
    <row r="241" spans="4:6" x14ac:dyDescent="0.35">
      <c r="D241" s="6" t="s">
        <v>256</v>
      </c>
      <c r="E241" s="6" t="s">
        <v>256</v>
      </c>
      <c r="F241" s="6" t="str">
        <f t="shared" si="3"/>
        <v>ORL</v>
      </c>
    </row>
    <row r="242" spans="4:6" x14ac:dyDescent="0.35">
      <c r="D242" s="6" t="s">
        <v>257</v>
      </c>
      <c r="E242" s="6" t="s">
        <v>257</v>
      </c>
      <c r="F242" s="6" t="str">
        <f t="shared" si="3"/>
        <v>NOP</v>
      </c>
    </row>
    <row r="243" spans="4:6" x14ac:dyDescent="0.35">
      <c r="D243" s="6" t="s">
        <v>258</v>
      </c>
      <c r="E243" s="6" t="s">
        <v>635</v>
      </c>
      <c r="F243" s="6" t="str">
        <f t="shared" si="3"/>
        <v>MEM</v>
      </c>
    </row>
    <row r="244" spans="4:6" x14ac:dyDescent="0.35">
      <c r="D244" s="6" t="s">
        <v>476</v>
      </c>
      <c r="E244" s="6" t="s">
        <v>476</v>
      </c>
      <c r="F244" s="6" t="str">
        <f t="shared" si="3"/>
        <v>MEM</v>
      </c>
    </row>
    <row r="245" spans="4:6" x14ac:dyDescent="0.35">
      <c r="D245" s="6" t="s">
        <v>259</v>
      </c>
      <c r="E245" s="6" t="s">
        <v>259</v>
      </c>
      <c r="F245" s="6" t="str">
        <f t="shared" si="3"/>
        <v>DAL</v>
      </c>
    </row>
    <row r="246" spans="4:6" x14ac:dyDescent="0.35">
      <c r="D246" s="6" t="s">
        <v>260</v>
      </c>
      <c r="E246" s="6" t="s">
        <v>260</v>
      </c>
      <c r="F246" s="6" t="str">
        <f t="shared" si="3"/>
        <v>LAC</v>
      </c>
    </row>
    <row r="247" spans="4:6" x14ac:dyDescent="0.35">
      <c r="D247" s="6" t="s">
        <v>261</v>
      </c>
      <c r="E247" s="6" t="s">
        <v>261</v>
      </c>
      <c r="F247" s="6" t="str">
        <f t="shared" si="3"/>
        <v>SAC</v>
      </c>
    </row>
    <row r="248" spans="4:6" x14ac:dyDescent="0.35">
      <c r="D248" s="6" t="s">
        <v>262</v>
      </c>
      <c r="E248" s="6" t="s">
        <v>262</v>
      </c>
      <c r="F248" s="6" t="str">
        <f t="shared" si="3"/>
        <v>LAL</v>
      </c>
    </row>
    <row r="249" spans="4:6" x14ac:dyDescent="0.35">
      <c r="D249" s="6" t="s">
        <v>598</v>
      </c>
      <c r="E249" s="6" t="s">
        <v>598</v>
      </c>
      <c r="F249" s="6" t="e">
        <f t="shared" si="3"/>
        <v>#N/A</v>
      </c>
    </row>
    <row r="250" spans="4:6" x14ac:dyDescent="0.35">
      <c r="D250" s="6" t="s">
        <v>263</v>
      </c>
      <c r="E250" s="6" t="s">
        <v>263</v>
      </c>
      <c r="F250" s="6" t="str">
        <f t="shared" si="3"/>
        <v>SAC</v>
      </c>
    </row>
    <row r="251" spans="4:6" x14ac:dyDescent="0.35">
      <c r="D251" s="6" t="s">
        <v>264</v>
      </c>
      <c r="E251" s="6" t="s">
        <v>264</v>
      </c>
      <c r="F251" s="6" t="str">
        <f t="shared" si="3"/>
        <v>PHO</v>
      </c>
    </row>
    <row r="252" spans="4:6" x14ac:dyDescent="0.35">
      <c r="D252" s="6" t="s">
        <v>265</v>
      </c>
      <c r="E252" s="6" t="s">
        <v>265</v>
      </c>
      <c r="F252" s="6" t="str">
        <f t="shared" si="3"/>
        <v>IND</v>
      </c>
    </row>
    <row r="253" spans="4:6" x14ac:dyDescent="0.35">
      <c r="D253" s="6" t="s">
        <v>266</v>
      </c>
      <c r="E253" s="6" t="s">
        <v>266</v>
      </c>
      <c r="F253" s="6" t="str">
        <f t="shared" si="3"/>
        <v>ORL</v>
      </c>
    </row>
    <row r="254" spans="4:6" x14ac:dyDescent="0.35">
      <c r="D254" s="6" t="s">
        <v>267</v>
      </c>
      <c r="E254" s="6" t="s">
        <v>267</v>
      </c>
      <c r="F254" s="6" t="str">
        <f t="shared" si="3"/>
        <v>PHO</v>
      </c>
    </row>
    <row r="255" spans="4:6" x14ac:dyDescent="0.35">
      <c r="D255" s="6" t="s">
        <v>268</v>
      </c>
      <c r="E255" s="6" t="s">
        <v>268</v>
      </c>
      <c r="F255" s="6" t="str">
        <f t="shared" si="3"/>
        <v>MIN</v>
      </c>
    </row>
    <row r="256" spans="4:6" x14ac:dyDescent="0.35">
      <c r="D256" s="6" t="s">
        <v>269</v>
      </c>
      <c r="E256" s="6" t="s">
        <v>269</v>
      </c>
      <c r="F256" s="6" t="str">
        <f t="shared" si="3"/>
        <v>SAS</v>
      </c>
    </row>
    <row r="257" spans="4:6" x14ac:dyDescent="0.35">
      <c r="D257" s="6" t="s">
        <v>270</v>
      </c>
      <c r="E257" s="6" t="s">
        <v>270</v>
      </c>
      <c r="F257" s="6" t="str">
        <f t="shared" si="3"/>
        <v>TOR</v>
      </c>
    </row>
    <row r="258" spans="4:6" x14ac:dyDescent="0.35">
      <c r="D258" s="6" t="s">
        <v>599</v>
      </c>
      <c r="E258" s="6" t="s">
        <v>599</v>
      </c>
      <c r="F258" s="6" t="e">
        <f t="shared" si="3"/>
        <v>#N/A</v>
      </c>
    </row>
    <row r="259" spans="4:6" x14ac:dyDescent="0.35">
      <c r="D259" s="6" t="s">
        <v>660</v>
      </c>
      <c r="E259" s="6" t="s">
        <v>543</v>
      </c>
      <c r="F259" s="6" t="str">
        <f t="shared" ref="F259:F322" si="4">VLOOKUP(VLOOKUP(E259,Roster_Range,2,FALSE),Abbreviations, 2, FALSE)</f>
        <v>DEN</v>
      </c>
    </row>
    <row r="260" spans="4:6" x14ac:dyDescent="0.35">
      <c r="D260" s="6" t="s">
        <v>271</v>
      </c>
      <c r="E260" s="6" t="s">
        <v>271</v>
      </c>
      <c r="F260" s="6" t="str">
        <f t="shared" si="4"/>
        <v>ATL</v>
      </c>
    </row>
    <row r="261" spans="4:6" x14ac:dyDescent="0.35">
      <c r="D261" s="6" t="s">
        <v>272</v>
      </c>
      <c r="E261" s="6" t="s">
        <v>272</v>
      </c>
      <c r="F261" s="6" t="str">
        <f t="shared" si="4"/>
        <v>MIA</v>
      </c>
    </row>
    <row r="262" spans="4:6" x14ac:dyDescent="0.35">
      <c r="D262" s="6" t="s">
        <v>273</v>
      </c>
      <c r="E262" s="6" t="s">
        <v>273</v>
      </c>
      <c r="F262" s="6" t="str">
        <f t="shared" si="4"/>
        <v>MEM</v>
      </c>
    </row>
    <row r="263" spans="4:6" x14ac:dyDescent="0.35">
      <c r="D263" s="6" t="s">
        <v>274</v>
      </c>
      <c r="E263" s="6" t="s">
        <v>274</v>
      </c>
      <c r="F263" s="6" t="str">
        <f t="shared" si="4"/>
        <v>BRK</v>
      </c>
    </row>
    <row r="264" spans="4:6" x14ac:dyDescent="0.35">
      <c r="D264" s="6" t="s">
        <v>275</v>
      </c>
      <c r="E264" s="6" t="s">
        <v>275</v>
      </c>
      <c r="F264" s="6" t="str">
        <f t="shared" si="4"/>
        <v>SAC</v>
      </c>
    </row>
    <row r="265" spans="4:6" x14ac:dyDescent="0.35">
      <c r="D265" s="6" t="s">
        <v>276</v>
      </c>
      <c r="E265" s="6" t="s">
        <v>276</v>
      </c>
      <c r="F265" s="6" t="str">
        <f t="shared" si="4"/>
        <v>LAC</v>
      </c>
    </row>
    <row r="266" spans="4:6" x14ac:dyDescent="0.35">
      <c r="D266" s="6" t="s">
        <v>277</v>
      </c>
      <c r="E266" s="6" t="s">
        <v>277</v>
      </c>
      <c r="F266" s="6" t="str">
        <f t="shared" si="4"/>
        <v>PHO</v>
      </c>
    </row>
    <row r="267" spans="4:6" x14ac:dyDescent="0.35">
      <c r="D267" s="6" t="s">
        <v>278</v>
      </c>
      <c r="E267" s="6" t="s">
        <v>278</v>
      </c>
      <c r="F267" s="6" t="str">
        <f t="shared" si="4"/>
        <v>BOS</v>
      </c>
    </row>
    <row r="268" spans="4:6" x14ac:dyDescent="0.35">
      <c r="D268" s="6" t="s">
        <v>279</v>
      </c>
      <c r="E268" s="6" t="s">
        <v>279</v>
      </c>
      <c r="F268" s="6" t="str">
        <f t="shared" si="4"/>
        <v>DET</v>
      </c>
    </row>
    <row r="269" spans="4:6" x14ac:dyDescent="0.35">
      <c r="D269" s="6" t="s">
        <v>600</v>
      </c>
      <c r="E269" s="6" t="s">
        <v>600</v>
      </c>
      <c r="F269" s="6" t="e">
        <f t="shared" si="4"/>
        <v>#N/A</v>
      </c>
    </row>
    <row r="270" spans="4:6" x14ac:dyDescent="0.35">
      <c r="D270" s="6" t="s">
        <v>280</v>
      </c>
      <c r="E270" s="6" t="s">
        <v>280</v>
      </c>
      <c r="F270" s="6" t="str">
        <f t="shared" si="4"/>
        <v>DAL</v>
      </c>
    </row>
    <row r="271" spans="4:6" x14ac:dyDescent="0.35">
      <c r="D271" s="6" t="s">
        <v>281</v>
      </c>
      <c r="E271" s="6" t="s">
        <v>281</v>
      </c>
      <c r="F271" s="6" t="str">
        <f t="shared" si="4"/>
        <v>DET</v>
      </c>
    </row>
    <row r="272" spans="4:6" x14ac:dyDescent="0.35">
      <c r="D272" s="6" t="s">
        <v>282</v>
      </c>
      <c r="E272" s="6" t="s">
        <v>282</v>
      </c>
      <c r="F272" s="6" t="str">
        <f t="shared" si="4"/>
        <v>DAL</v>
      </c>
    </row>
    <row r="273" spans="4:6" x14ac:dyDescent="0.35">
      <c r="D273" s="6" t="s">
        <v>283</v>
      </c>
      <c r="E273" s="6" t="s">
        <v>283</v>
      </c>
      <c r="F273" s="6" t="str">
        <f t="shared" si="4"/>
        <v>DET</v>
      </c>
    </row>
    <row r="274" spans="4:6" x14ac:dyDescent="0.35">
      <c r="D274" s="6" t="s">
        <v>284</v>
      </c>
      <c r="E274" s="6" t="s">
        <v>284</v>
      </c>
      <c r="F274" s="6" t="str">
        <f t="shared" si="4"/>
        <v>NYK</v>
      </c>
    </row>
    <row r="275" spans="4:6" x14ac:dyDescent="0.35">
      <c r="D275" s="6" t="s">
        <v>285</v>
      </c>
      <c r="E275" s="6" t="s">
        <v>285</v>
      </c>
      <c r="F275" s="6" t="str">
        <f t="shared" si="4"/>
        <v>MEM</v>
      </c>
    </row>
    <row r="276" spans="4:6" x14ac:dyDescent="0.35">
      <c r="D276" s="6" t="s">
        <v>286</v>
      </c>
      <c r="E276" s="6" t="s">
        <v>286</v>
      </c>
      <c r="F276" s="6" t="str">
        <f t="shared" si="4"/>
        <v>PHI</v>
      </c>
    </row>
    <row r="277" spans="4:6" x14ac:dyDescent="0.35">
      <c r="D277" s="6" t="s">
        <v>287</v>
      </c>
      <c r="E277" s="6" t="s">
        <v>287</v>
      </c>
      <c r="F277" s="6" t="str">
        <f t="shared" si="4"/>
        <v>CHI</v>
      </c>
    </row>
    <row r="278" spans="4:6" x14ac:dyDescent="0.35">
      <c r="D278" s="6" t="s">
        <v>288</v>
      </c>
      <c r="E278" s="6" t="s">
        <v>288</v>
      </c>
      <c r="F278" s="6" t="str">
        <f t="shared" si="4"/>
        <v>MIL</v>
      </c>
    </row>
    <row r="279" spans="4:6" x14ac:dyDescent="0.35">
      <c r="D279" s="6" t="s">
        <v>289</v>
      </c>
      <c r="E279" s="6" t="s">
        <v>289</v>
      </c>
      <c r="F279" s="6" t="str">
        <f t="shared" si="4"/>
        <v>BRK</v>
      </c>
    </row>
    <row r="280" spans="4:6" x14ac:dyDescent="0.35">
      <c r="D280" s="6" t="s">
        <v>290</v>
      </c>
      <c r="E280" s="6" t="s">
        <v>290</v>
      </c>
      <c r="F280" s="6" t="str">
        <f t="shared" si="4"/>
        <v>LAL</v>
      </c>
    </row>
    <row r="281" spans="4:6" x14ac:dyDescent="0.35">
      <c r="D281" s="6" t="s">
        <v>661</v>
      </c>
      <c r="E281" s="6" t="s">
        <v>544</v>
      </c>
      <c r="F281" s="6" t="str">
        <f t="shared" si="4"/>
        <v>ATL</v>
      </c>
    </row>
    <row r="282" spans="4:6" x14ac:dyDescent="0.35">
      <c r="D282" s="6" t="s">
        <v>291</v>
      </c>
      <c r="E282" s="6" t="s">
        <v>291</v>
      </c>
      <c r="F282" s="6" t="str">
        <f t="shared" si="4"/>
        <v>IND</v>
      </c>
    </row>
    <row r="283" spans="4:6" x14ac:dyDescent="0.35">
      <c r="D283" s="6" t="s">
        <v>292</v>
      </c>
      <c r="E283" s="6" t="s">
        <v>292</v>
      </c>
      <c r="F283" s="6" t="str">
        <f t="shared" si="4"/>
        <v>BOS</v>
      </c>
    </row>
    <row r="284" spans="4:6" x14ac:dyDescent="0.35">
      <c r="D284" s="6" t="s">
        <v>293</v>
      </c>
      <c r="E284" s="6" t="s">
        <v>293</v>
      </c>
      <c r="F284" s="6" t="str">
        <f t="shared" si="4"/>
        <v>CHI</v>
      </c>
    </row>
    <row r="285" spans="4:6" x14ac:dyDescent="0.35">
      <c r="D285" s="6" t="s">
        <v>473</v>
      </c>
      <c r="E285" s="6" t="s">
        <v>473</v>
      </c>
      <c r="F285" s="6" t="str">
        <f t="shared" si="4"/>
        <v>ORL</v>
      </c>
    </row>
    <row r="286" spans="4:6" x14ac:dyDescent="0.35">
      <c r="D286" s="6" t="s">
        <v>294</v>
      </c>
      <c r="E286" s="6" t="s">
        <v>294</v>
      </c>
      <c r="F286" s="6" t="str">
        <f t="shared" si="4"/>
        <v>MIN</v>
      </c>
    </row>
    <row r="287" spans="4:6" x14ac:dyDescent="0.35">
      <c r="D287" s="6" t="s">
        <v>295</v>
      </c>
      <c r="E287" s="6" t="s">
        <v>295</v>
      </c>
      <c r="F287" s="6" t="str">
        <f t="shared" si="4"/>
        <v>IND</v>
      </c>
    </row>
    <row r="288" spans="4:6" x14ac:dyDescent="0.35">
      <c r="D288" s="6" t="s">
        <v>296</v>
      </c>
      <c r="E288" s="6" t="s">
        <v>296</v>
      </c>
      <c r="F288" s="6" t="str">
        <f t="shared" si="4"/>
        <v>PHO</v>
      </c>
    </row>
    <row r="289" spans="4:6" x14ac:dyDescent="0.35">
      <c r="D289" s="6" t="s">
        <v>297</v>
      </c>
      <c r="E289" s="6" t="s">
        <v>297</v>
      </c>
      <c r="F289" s="6" t="str">
        <f t="shared" si="4"/>
        <v>DAL</v>
      </c>
    </row>
    <row r="290" spans="4:6" x14ac:dyDescent="0.35">
      <c r="D290" s="6" t="s">
        <v>298</v>
      </c>
      <c r="E290" s="6" t="s">
        <v>298</v>
      </c>
      <c r="F290" s="6" t="str">
        <f t="shared" si="4"/>
        <v>GSW</v>
      </c>
    </row>
    <row r="291" spans="4:6" x14ac:dyDescent="0.35">
      <c r="D291" s="6" t="s">
        <v>299</v>
      </c>
      <c r="E291" s="6" t="s">
        <v>299</v>
      </c>
      <c r="F291" s="6" t="str">
        <f t="shared" si="4"/>
        <v>SAC</v>
      </c>
    </row>
    <row r="292" spans="4:6" x14ac:dyDescent="0.35">
      <c r="D292" s="6" t="s">
        <v>300</v>
      </c>
      <c r="E292" s="6" t="s">
        <v>300</v>
      </c>
      <c r="F292" s="6" t="str">
        <f t="shared" si="4"/>
        <v>LAC</v>
      </c>
    </row>
    <row r="293" spans="4:6" x14ac:dyDescent="0.35">
      <c r="D293" s="6" t="s">
        <v>301</v>
      </c>
      <c r="E293" s="6" t="s">
        <v>301</v>
      </c>
      <c r="F293" s="6" t="str">
        <f t="shared" si="4"/>
        <v>MIA</v>
      </c>
    </row>
    <row r="294" spans="4:6" x14ac:dyDescent="0.35">
      <c r="D294" s="6" t="s">
        <v>302</v>
      </c>
      <c r="E294" s="6" t="s">
        <v>302</v>
      </c>
      <c r="F294" s="6" t="str">
        <f t="shared" si="4"/>
        <v>BRK</v>
      </c>
    </row>
    <row r="295" spans="4:6" x14ac:dyDescent="0.35">
      <c r="D295" s="6" t="s">
        <v>303</v>
      </c>
      <c r="E295" s="6" t="s">
        <v>303</v>
      </c>
      <c r="F295" s="6" t="str">
        <f t="shared" si="4"/>
        <v>POR</v>
      </c>
    </row>
    <row r="296" spans="4:6" x14ac:dyDescent="0.35">
      <c r="D296" s="6" t="s">
        <v>304</v>
      </c>
      <c r="E296" s="6" t="s">
        <v>304</v>
      </c>
      <c r="F296" s="6" t="str">
        <f t="shared" si="4"/>
        <v>POR</v>
      </c>
    </row>
    <row r="297" spans="4:6" x14ac:dyDescent="0.35">
      <c r="D297" s="6" t="s">
        <v>305</v>
      </c>
      <c r="E297" s="6" t="s">
        <v>305</v>
      </c>
      <c r="F297" s="6" t="str">
        <f t="shared" si="4"/>
        <v>GSW</v>
      </c>
    </row>
    <row r="298" spans="4:6" x14ac:dyDescent="0.35">
      <c r="D298" s="6" t="s">
        <v>306</v>
      </c>
      <c r="E298" s="6" t="s">
        <v>306</v>
      </c>
      <c r="F298" s="6" t="str">
        <f t="shared" si="4"/>
        <v>MIL</v>
      </c>
    </row>
    <row r="299" spans="4:6" x14ac:dyDescent="0.35">
      <c r="D299" s="6" t="s">
        <v>307</v>
      </c>
      <c r="E299" s="6" t="s">
        <v>307</v>
      </c>
      <c r="F299" s="6" t="str">
        <f t="shared" si="4"/>
        <v>MIL</v>
      </c>
    </row>
    <row r="300" spans="4:6" x14ac:dyDescent="0.35">
      <c r="D300" s="6" t="s">
        <v>308</v>
      </c>
      <c r="E300" s="6" t="s">
        <v>308</v>
      </c>
      <c r="F300" s="6" t="str">
        <f t="shared" si="4"/>
        <v>CLE</v>
      </c>
    </row>
    <row r="301" spans="4:6" x14ac:dyDescent="0.35">
      <c r="D301" s="6" t="s">
        <v>309</v>
      </c>
      <c r="E301" s="6" t="s">
        <v>309</v>
      </c>
      <c r="F301" s="6" t="str">
        <f t="shared" si="4"/>
        <v>TOR</v>
      </c>
    </row>
    <row r="302" spans="4:6" x14ac:dyDescent="0.35">
      <c r="D302" s="6" t="s">
        <v>662</v>
      </c>
      <c r="E302" s="6" t="s">
        <v>545</v>
      </c>
      <c r="F302" s="6" t="str">
        <f t="shared" si="4"/>
        <v>BRK</v>
      </c>
    </row>
    <row r="303" spans="4:6" x14ac:dyDescent="0.35">
      <c r="D303" s="6" t="s">
        <v>310</v>
      </c>
      <c r="E303" s="6" t="s">
        <v>310</v>
      </c>
      <c r="F303" s="6" t="str">
        <f t="shared" si="4"/>
        <v>SAS</v>
      </c>
    </row>
    <row r="304" spans="4:6" x14ac:dyDescent="0.35">
      <c r="D304" s="6" t="s">
        <v>601</v>
      </c>
      <c r="E304" s="6" t="s">
        <v>601</v>
      </c>
      <c r="F304" s="6" t="e">
        <f t="shared" si="4"/>
        <v>#N/A</v>
      </c>
    </row>
    <row r="305" spans="4:6" x14ac:dyDescent="0.35">
      <c r="D305" s="6" t="s">
        <v>602</v>
      </c>
      <c r="E305" s="6" t="s">
        <v>602</v>
      </c>
      <c r="F305" s="6" t="e">
        <f t="shared" si="4"/>
        <v>#N/A</v>
      </c>
    </row>
    <row r="306" spans="4:6" x14ac:dyDescent="0.35">
      <c r="D306" s="6" t="s">
        <v>603</v>
      </c>
      <c r="E306" s="6" t="s">
        <v>603</v>
      </c>
      <c r="F306" s="6" t="e">
        <f t="shared" si="4"/>
        <v>#N/A</v>
      </c>
    </row>
    <row r="307" spans="4:6" x14ac:dyDescent="0.35">
      <c r="D307" s="6" t="s">
        <v>311</v>
      </c>
      <c r="E307" s="6" t="s">
        <v>311</v>
      </c>
      <c r="F307" s="6" t="str">
        <f t="shared" si="4"/>
        <v>WAS</v>
      </c>
    </row>
    <row r="308" spans="4:6" x14ac:dyDescent="0.35">
      <c r="D308" s="6" t="s">
        <v>312</v>
      </c>
      <c r="E308" s="6" t="s">
        <v>312</v>
      </c>
      <c r="F308" s="6" t="str">
        <f t="shared" si="4"/>
        <v>DET</v>
      </c>
    </row>
    <row r="309" spans="4:6" x14ac:dyDescent="0.35">
      <c r="D309" s="6" t="s">
        <v>313</v>
      </c>
      <c r="E309" s="6" t="s">
        <v>313</v>
      </c>
      <c r="F309" s="6" t="str">
        <f t="shared" si="4"/>
        <v>LAC</v>
      </c>
    </row>
    <row r="310" spans="4:6" x14ac:dyDescent="0.35">
      <c r="D310" s="6" t="s">
        <v>663</v>
      </c>
      <c r="E310" s="6" t="s">
        <v>546</v>
      </c>
      <c r="F310" s="6" t="str">
        <f t="shared" si="4"/>
        <v>DAL</v>
      </c>
    </row>
    <row r="311" spans="4:6" x14ac:dyDescent="0.35">
      <c r="D311" s="6" t="s">
        <v>314</v>
      </c>
      <c r="E311" s="6" t="s">
        <v>314</v>
      </c>
      <c r="F311" s="6" t="str">
        <f t="shared" si="4"/>
        <v>CHI</v>
      </c>
    </row>
    <row r="312" spans="4:6" x14ac:dyDescent="0.35">
      <c r="D312" s="6" t="s">
        <v>315</v>
      </c>
      <c r="E312" s="6" t="s">
        <v>315</v>
      </c>
      <c r="F312" s="6" t="str">
        <f t="shared" si="4"/>
        <v>CHO</v>
      </c>
    </row>
    <row r="313" spans="4:6" x14ac:dyDescent="0.35">
      <c r="D313" s="6" t="s">
        <v>316</v>
      </c>
      <c r="E313" s="6" t="s">
        <v>316</v>
      </c>
      <c r="F313" s="6" t="str">
        <f t="shared" si="4"/>
        <v>CHO</v>
      </c>
    </row>
    <row r="314" spans="4:6" x14ac:dyDescent="0.35">
      <c r="D314" s="6" t="s">
        <v>478</v>
      </c>
      <c r="E314" s="6" t="s">
        <v>478</v>
      </c>
      <c r="F314" s="6" t="str">
        <f t="shared" si="4"/>
        <v>BRK</v>
      </c>
    </row>
    <row r="315" spans="4:6" x14ac:dyDescent="0.35">
      <c r="D315" s="6" t="s">
        <v>317</v>
      </c>
      <c r="E315" s="6" t="s">
        <v>317</v>
      </c>
      <c r="F315" s="6" t="str">
        <f t="shared" si="4"/>
        <v>MIN</v>
      </c>
    </row>
    <row r="316" spans="4:6" x14ac:dyDescent="0.35">
      <c r="D316" s="6" t="s">
        <v>318</v>
      </c>
      <c r="E316" s="6" t="s">
        <v>318</v>
      </c>
      <c r="F316" s="6" t="str">
        <f t="shared" si="4"/>
        <v>MIL</v>
      </c>
    </row>
    <row r="317" spans="4:6" x14ac:dyDescent="0.35">
      <c r="D317" s="6" t="s">
        <v>319</v>
      </c>
      <c r="E317" s="6" t="s">
        <v>319</v>
      </c>
      <c r="F317" s="6" t="str">
        <f t="shared" si="4"/>
        <v>WAS</v>
      </c>
    </row>
    <row r="318" spans="4:6" x14ac:dyDescent="0.35">
      <c r="D318" s="6" t="s">
        <v>320</v>
      </c>
      <c r="E318" s="6" t="s">
        <v>320</v>
      </c>
      <c r="F318" s="6" t="str">
        <f t="shared" si="4"/>
        <v>MIL</v>
      </c>
    </row>
    <row r="319" spans="4:6" x14ac:dyDescent="0.35">
      <c r="D319" s="6" t="s">
        <v>321</v>
      </c>
      <c r="E319" s="6" t="s">
        <v>321</v>
      </c>
      <c r="F319" s="6" t="str">
        <f t="shared" si="4"/>
        <v>TOR</v>
      </c>
    </row>
    <row r="320" spans="4:6" x14ac:dyDescent="0.35">
      <c r="D320" s="6" t="s">
        <v>664</v>
      </c>
      <c r="E320" s="6" t="s">
        <v>547</v>
      </c>
      <c r="F320" s="6" t="str">
        <f t="shared" si="4"/>
        <v>POR</v>
      </c>
    </row>
    <row r="321" spans="4:6" x14ac:dyDescent="0.35">
      <c r="D321" s="6" t="s">
        <v>322</v>
      </c>
      <c r="E321" s="6" t="s">
        <v>322</v>
      </c>
      <c r="F321" s="6" t="str">
        <f t="shared" si="4"/>
        <v>IND</v>
      </c>
    </row>
    <row r="322" spans="4:6" x14ac:dyDescent="0.35">
      <c r="D322" s="6" t="s">
        <v>323</v>
      </c>
      <c r="E322" s="6" t="s">
        <v>323</v>
      </c>
      <c r="F322" s="6" t="str">
        <f t="shared" si="4"/>
        <v>CHO</v>
      </c>
    </row>
    <row r="323" spans="4:6" x14ac:dyDescent="0.35">
      <c r="D323" s="6" t="s">
        <v>324</v>
      </c>
      <c r="E323" s="6" t="s">
        <v>324</v>
      </c>
      <c r="F323" s="6" t="str">
        <f t="shared" ref="F323:F386" si="5">VLOOKUP(VLOOKUP(E323,Roster_Range,2,FALSE),Abbreviations, 2, FALSE)</f>
        <v>IND</v>
      </c>
    </row>
    <row r="324" spans="4:6" x14ac:dyDescent="0.35">
      <c r="D324" s="6" t="s">
        <v>325</v>
      </c>
      <c r="E324" s="6" t="s">
        <v>325</v>
      </c>
      <c r="F324" s="6" t="str">
        <f t="shared" si="5"/>
        <v>LAL</v>
      </c>
    </row>
    <row r="325" spans="4:6" x14ac:dyDescent="0.35">
      <c r="D325" s="6" t="s">
        <v>326</v>
      </c>
      <c r="E325" s="6" t="s">
        <v>326</v>
      </c>
      <c r="F325" s="6" t="str">
        <f t="shared" si="5"/>
        <v>LAC</v>
      </c>
    </row>
    <row r="326" spans="4:6" x14ac:dyDescent="0.35">
      <c r="D326" s="6" t="s">
        <v>327</v>
      </c>
      <c r="E326" s="6" t="s">
        <v>327</v>
      </c>
      <c r="F326" s="6" t="str">
        <f t="shared" si="5"/>
        <v>CLE</v>
      </c>
    </row>
    <row r="327" spans="4:6" x14ac:dyDescent="0.35">
      <c r="D327" s="6" t="s">
        <v>328</v>
      </c>
      <c r="E327" s="6" t="s">
        <v>328</v>
      </c>
      <c r="F327" s="6" t="str">
        <f t="shared" si="5"/>
        <v>MIN</v>
      </c>
    </row>
    <row r="328" spans="4:6" x14ac:dyDescent="0.35">
      <c r="D328" s="6" t="s">
        <v>329</v>
      </c>
      <c r="E328" s="6" t="s">
        <v>329</v>
      </c>
      <c r="F328" s="6" t="str">
        <f t="shared" si="5"/>
        <v>HOU</v>
      </c>
    </row>
    <row r="329" spans="4:6" x14ac:dyDescent="0.35">
      <c r="D329" s="6" t="s">
        <v>604</v>
      </c>
      <c r="E329" s="6" t="s">
        <v>604</v>
      </c>
      <c r="F329" s="6" t="str">
        <f t="shared" si="5"/>
        <v>DET</v>
      </c>
    </row>
    <row r="330" spans="4:6" x14ac:dyDescent="0.35">
      <c r="D330" s="6" t="s">
        <v>665</v>
      </c>
      <c r="E330" s="6" t="s">
        <v>548</v>
      </c>
      <c r="F330" s="6" t="str">
        <f t="shared" si="5"/>
        <v>NOP</v>
      </c>
    </row>
    <row r="331" spans="4:6" x14ac:dyDescent="0.35">
      <c r="D331" s="6" t="s">
        <v>330</v>
      </c>
      <c r="E331" s="6" t="s">
        <v>330</v>
      </c>
      <c r="F331" s="6" t="str">
        <f t="shared" si="5"/>
        <v>MEM</v>
      </c>
    </row>
    <row r="332" spans="4:6" x14ac:dyDescent="0.35">
      <c r="D332" s="6" t="s">
        <v>331</v>
      </c>
      <c r="E332" s="6" t="s">
        <v>331</v>
      </c>
      <c r="F332" s="6" t="str">
        <f t="shared" si="5"/>
        <v>SAS</v>
      </c>
    </row>
    <row r="333" spans="4:6" x14ac:dyDescent="0.35">
      <c r="D333" s="6" t="s">
        <v>332</v>
      </c>
      <c r="E333" s="6" t="s">
        <v>332</v>
      </c>
      <c r="F333" s="6" t="str">
        <f t="shared" si="5"/>
        <v>MIL</v>
      </c>
    </row>
    <row r="334" spans="4:6" x14ac:dyDescent="0.35">
      <c r="D334" s="6" t="s">
        <v>605</v>
      </c>
      <c r="E334" s="6" t="s">
        <v>605</v>
      </c>
      <c r="F334" s="6" t="e">
        <f t="shared" si="5"/>
        <v>#N/A</v>
      </c>
    </row>
    <row r="335" spans="4:6" x14ac:dyDescent="0.35">
      <c r="D335" s="6" t="s">
        <v>549</v>
      </c>
      <c r="E335" s="6" t="s">
        <v>549</v>
      </c>
      <c r="F335" s="6" t="str">
        <f t="shared" si="5"/>
        <v>NOP</v>
      </c>
    </row>
    <row r="336" spans="4:6" x14ac:dyDescent="0.35">
      <c r="D336" s="6" t="s">
        <v>606</v>
      </c>
      <c r="E336" s="6" t="s">
        <v>606</v>
      </c>
      <c r="F336" s="6" t="e">
        <f t="shared" si="5"/>
        <v>#N/A</v>
      </c>
    </row>
    <row r="337" spans="4:6" x14ac:dyDescent="0.35">
      <c r="D337" s="6" t="s">
        <v>333</v>
      </c>
      <c r="E337" s="6" t="s">
        <v>333</v>
      </c>
      <c r="F337" s="6" t="str">
        <f t="shared" si="5"/>
        <v>TOR</v>
      </c>
    </row>
    <row r="338" spans="4:6" x14ac:dyDescent="0.35">
      <c r="D338" s="6" t="s">
        <v>334</v>
      </c>
      <c r="E338" s="6" t="s">
        <v>334</v>
      </c>
      <c r="F338" s="6" t="str">
        <f t="shared" si="5"/>
        <v>SAS</v>
      </c>
    </row>
    <row r="339" spans="4:6" x14ac:dyDescent="0.35">
      <c r="D339" s="6" t="s">
        <v>335</v>
      </c>
      <c r="E339" s="6" t="s">
        <v>335</v>
      </c>
      <c r="F339" s="6" t="str">
        <f t="shared" si="5"/>
        <v>DEN</v>
      </c>
    </row>
    <row r="340" spans="4:6" x14ac:dyDescent="0.35">
      <c r="D340" s="6" t="s">
        <v>336</v>
      </c>
      <c r="E340" s="6" t="s">
        <v>336</v>
      </c>
      <c r="F340" s="6" t="str">
        <f t="shared" si="5"/>
        <v>PHI</v>
      </c>
    </row>
    <row r="341" spans="4:6" x14ac:dyDescent="0.35">
      <c r="D341" s="6" t="s">
        <v>337</v>
      </c>
      <c r="E341" s="6" t="s">
        <v>337</v>
      </c>
      <c r="F341" s="6" t="str">
        <f t="shared" si="5"/>
        <v>UTA</v>
      </c>
    </row>
    <row r="342" spans="4:6" x14ac:dyDescent="0.35">
      <c r="D342" s="6" t="s">
        <v>607</v>
      </c>
      <c r="E342" s="6" t="s">
        <v>636</v>
      </c>
      <c r="F342" s="6" t="str">
        <f t="shared" si="5"/>
        <v>IND</v>
      </c>
    </row>
    <row r="343" spans="4:6" x14ac:dyDescent="0.35">
      <c r="D343" s="6" t="s">
        <v>338</v>
      </c>
      <c r="E343" s="6" t="s">
        <v>338</v>
      </c>
      <c r="F343" s="6" t="str">
        <f t="shared" si="5"/>
        <v>CHI</v>
      </c>
    </row>
    <row r="344" spans="4:6" x14ac:dyDescent="0.35">
      <c r="D344" s="6" t="s">
        <v>339</v>
      </c>
      <c r="E344" s="6" t="s">
        <v>339</v>
      </c>
      <c r="F344" s="6" t="str">
        <f t="shared" si="5"/>
        <v>CHO</v>
      </c>
    </row>
    <row r="345" spans="4:6" x14ac:dyDescent="0.35">
      <c r="D345" s="6" t="s">
        <v>340</v>
      </c>
      <c r="E345" s="6" t="s">
        <v>340</v>
      </c>
      <c r="F345" s="6" t="str">
        <f t="shared" si="5"/>
        <v>CLE</v>
      </c>
    </row>
    <row r="346" spans="4:6" x14ac:dyDescent="0.35">
      <c r="D346" s="6" t="s">
        <v>341</v>
      </c>
      <c r="E346" s="6" t="s">
        <v>341</v>
      </c>
      <c r="F346" s="6" t="str">
        <f t="shared" si="5"/>
        <v>NOP</v>
      </c>
    </row>
    <row r="347" spans="4:6" x14ac:dyDescent="0.35">
      <c r="D347" s="6" t="s">
        <v>342</v>
      </c>
      <c r="E347" s="6" t="s">
        <v>342</v>
      </c>
      <c r="F347" s="6" t="str">
        <f t="shared" si="5"/>
        <v>MEM</v>
      </c>
    </row>
    <row r="348" spans="4:6" x14ac:dyDescent="0.35">
      <c r="D348" s="6" t="s">
        <v>343</v>
      </c>
      <c r="E348" s="6" t="s">
        <v>343</v>
      </c>
      <c r="F348" s="6" t="str">
        <f t="shared" si="5"/>
        <v>UTA</v>
      </c>
    </row>
    <row r="349" spans="4:6" x14ac:dyDescent="0.35">
      <c r="D349" s="6" t="s">
        <v>344</v>
      </c>
      <c r="E349" s="6" t="s">
        <v>344</v>
      </c>
      <c r="F349" s="6" t="str">
        <f t="shared" si="5"/>
        <v>LAC</v>
      </c>
    </row>
    <row r="350" spans="4:6" x14ac:dyDescent="0.35">
      <c r="D350" s="6" t="s">
        <v>345</v>
      </c>
      <c r="E350" s="6" t="s">
        <v>345</v>
      </c>
      <c r="F350" s="6" t="str">
        <f t="shared" si="5"/>
        <v>LAL</v>
      </c>
    </row>
    <row r="351" spans="4:6" x14ac:dyDescent="0.35">
      <c r="D351" s="6" t="s">
        <v>346</v>
      </c>
      <c r="E351" s="6" t="s">
        <v>346</v>
      </c>
      <c r="F351" s="6" t="str">
        <f t="shared" si="5"/>
        <v>DEN</v>
      </c>
    </row>
    <row r="352" spans="4:6" x14ac:dyDescent="0.35">
      <c r="D352" s="6" t="s">
        <v>347</v>
      </c>
      <c r="E352" s="6" t="s">
        <v>347</v>
      </c>
      <c r="F352" s="6" t="str">
        <f t="shared" si="5"/>
        <v>LAC</v>
      </c>
    </row>
    <row r="353" spans="4:6" x14ac:dyDescent="0.35">
      <c r="D353" s="6" t="s">
        <v>348</v>
      </c>
      <c r="E353" s="6" t="s">
        <v>348</v>
      </c>
      <c r="F353" s="6" t="str">
        <f t="shared" si="5"/>
        <v>UTA</v>
      </c>
    </row>
    <row r="354" spans="4:6" x14ac:dyDescent="0.35">
      <c r="D354" s="6" t="s">
        <v>491</v>
      </c>
      <c r="E354" s="6" t="s">
        <v>491</v>
      </c>
      <c r="F354" s="6" t="str">
        <f t="shared" si="5"/>
        <v>GSW</v>
      </c>
    </row>
    <row r="355" spans="4:6" x14ac:dyDescent="0.35">
      <c r="D355" s="6" t="s">
        <v>349</v>
      </c>
      <c r="E355" s="6" t="s">
        <v>349</v>
      </c>
      <c r="F355" s="6" t="str">
        <f t="shared" si="5"/>
        <v>SAS</v>
      </c>
    </row>
    <row r="356" spans="4:6" x14ac:dyDescent="0.35">
      <c r="D356" s="6" t="s">
        <v>350</v>
      </c>
      <c r="E356" s="6" t="s">
        <v>350</v>
      </c>
      <c r="F356" s="6" t="str">
        <f t="shared" si="5"/>
        <v>DEN</v>
      </c>
    </row>
    <row r="357" spans="4:6" x14ac:dyDescent="0.35">
      <c r="D357" s="6" t="s">
        <v>666</v>
      </c>
      <c r="E357" s="6" t="s">
        <v>550</v>
      </c>
      <c r="F357" s="6" t="str">
        <f t="shared" si="5"/>
        <v>BRK</v>
      </c>
    </row>
    <row r="358" spans="4:6" x14ac:dyDescent="0.35">
      <c r="D358" s="6" t="s">
        <v>351</v>
      </c>
      <c r="E358" s="6" t="s">
        <v>351</v>
      </c>
      <c r="F358" s="6" t="str">
        <f t="shared" si="5"/>
        <v>OKC</v>
      </c>
    </row>
    <row r="359" spans="4:6" x14ac:dyDescent="0.35">
      <c r="D359" s="6" t="s">
        <v>608</v>
      </c>
      <c r="E359" s="6" t="s">
        <v>637</v>
      </c>
      <c r="F359" s="6" t="str">
        <f t="shared" si="5"/>
        <v>DET</v>
      </c>
    </row>
    <row r="360" spans="4:6" x14ac:dyDescent="0.35">
      <c r="D360" s="6" t="s">
        <v>352</v>
      </c>
      <c r="E360" s="6" t="s">
        <v>352</v>
      </c>
      <c r="F360" s="6" t="str">
        <f t="shared" si="5"/>
        <v>OKC</v>
      </c>
    </row>
    <row r="361" spans="4:6" x14ac:dyDescent="0.35">
      <c r="D361" s="6" t="s">
        <v>353</v>
      </c>
      <c r="E361" s="6" t="s">
        <v>638</v>
      </c>
      <c r="F361" s="6" t="str">
        <f t="shared" si="5"/>
        <v>CLE</v>
      </c>
    </row>
    <row r="362" spans="4:6" x14ac:dyDescent="0.35">
      <c r="D362" s="6" t="s">
        <v>354</v>
      </c>
      <c r="E362" s="6" t="s">
        <v>354</v>
      </c>
      <c r="F362" s="6" t="str">
        <f t="shared" si="5"/>
        <v>WAS</v>
      </c>
    </row>
    <row r="363" spans="4:6" x14ac:dyDescent="0.35">
      <c r="D363" s="6" t="s">
        <v>609</v>
      </c>
      <c r="E363" s="6" t="s">
        <v>639</v>
      </c>
      <c r="F363" s="6" t="str">
        <f t="shared" si="5"/>
        <v>PHI</v>
      </c>
    </row>
    <row r="364" spans="4:6" x14ac:dyDescent="0.35">
      <c r="D364" s="6" t="s">
        <v>610</v>
      </c>
      <c r="E364" s="6" t="s">
        <v>610</v>
      </c>
      <c r="F364" s="6" t="e">
        <f t="shared" si="5"/>
        <v>#N/A</v>
      </c>
    </row>
    <row r="365" spans="4:6" x14ac:dyDescent="0.35">
      <c r="D365" s="6" t="s">
        <v>355</v>
      </c>
      <c r="E365" s="6" t="s">
        <v>355</v>
      </c>
      <c r="F365" s="6" t="str">
        <f t="shared" si="5"/>
        <v>UTA</v>
      </c>
    </row>
    <row r="366" spans="4:6" x14ac:dyDescent="0.35">
      <c r="D366" s="6" t="s">
        <v>356</v>
      </c>
      <c r="E366" s="6" t="s">
        <v>356</v>
      </c>
      <c r="F366" s="6" t="str">
        <f t="shared" si="5"/>
        <v>OKC</v>
      </c>
    </row>
    <row r="367" spans="4:6" x14ac:dyDescent="0.35">
      <c r="D367" s="6" t="s">
        <v>611</v>
      </c>
      <c r="E367" s="6" t="s">
        <v>611</v>
      </c>
      <c r="F367" s="6" t="e">
        <f t="shared" si="5"/>
        <v>#N/A</v>
      </c>
    </row>
    <row r="368" spans="4:6" x14ac:dyDescent="0.35">
      <c r="D368" s="6" t="s">
        <v>357</v>
      </c>
      <c r="E368" s="6" t="s">
        <v>357</v>
      </c>
      <c r="F368" s="6" t="str">
        <f t="shared" si="5"/>
        <v>MIN</v>
      </c>
    </row>
    <row r="369" spans="4:6" x14ac:dyDescent="0.35">
      <c r="D369" s="6" t="s">
        <v>358</v>
      </c>
      <c r="E369" s="6" t="s">
        <v>358</v>
      </c>
      <c r="F369" s="6" t="str">
        <f t="shared" si="5"/>
        <v>NYK</v>
      </c>
    </row>
    <row r="370" spans="4:6" x14ac:dyDescent="0.35">
      <c r="D370" s="6" t="s">
        <v>359</v>
      </c>
      <c r="E370" s="6" t="s">
        <v>359</v>
      </c>
      <c r="F370" s="6" t="str">
        <f t="shared" si="5"/>
        <v>MIA</v>
      </c>
    </row>
    <row r="371" spans="4:6" x14ac:dyDescent="0.35">
      <c r="D371" s="6" t="s">
        <v>681</v>
      </c>
      <c r="E371" s="6" t="s">
        <v>551</v>
      </c>
      <c r="F371" s="6" t="str">
        <f t="shared" si="5"/>
        <v>POR</v>
      </c>
    </row>
    <row r="372" spans="4:6" x14ac:dyDescent="0.35">
      <c r="D372" s="6" t="s">
        <v>612</v>
      </c>
      <c r="E372" s="6" t="s">
        <v>612</v>
      </c>
      <c r="F372" s="6" t="e">
        <f t="shared" si="5"/>
        <v>#N/A</v>
      </c>
    </row>
    <row r="373" spans="4:6" x14ac:dyDescent="0.35">
      <c r="D373" s="6" t="s">
        <v>360</v>
      </c>
      <c r="E373" s="6" t="s">
        <v>360</v>
      </c>
      <c r="F373" s="6" t="str">
        <f t="shared" si="5"/>
        <v>UTA</v>
      </c>
    </row>
    <row r="374" spans="4:6" x14ac:dyDescent="0.35">
      <c r="D374" s="6" t="s">
        <v>361</v>
      </c>
      <c r="E374" s="6" t="s">
        <v>361</v>
      </c>
      <c r="F374" s="6" t="str">
        <f t="shared" si="5"/>
        <v>PHI</v>
      </c>
    </row>
    <row r="375" spans="4:6" x14ac:dyDescent="0.35">
      <c r="D375" s="6" t="s">
        <v>362</v>
      </c>
      <c r="E375" s="6" t="s">
        <v>362</v>
      </c>
      <c r="F375" s="6" t="str">
        <f t="shared" si="5"/>
        <v>BOS</v>
      </c>
    </row>
    <row r="376" spans="4:6" x14ac:dyDescent="0.35">
      <c r="D376" s="6" t="s">
        <v>363</v>
      </c>
      <c r="E376" s="6" t="s">
        <v>363</v>
      </c>
      <c r="F376" s="6" t="str">
        <f t="shared" si="5"/>
        <v>NOP</v>
      </c>
    </row>
    <row r="377" spans="4:6" x14ac:dyDescent="0.35">
      <c r="D377" s="6" t="s">
        <v>364</v>
      </c>
      <c r="E377" s="6" t="s">
        <v>364</v>
      </c>
      <c r="F377" s="6" t="str">
        <f t="shared" si="5"/>
        <v>PHO</v>
      </c>
    </row>
    <row r="378" spans="4:6" x14ac:dyDescent="0.35">
      <c r="D378" s="6" t="s">
        <v>365</v>
      </c>
      <c r="E378" s="6" t="s">
        <v>365</v>
      </c>
      <c r="F378" s="6" t="str">
        <f t="shared" si="5"/>
        <v>MIN</v>
      </c>
    </row>
    <row r="379" spans="4:6" x14ac:dyDescent="0.35">
      <c r="D379" s="6" t="s">
        <v>366</v>
      </c>
      <c r="E379" s="6" t="s">
        <v>366</v>
      </c>
      <c r="F379" s="6" t="str">
        <f t="shared" si="5"/>
        <v>MIA</v>
      </c>
    </row>
    <row r="380" spans="4:6" x14ac:dyDescent="0.35">
      <c r="D380" s="6" t="s">
        <v>480</v>
      </c>
      <c r="E380" s="6" t="s">
        <v>480</v>
      </c>
      <c r="F380" s="6" t="str">
        <f t="shared" si="5"/>
        <v>IND</v>
      </c>
    </row>
    <row r="381" spans="4:6" x14ac:dyDescent="0.35">
      <c r="D381" s="6" t="s">
        <v>367</v>
      </c>
      <c r="E381" s="6" t="s">
        <v>367</v>
      </c>
      <c r="F381" s="6" t="str">
        <f t="shared" si="5"/>
        <v>MIA</v>
      </c>
    </row>
    <row r="382" spans="4:6" x14ac:dyDescent="0.35">
      <c r="D382" s="6" t="s">
        <v>368</v>
      </c>
      <c r="E382" s="6" t="s">
        <v>368</v>
      </c>
      <c r="F382" s="6" t="str">
        <f t="shared" si="5"/>
        <v>UTA</v>
      </c>
    </row>
    <row r="383" spans="4:6" x14ac:dyDescent="0.35">
      <c r="D383" s="6" t="s">
        <v>369</v>
      </c>
      <c r="E383" s="6" t="s">
        <v>369</v>
      </c>
      <c r="F383" s="6" t="str">
        <f t="shared" si="5"/>
        <v>CLE</v>
      </c>
    </row>
    <row r="384" spans="4:6" x14ac:dyDescent="0.35">
      <c r="D384" s="6" t="s">
        <v>370</v>
      </c>
      <c r="E384" s="6" t="s">
        <v>640</v>
      </c>
      <c r="F384" s="6" t="str">
        <f t="shared" si="5"/>
        <v>PHO</v>
      </c>
    </row>
    <row r="385" spans="4:6" x14ac:dyDescent="0.35">
      <c r="D385" s="6" t="s">
        <v>481</v>
      </c>
      <c r="E385" s="6" t="s">
        <v>481</v>
      </c>
      <c r="F385" s="6" t="str">
        <f t="shared" si="5"/>
        <v>PHO</v>
      </c>
    </row>
    <row r="386" spans="4:6" x14ac:dyDescent="0.35">
      <c r="D386" s="6" t="s">
        <v>613</v>
      </c>
      <c r="E386" s="6" t="s">
        <v>613</v>
      </c>
      <c r="F386" s="6" t="e">
        <f t="shared" si="5"/>
        <v>#N/A</v>
      </c>
    </row>
    <row r="387" spans="4:6" x14ac:dyDescent="0.35">
      <c r="D387" s="6" t="s">
        <v>371</v>
      </c>
      <c r="E387" s="6" t="s">
        <v>371</v>
      </c>
      <c r="F387" s="6" t="str">
        <f t="shared" ref="F387:F450" si="6">VLOOKUP(VLOOKUP(E387,Roster_Range,2,FALSE),Abbreviations, 2, FALSE)</f>
        <v>SAC</v>
      </c>
    </row>
    <row r="388" spans="4:6" x14ac:dyDescent="0.35">
      <c r="D388" s="6" t="s">
        <v>614</v>
      </c>
      <c r="E388" s="6" t="s">
        <v>614</v>
      </c>
      <c r="F388" s="6" t="e">
        <f t="shared" si="6"/>
        <v>#N/A</v>
      </c>
    </row>
    <row r="389" spans="4:6" x14ac:dyDescent="0.35">
      <c r="D389" s="6" t="s">
        <v>372</v>
      </c>
      <c r="E389" s="6" t="s">
        <v>372</v>
      </c>
      <c r="F389" s="6" t="str">
        <f t="shared" si="6"/>
        <v>GSW</v>
      </c>
    </row>
    <row r="390" spans="4:6" x14ac:dyDescent="0.35">
      <c r="D390" s="6" t="s">
        <v>667</v>
      </c>
      <c r="E390" s="6" t="s">
        <v>552</v>
      </c>
      <c r="F390" s="6" t="str">
        <f t="shared" si="6"/>
        <v>WAS</v>
      </c>
    </row>
    <row r="391" spans="4:6" x14ac:dyDescent="0.35">
      <c r="D391" s="6" t="s">
        <v>373</v>
      </c>
      <c r="E391" s="6" t="s">
        <v>373</v>
      </c>
      <c r="F391" s="6" t="str">
        <f t="shared" si="6"/>
        <v>LAC</v>
      </c>
    </row>
    <row r="392" spans="4:6" x14ac:dyDescent="0.35">
      <c r="D392" s="6" t="s">
        <v>615</v>
      </c>
      <c r="E392" s="6" t="s">
        <v>615</v>
      </c>
      <c r="F392" s="6" t="e">
        <f t="shared" si="6"/>
        <v>#N/A</v>
      </c>
    </row>
    <row r="393" spans="4:6" x14ac:dyDescent="0.35">
      <c r="D393" s="6" t="s">
        <v>374</v>
      </c>
      <c r="E393" s="6" t="s">
        <v>374</v>
      </c>
      <c r="F393" s="6" t="str">
        <f t="shared" si="6"/>
        <v>OKC</v>
      </c>
    </row>
    <row r="394" spans="4:6" x14ac:dyDescent="0.35">
      <c r="D394" s="6" t="s">
        <v>375</v>
      </c>
      <c r="E394" s="6" t="s">
        <v>375</v>
      </c>
      <c r="F394" s="6" t="str">
        <f t="shared" si="6"/>
        <v>NYK</v>
      </c>
    </row>
    <row r="395" spans="4:6" x14ac:dyDescent="0.35">
      <c r="D395" s="6" t="s">
        <v>376</v>
      </c>
      <c r="E395" s="6" t="s">
        <v>641</v>
      </c>
      <c r="F395" s="6" t="str">
        <f t="shared" si="6"/>
        <v>WAS</v>
      </c>
    </row>
    <row r="396" spans="4:6" x14ac:dyDescent="0.35">
      <c r="D396" s="6" t="s">
        <v>377</v>
      </c>
      <c r="E396" s="6" t="s">
        <v>377</v>
      </c>
      <c r="F396" s="6" t="str">
        <f t="shared" si="6"/>
        <v>PHI</v>
      </c>
    </row>
    <row r="397" spans="4:6" x14ac:dyDescent="0.35">
      <c r="D397" s="6" t="s">
        <v>378</v>
      </c>
      <c r="E397" s="6" t="s">
        <v>378</v>
      </c>
      <c r="F397" s="6" t="str">
        <f t="shared" si="6"/>
        <v>BRK</v>
      </c>
    </row>
    <row r="398" spans="4:6" x14ac:dyDescent="0.35">
      <c r="D398" s="6" t="s">
        <v>379</v>
      </c>
      <c r="E398" s="6" t="s">
        <v>379</v>
      </c>
      <c r="F398" s="6" t="str">
        <f t="shared" si="6"/>
        <v>DEN</v>
      </c>
    </row>
    <row r="399" spans="4:6" x14ac:dyDescent="0.35">
      <c r="D399" s="6" t="s">
        <v>380</v>
      </c>
      <c r="E399" s="6" t="s">
        <v>380</v>
      </c>
      <c r="F399" s="6" t="str">
        <f t="shared" si="6"/>
        <v>BOS</v>
      </c>
    </row>
    <row r="400" spans="4:6" x14ac:dyDescent="0.35">
      <c r="D400" s="6" t="s">
        <v>668</v>
      </c>
      <c r="E400" s="6" t="s">
        <v>553</v>
      </c>
      <c r="F400" s="6" t="str">
        <f t="shared" si="6"/>
        <v>SAS</v>
      </c>
    </row>
    <row r="401" spans="4:6" x14ac:dyDescent="0.35">
      <c r="D401" s="6" t="s">
        <v>616</v>
      </c>
      <c r="E401" s="6" t="s">
        <v>616</v>
      </c>
      <c r="F401" s="6" t="e">
        <f t="shared" si="6"/>
        <v>#N/A</v>
      </c>
    </row>
    <row r="402" spans="4:6" x14ac:dyDescent="0.35">
      <c r="D402" s="6" t="s">
        <v>381</v>
      </c>
      <c r="E402" s="6" t="s">
        <v>381</v>
      </c>
      <c r="F402" s="6" t="str">
        <f t="shared" si="6"/>
        <v>GSW</v>
      </c>
    </row>
    <row r="403" spans="4:6" x14ac:dyDescent="0.35">
      <c r="D403" s="6" t="s">
        <v>382</v>
      </c>
      <c r="E403" s="6" t="s">
        <v>642</v>
      </c>
      <c r="F403" s="6" t="str">
        <f t="shared" si="6"/>
        <v>CLE</v>
      </c>
    </row>
    <row r="404" spans="4:6" x14ac:dyDescent="0.35">
      <c r="D404" s="6" t="s">
        <v>383</v>
      </c>
      <c r="E404" s="6" t="s">
        <v>643</v>
      </c>
      <c r="F404" s="6" t="str">
        <f t="shared" si="6"/>
        <v>DEN</v>
      </c>
    </row>
    <row r="405" spans="4:6" x14ac:dyDescent="0.35">
      <c r="D405" s="6" t="s">
        <v>384</v>
      </c>
      <c r="E405" s="6" t="s">
        <v>384</v>
      </c>
      <c r="F405" s="6" t="str">
        <f t="shared" si="6"/>
        <v>CHI</v>
      </c>
    </row>
    <row r="406" spans="4:6" x14ac:dyDescent="0.35">
      <c r="D406" s="6" t="s">
        <v>385</v>
      </c>
      <c r="E406" s="6" t="s">
        <v>385</v>
      </c>
      <c r="F406" s="6" t="str">
        <f t="shared" si="6"/>
        <v>NYK</v>
      </c>
    </row>
    <row r="407" spans="4:6" x14ac:dyDescent="0.35">
      <c r="D407" s="6" t="s">
        <v>669</v>
      </c>
      <c r="E407" s="6" t="s">
        <v>554</v>
      </c>
      <c r="F407" s="6" t="str">
        <f t="shared" si="6"/>
        <v>DAL</v>
      </c>
    </row>
    <row r="408" spans="4:6" x14ac:dyDescent="0.35">
      <c r="D408" s="6" t="s">
        <v>386</v>
      </c>
      <c r="E408" s="6" t="s">
        <v>386</v>
      </c>
      <c r="F408" s="6" t="str">
        <f t="shared" si="6"/>
        <v>DAL</v>
      </c>
    </row>
    <row r="409" spans="4:6" x14ac:dyDescent="0.35">
      <c r="D409" s="6" t="s">
        <v>387</v>
      </c>
      <c r="E409" s="6" t="s">
        <v>387</v>
      </c>
      <c r="F409" s="6" t="str">
        <f t="shared" si="6"/>
        <v>TOR</v>
      </c>
    </row>
    <row r="410" spans="4:6" x14ac:dyDescent="0.35">
      <c r="D410" s="6" t="s">
        <v>617</v>
      </c>
      <c r="E410" s="6" t="s">
        <v>617</v>
      </c>
      <c r="F410" s="6" t="e">
        <f t="shared" si="6"/>
        <v>#N/A</v>
      </c>
    </row>
    <row r="411" spans="4:6" x14ac:dyDescent="0.35">
      <c r="D411" s="6" t="s">
        <v>388</v>
      </c>
      <c r="E411" s="6" t="s">
        <v>388</v>
      </c>
      <c r="F411" s="6" t="str">
        <f t="shared" si="6"/>
        <v>NYK</v>
      </c>
    </row>
    <row r="412" spans="4:6" x14ac:dyDescent="0.35">
      <c r="D412" s="6" t="s">
        <v>389</v>
      </c>
      <c r="E412" s="6" t="s">
        <v>389</v>
      </c>
      <c r="F412" s="6" t="str">
        <f t="shared" si="6"/>
        <v>DAL</v>
      </c>
    </row>
    <row r="413" spans="4:6" x14ac:dyDescent="0.35">
      <c r="D413" s="6" t="s">
        <v>390</v>
      </c>
      <c r="E413" s="6" t="s">
        <v>390</v>
      </c>
      <c r="F413" s="6" t="str">
        <f t="shared" si="6"/>
        <v>ATL</v>
      </c>
    </row>
    <row r="414" spans="4:6" x14ac:dyDescent="0.35">
      <c r="D414" s="6" t="s">
        <v>391</v>
      </c>
      <c r="E414" s="6" t="s">
        <v>391</v>
      </c>
      <c r="F414" s="6" t="str">
        <f t="shared" si="6"/>
        <v>NOP</v>
      </c>
    </row>
    <row r="415" spans="4:6" x14ac:dyDescent="0.35">
      <c r="D415" s="6" t="s">
        <v>392</v>
      </c>
      <c r="E415" s="6" t="s">
        <v>392</v>
      </c>
      <c r="F415" s="6" t="str">
        <f t="shared" si="6"/>
        <v>MIN</v>
      </c>
    </row>
    <row r="416" spans="4:6" x14ac:dyDescent="0.35">
      <c r="D416" s="6" t="s">
        <v>393</v>
      </c>
      <c r="E416" s="6" t="s">
        <v>393</v>
      </c>
      <c r="F416" s="6" t="str">
        <f t="shared" si="6"/>
        <v>PHI</v>
      </c>
    </row>
    <row r="417" spans="4:6" x14ac:dyDescent="0.35">
      <c r="D417" s="6" t="s">
        <v>394</v>
      </c>
      <c r="E417" s="6" t="s">
        <v>394</v>
      </c>
      <c r="F417" s="6" t="str">
        <f t="shared" si="6"/>
        <v>HOU</v>
      </c>
    </row>
    <row r="418" spans="4:6" x14ac:dyDescent="0.35">
      <c r="D418" s="6" t="s">
        <v>557</v>
      </c>
      <c r="E418" s="6" t="s">
        <v>557</v>
      </c>
      <c r="F418" s="6" t="str">
        <f t="shared" si="6"/>
        <v>OKC</v>
      </c>
    </row>
    <row r="419" spans="4:6" x14ac:dyDescent="0.35">
      <c r="D419" s="6" t="s">
        <v>395</v>
      </c>
      <c r="E419" s="6" t="s">
        <v>395</v>
      </c>
      <c r="F419" s="6" t="str">
        <f t="shared" si="6"/>
        <v>MIA</v>
      </c>
    </row>
    <row r="420" spans="4:6" x14ac:dyDescent="0.35">
      <c r="D420" s="6" t="s">
        <v>396</v>
      </c>
      <c r="E420" s="6" t="s">
        <v>396</v>
      </c>
      <c r="F420" s="6" t="str">
        <f t="shared" si="6"/>
        <v>PHI</v>
      </c>
    </row>
    <row r="421" spans="4:6" x14ac:dyDescent="0.35">
      <c r="D421" s="6" t="s">
        <v>397</v>
      </c>
      <c r="E421" s="6" t="s">
        <v>397</v>
      </c>
      <c r="F421" s="6" t="str">
        <f t="shared" si="6"/>
        <v>WAS</v>
      </c>
    </row>
    <row r="422" spans="4:6" x14ac:dyDescent="0.35">
      <c r="D422" s="6" t="s">
        <v>618</v>
      </c>
      <c r="E422" s="6" t="s">
        <v>618</v>
      </c>
      <c r="F422" s="6" t="e">
        <f t="shared" si="6"/>
        <v>#N/A</v>
      </c>
    </row>
    <row r="423" spans="4:6" x14ac:dyDescent="0.35">
      <c r="D423" s="6" t="s">
        <v>398</v>
      </c>
      <c r="E423" s="6" t="s">
        <v>398</v>
      </c>
      <c r="F423" s="6" t="str">
        <f t="shared" si="6"/>
        <v>NYK</v>
      </c>
    </row>
    <row r="424" spans="4:6" x14ac:dyDescent="0.35">
      <c r="D424" s="6" t="s">
        <v>482</v>
      </c>
      <c r="E424" s="6" t="s">
        <v>482</v>
      </c>
      <c r="F424" s="6" t="str">
        <f t="shared" si="6"/>
        <v>OKC</v>
      </c>
    </row>
    <row r="425" spans="4:6" x14ac:dyDescent="0.35">
      <c r="D425" s="6" t="s">
        <v>399</v>
      </c>
      <c r="E425" s="6" t="s">
        <v>399</v>
      </c>
      <c r="F425" s="6" t="str">
        <f t="shared" si="6"/>
        <v>LAL</v>
      </c>
    </row>
    <row r="426" spans="4:6" x14ac:dyDescent="0.35">
      <c r="D426" s="6" t="s">
        <v>400</v>
      </c>
      <c r="E426" s="6" t="s">
        <v>400</v>
      </c>
      <c r="F426" s="6" t="str">
        <f t="shared" si="6"/>
        <v>DET</v>
      </c>
    </row>
    <row r="427" spans="4:6" x14ac:dyDescent="0.35">
      <c r="D427" s="6" t="s">
        <v>401</v>
      </c>
      <c r="E427" s="6" t="s">
        <v>401</v>
      </c>
      <c r="F427" s="6" t="str">
        <f t="shared" si="6"/>
        <v>ORL</v>
      </c>
    </row>
    <row r="428" spans="4:6" x14ac:dyDescent="0.35">
      <c r="D428" s="6" t="s">
        <v>402</v>
      </c>
      <c r="E428" s="6" t="s">
        <v>402</v>
      </c>
      <c r="F428" s="6" t="str">
        <f t="shared" si="6"/>
        <v>CHO</v>
      </c>
    </row>
    <row r="429" spans="4:6" x14ac:dyDescent="0.35">
      <c r="D429" s="6" t="s">
        <v>403</v>
      </c>
      <c r="E429" s="6" t="s">
        <v>403</v>
      </c>
      <c r="F429" s="6" t="str">
        <f t="shared" si="6"/>
        <v>PHO</v>
      </c>
    </row>
    <row r="430" spans="4:6" x14ac:dyDescent="0.35">
      <c r="D430" s="6" t="s">
        <v>404</v>
      </c>
      <c r="E430" s="6" t="s">
        <v>404</v>
      </c>
      <c r="F430" s="6" t="str">
        <f t="shared" si="6"/>
        <v>MIN</v>
      </c>
    </row>
    <row r="431" spans="4:6" x14ac:dyDescent="0.35">
      <c r="D431" s="6" t="s">
        <v>405</v>
      </c>
      <c r="E431" s="6" t="s">
        <v>405</v>
      </c>
      <c r="F431" s="6" t="str">
        <f t="shared" si="6"/>
        <v>IND</v>
      </c>
    </row>
    <row r="432" spans="4:6" x14ac:dyDescent="0.35">
      <c r="D432" s="6" t="s">
        <v>670</v>
      </c>
      <c r="E432" s="6" t="s">
        <v>558</v>
      </c>
      <c r="F432" s="6" t="str">
        <f t="shared" si="6"/>
        <v>SAS</v>
      </c>
    </row>
    <row r="433" spans="4:6" x14ac:dyDescent="0.35">
      <c r="D433" s="6" t="s">
        <v>406</v>
      </c>
      <c r="E433" s="6" t="s">
        <v>406</v>
      </c>
      <c r="F433" s="6" t="str">
        <f t="shared" si="6"/>
        <v>IND</v>
      </c>
    </row>
    <row r="434" spans="4:6" x14ac:dyDescent="0.35">
      <c r="D434" s="6" t="s">
        <v>671</v>
      </c>
      <c r="E434" s="6" t="s">
        <v>559</v>
      </c>
      <c r="F434" s="6" t="str">
        <f t="shared" si="6"/>
        <v>PHO</v>
      </c>
    </row>
    <row r="435" spans="4:6" x14ac:dyDescent="0.35">
      <c r="D435" s="6" t="s">
        <v>672</v>
      </c>
      <c r="E435" s="6" t="s">
        <v>560</v>
      </c>
      <c r="F435" s="6" t="str">
        <f t="shared" si="6"/>
        <v>CHI</v>
      </c>
    </row>
    <row r="436" spans="4:6" x14ac:dyDescent="0.35">
      <c r="D436" s="6" t="s">
        <v>407</v>
      </c>
      <c r="E436" s="6" t="s">
        <v>407</v>
      </c>
      <c r="F436" s="6" t="str">
        <f t="shared" si="6"/>
        <v>WAS</v>
      </c>
    </row>
    <row r="437" spans="4:6" x14ac:dyDescent="0.35">
      <c r="D437" s="6" t="s">
        <v>673</v>
      </c>
      <c r="E437" s="6" t="s">
        <v>561</v>
      </c>
      <c r="F437" s="6" t="str">
        <f t="shared" si="6"/>
        <v>OKC</v>
      </c>
    </row>
    <row r="438" spans="4:6" x14ac:dyDescent="0.35">
      <c r="D438" s="6" t="s">
        <v>408</v>
      </c>
      <c r="E438" s="6" t="s">
        <v>408</v>
      </c>
      <c r="F438" s="6" t="str">
        <f t="shared" si="6"/>
        <v>PHI</v>
      </c>
    </row>
    <row r="439" spans="4:6" x14ac:dyDescent="0.35">
      <c r="D439" s="6" t="s">
        <v>409</v>
      </c>
      <c r="E439" s="6" t="s">
        <v>409</v>
      </c>
      <c r="F439" s="6" t="str">
        <f t="shared" si="6"/>
        <v>HOU</v>
      </c>
    </row>
    <row r="440" spans="4:6" x14ac:dyDescent="0.35">
      <c r="D440" s="6" t="s">
        <v>410</v>
      </c>
      <c r="E440" s="6" t="s">
        <v>410</v>
      </c>
      <c r="F440" s="6" t="str">
        <f t="shared" si="6"/>
        <v>CLE</v>
      </c>
    </row>
    <row r="441" spans="4:6" x14ac:dyDescent="0.35">
      <c r="D441" s="6" t="s">
        <v>411</v>
      </c>
      <c r="E441" s="6" t="s">
        <v>411</v>
      </c>
      <c r="F441" s="6" t="str">
        <f t="shared" si="6"/>
        <v>LAC</v>
      </c>
    </row>
    <row r="442" spans="4:6" x14ac:dyDescent="0.35">
      <c r="D442" s="6" t="s">
        <v>483</v>
      </c>
      <c r="E442" s="6" t="s">
        <v>483</v>
      </c>
      <c r="F442" s="6" t="str">
        <f t="shared" si="6"/>
        <v>PHI</v>
      </c>
    </row>
    <row r="443" spans="4:6" x14ac:dyDescent="0.35">
      <c r="D443" s="6" t="s">
        <v>619</v>
      </c>
      <c r="E443" s="6" t="s">
        <v>619</v>
      </c>
      <c r="F443" s="6" t="e">
        <f t="shared" si="6"/>
        <v>#N/A</v>
      </c>
    </row>
    <row r="444" spans="4:6" x14ac:dyDescent="0.35">
      <c r="D444" s="6" t="s">
        <v>412</v>
      </c>
      <c r="E444" s="6" t="s">
        <v>412</v>
      </c>
      <c r="F444" s="6" t="str">
        <f t="shared" si="6"/>
        <v>TOR</v>
      </c>
    </row>
    <row r="445" spans="4:6" x14ac:dyDescent="0.35">
      <c r="D445" s="6" t="s">
        <v>413</v>
      </c>
      <c r="E445" s="6" t="s">
        <v>413</v>
      </c>
      <c r="F445" s="6" t="str">
        <f t="shared" si="6"/>
        <v>MIA</v>
      </c>
    </row>
    <row r="446" spans="4:6" x14ac:dyDescent="0.35">
      <c r="D446" s="6" t="s">
        <v>414</v>
      </c>
      <c r="E446" s="6" t="s">
        <v>414</v>
      </c>
      <c r="F446" s="6" t="str">
        <f t="shared" si="6"/>
        <v>PHI</v>
      </c>
    </row>
    <row r="447" spans="4:6" x14ac:dyDescent="0.35">
      <c r="D447" s="6" t="s">
        <v>415</v>
      </c>
      <c r="E447" s="6" t="s">
        <v>415</v>
      </c>
      <c r="F447" s="6" t="str">
        <f t="shared" si="6"/>
        <v>POR</v>
      </c>
    </row>
    <row r="448" spans="4:6" x14ac:dyDescent="0.35">
      <c r="D448" s="6" t="s">
        <v>562</v>
      </c>
      <c r="E448" s="6" t="s">
        <v>562</v>
      </c>
      <c r="F448" s="6" t="str">
        <f t="shared" si="6"/>
        <v>CHO</v>
      </c>
    </row>
    <row r="449" spans="4:6" x14ac:dyDescent="0.35">
      <c r="D449" s="6" t="s">
        <v>674</v>
      </c>
      <c r="E449" s="6" t="s">
        <v>563</v>
      </c>
      <c r="F449" s="6" t="str">
        <f t="shared" si="6"/>
        <v>GSW</v>
      </c>
    </row>
    <row r="450" spans="4:6" x14ac:dyDescent="0.35">
      <c r="D450" s="6" t="s">
        <v>416</v>
      </c>
      <c r="E450" s="6" t="s">
        <v>416</v>
      </c>
      <c r="F450" s="6" t="str">
        <f t="shared" si="6"/>
        <v>BOS</v>
      </c>
    </row>
    <row r="451" spans="4:6" x14ac:dyDescent="0.35">
      <c r="D451" s="6" t="s">
        <v>417</v>
      </c>
      <c r="E451" s="6" t="s">
        <v>417</v>
      </c>
      <c r="F451" s="6" t="str">
        <f t="shared" ref="F451:F514" si="7">VLOOKUP(VLOOKUP(E451,Roster_Range,2,FALSE),Abbreviations, 2, FALSE)</f>
        <v>NYK</v>
      </c>
    </row>
    <row r="452" spans="4:6" x14ac:dyDescent="0.35">
      <c r="D452" s="6" t="s">
        <v>418</v>
      </c>
      <c r="E452" s="6" t="s">
        <v>418</v>
      </c>
      <c r="F452" s="6" t="str">
        <f t="shared" si="7"/>
        <v>WAS</v>
      </c>
    </row>
    <row r="453" spans="4:6" x14ac:dyDescent="0.35">
      <c r="D453" s="6" t="s">
        <v>472</v>
      </c>
      <c r="E453" s="6" t="s">
        <v>472</v>
      </c>
      <c r="F453" s="6" t="str">
        <f t="shared" si="7"/>
        <v>PHI</v>
      </c>
    </row>
    <row r="454" spans="4:6" x14ac:dyDescent="0.35">
      <c r="D454" s="6" t="s">
        <v>419</v>
      </c>
      <c r="E454" s="6" t="s">
        <v>419</v>
      </c>
      <c r="F454" s="6" t="str">
        <f t="shared" si="7"/>
        <v>DET</v>
      </c>
    </row>
    <row r="455" spans="4:6" x14ac:dyDescent="0.35">
      <c r="D455" s="6" t="s">
        <v>564</v>
      </c>
      <c r="E455" s="6" t="s">
        <v>564</v>
      </c>
      <c r="F455" s="6" t="str">
        <f t="shared" si="7"/>
        <v>CHO</v>
      </c>
    </row>
    <row r="456" spans="4:6" x14ac:dyDescent="0.35">
      <c r="D456" s="6" t="s">
        <v>420</v>
      </c>
      <c r="E456" s="6" t="s">
        <v>420</v>
      </c>
      <c r="F456" s="6" t="str">
        <f t="shared" si="7"/>
        <v>MIN</v>
      </c>
    </row>
    <row r="457" spans="4:6" x14ac:dyDescent="0.35">
      <c r="D457" s="6" t="s">
        <v>421</v>
      </c>
      <c r="E457" s="6" t="s">
        <v>421</v>
      </c>
      <c r="F457" s="6" t="str">
        <f t="shared" si="7"/>
        <v>CHI</v>
      </c>
    </row>
    <row r="458" spans="4:6" x14ac:dyDescent="0.35">
      <c r="D458" s="6" t="s">
        <v>422</v>
      </c>
      <c r="E458" s="6" t="s">
        <v>422</v>
      </c>
      <c r="F458" s="6" t="str">
        <f t="shared" si="7"/>
        <v>IND</v>
      </c>
    </row>
    <row r="459" spans="4:6" x14ac:dyDescent="0.35">
      <c r="D459" s="6" t="s">
        <v>423</v>
      </c>
      <c r="E459" s="6" t="s">
        <v>423</v>
      </c>
      <c r="F459" s="6" t="str">
        <f t="shared" si="7"/>
        <v>POR</v>
      </c>
    </row>
    <row r="460" spans="4:6" x14ac:dyDescent="0.35">
      <c r="D460" s="6" t="s">
        <v>424</v>
      </c>
      <c r="E460" s="6" t="s">
        <v>424</v>
      </c>
      <c r="F460" s="6" t="str">
        <f t="shared" si="7"/>
        <v>BOS</v>
      </c>
    </row>
    <row r="461" spans="4:6" x14ac:dyDescent="0.35">
      <c r="D461" s="6" t="s">
        <v>425</v>
      </c>
      <c r="E461" s="6" t="s">
        <v>425</v>
      </c>
      <c r="F461" s="6" t="str">
        <f t="shared" si="7"/>
        <v>ATL</v>
      </c>
    </row>
    <row r="462" spans="4:6" x14ac:dyDescent="0.35">
      <c r="D462" s="6" t="s">
        <v>426</v>
      </c>
      <c r="E462" s="6" t="s">
        <v>426</v>
      </c>
      <c r="F462" s="6" t="str">
        <f t="shared" si="7"/>
        <v>BRK</v>
      </c>
    </row>
    <row r="463" spans="4:6" x14ac:dyDescent="0.35">
      <c r="D463" s="6" t="s">
        <v>427</v>
      </c>
      <c r="E463" s="6" t="s">
        <v>427</v>
      </c>
      <c r="F463" s="6" t="str">
        <f t="shared" si="7"/>
        <v>BOS</v>
      </c>
    </row>
    <row r="464" spans="4:6" x14ac:dyDescent="0.35">
      <c r="D464" s="6" t="s">
        <v>620</v>
      </c>
      <c r="E464" s="6" t="s">
        <v>620</v>
      </c>
      <c r="F464" s="6" t="e">
        <f t="shared" si="7"/>
        <v>#N/A</v>
      </c>
    </row>
    <row r="465" spans="4:6" x14ac:dyDescent="0.35">
      <c r="D465" s="6" t="s">
        <v>428</v>
      </c>
      <c r="E465" s="6" t="s">
        <v>428</v>
      </c>
      <c r="F465" s="6" t="str">
        <f t="shared" si="7"/>
        <v>DET</v>
      </c>
    </row>
    <row r="466" spans="4:6" x14ac:dyDescent="0.35">
      <c r="D466" s="6" t="s">
        <v>429</v>
      </c>
      <c r="E466" s="6" t="s">
        <v>429</v>
      </c>
      <c r="F466" s="6" t="str">
        <f t="shared" si="7"/>
        <v>TOR</v>
      </c>
    </row>
    <row r="467" spans="4:6" x14ac:dyDescent="0.35">
      <c r="D467" s="6" t="s">
        <v>565</v>
      </c>
      <c r="E467" s="6" t="s">
        <v>565</v>
      </c>
      <c r="F467" s="6" t="str">
        <f t="shared" si="7"/>
        <v>GSW</v>
      </c>
    </row>
    <row r="468" spans="4:6" x14ac:dyDescent="0.35">
      <c r="D468" s="6" t="s">
        <v>430</v>
      </c>
      <c r="E468" s="6" t="s">
        <v>430</v>
      </c>
      <c r="F468" s="6" t="str">
        <f t="shared" si="7"/>
        <v>CLE</v>
      </c>
    </row>
    <row r="469" spans="4:6" x14ac:dyDescent="0.35">
      <c r="D469" s="6" t="s">
        <v>431</v>
      </c>
      <c r="E469" s="6" t="s">
        <v>431</v>
      </c>
      <c r="F469" s="6" t="str">
        <f t="shared" si="7"/>
        <v>PHI</v>
      </c>
    </row>
    <row r="470" spans="4:6" x14ac:dyDescent="0.35">
      <c r="D470" s="6" t="s">
        <v>621</v>
      </c>
      <c r="E470" s="6" t="s">
        <v>621</v>
      </c>
      <c r="F470" s="6" t="e">
        <f t="shared" si="7"/>
        <v>#N/A</v>
      </c>
    </row>
    <row r="471" spans="4:6" x14ac:dyDescent="0.35">
      <c r="D471" s="6" t="s">
        <v>484</v>
      </c>
      <c r="E471" s="6" t="s">
        <v>484</v>
      </c>
      <c r="F471" s="6" t="str">
        <f t="shared" si="7"/>
        <v>GSW</v>
      </c>
    </row>
    <row r="472" spans="4:6" x14ac:dyDescent="0.35">
      <c r="D472" s="6" t="s">
        <v>432</v>
      </c>
      <c r="E472" s="6" t="s">
        <v>432</v>
      </c>
      <c r="F472" s="6" t="str">
        <f t="shared" si="7"/>
        <v>MIN</v>
      </c>
    </row>
    <row r="473" spans="4:6" x14ac:dyDescent="0.35">
      <c r="D473" s="6" t="s">
        <v>433</v>
      </c>
      <c r="E473" s="6" t="s">
        <v>644</v>
      </c>
      <c r="F473" s="6" t="str">
        <f t="shared" si="7"/>
        <v>POR</v>
      </c>
    </row>
    <row r="474" spans="4:6" x14ac:dyDescent="0.35">
      <c r="D474" s="6" t="s">
        <v>434</v>
      </c>
      <c r="E474" s="6" t="s">
        <v>434</v>
      </c>
      <c r="F474" s="6" t="str">
        <f t="shared" si="7"/>
        <v>NYK</v>
      </c>
    </row>
    <row r="475" spans="4:6" x14ac:dyDescent="0.35">
      <c r="D475" s="6" t="s">
        <v>435</v>
      </c>
      <c r="E475" s="6" t="s">
        <v>435</v>
      </c>
      <c r="F475" s="6" t="str">
        <f t="shared" si="7"/>
        <v>HOU</v>
      </c>
    </row>
    <row r="476" spans="4:6" x14ac:dyDescent="0.35">
      <c r="D476" s="6" t="s">
        <v>436</v>
      </c>
      <c r="E476" s="6" t="s">
        <v>436</v>
      </c>
      <c r="F476" s="6" t="str">
        <f t="shared" si="7"/>
        <v>UTA</v>
      </c>
    </row>
    <row r="477" spans="4:6" x14ac:dyDescent="0.35">
      <c r="D477" s="6" t="s">
        <v>437</v>
      </c>
      <c r="E477" s="6" t="s">
        <v>437</v>
      </c>
      <c r="F477" s="6" t="str">
        <f t="shared" si="7"/>
        <v>MIN</v>
      </c>
    </row>
    <row r="478" spans="4:6" x14ac:dyDescent="0.35">
      <c r="D478" s="6" t="s">
        <v>438</v>
      </c>
      <c r="E478" s="6" t="s">
        <v>438</v>
      </c>
      <c r="F478" s="6" t="str">
        <f t="shared" si="7"/>
        <v>IND</v>
      </c>
    </row>
    <row r="479" spans="4:6" x14ac:dyDescent="0.35">
      <c r="D479" s="6" t="s">
        <v>566</v>
      </c>
      <c r="E479" s="6" t="s">
        <v>566</v>
      </c>
      <c r="F479" s="6" t="e">
        <f t="shared" si="7"/>
        <v>#N/A</v>
      </c>
    </row>
    <row r="480" spans="4:6" x14ac:dyDescent="0.35">
      <c r="D480" s="6" t="s">
        <v>675</v>
      </c>
      <c r="E480" s="6" t="s">
        <v>567</v>
      </c>
      <c r="F480" s="6" t="str">
        <f t="shared" si="7"/>
        <v>MEM</v>
      </c>
    </row>
    <row r="481" spans="4:6" x14ac:dyDescent="0.35">
      <c r="D481" s="6" t="s">
        <v>439</v>
      </c>
      <c r="E481" s="6" t="s">
        <v>439</v>
      </c>
      <c r="F481" s="6" t="str">
        <f t="shared" si="7"/>
        <v>CHI</v>
      </c>
    </row>
    <row r="482" spans="4:6" x14ac:dyDescent="0.35">
      <c r="D482" s="6" t="s">
        <v>440</v>
      </c>
      <c r="E482" s="6" t="s">
        <v>440</v>
      </c>
      <c r="F482" s="6" t="str">
        <f t="shared" si="7"/>
        <v>MIN</v>
      </c>
    </row>
    <row r="483" spans="4:6" x14ac:dyDescent="0.35">
      <c r="D483" s="6" t="s">
        <v>441</v>
      </c>
      <c r="E483" s="6" t="s">
        <v>441</v>
      </c>
      <c r="F483" s="6" t="str">
        <f t="shared" si="7"/>
        <v>TOR</v>
      </c>
    </row>
    <row r="484" spans="4:6" x14ac:dyDescent="0.35">
      <c r="D484" s="6" t="s">
        <v>485</v>
      </c>
      <c r="E484" s="6" t="s">
        <v>485</v>
      </c>
      <c r="F484" s="6" t="str">
        <f t="shared" si="7"/>
        <v>MIA</v>
      </c>
    </row>
    <row r="485" spans="4:6" x14ac:dyDescent="0.35">
      <c r="D485" s="6" t="s">
        <v>442</v>
      </c>
      <c r="E485" s="6" t="s">
        <v>442</v>
      </c>
      <c r="F485" s="6" t="str">
        <f t="shared" si="7"/>
        <v>DEN</v>
      </c>
    </row>
    <row r="486" spans="4:6" x14ac:dyDescent="0.35">
      <c r="D486" s="6" t="s">
        <v>676</v>
      </c>
      <c r="E486" s="6" t="s">
        <v>568</v>
      </c>
      <c r="F486" s="6" t="str">
        <f t="shared" si="7"/>
        <v>ORL</v>
      </c>
    </row>
    <row r="487" spans="4:6" x14ac:dyDescent="0.35">
      <c r="D487" s="6" t="s">
        <v>443</v>
      </c>
      <c r="E487" s="6" t="s">
        <v>443</v>
      </c>
      <c r="F487" s="6" t="str">
        <f t="shared" si="7"/>
        <v>CLE</v>
      </c>
    </row>
    <row r="488" spans="4:6" x14ac:dyDescent="0.35">
      <c r="D488" s="6" t="s">
        <v>622</v>
      </c>
      <c r="E488" s="6" t="s">
        <v>645</v>
      </c>
      <c r="F488" s="6" t="str">
        <f t="shared" si="7"/>
        <v>WAS</v>
      </c>
    </row>
    <row r="489" spans="4:6" x14ac:dyDescent="0.35">
      <c r="D489" s="6" t="s">
        <v>623</v>
      </c>
      <c r="E489" s="6" t="s">
        <v>623</v>
      </c>
      <c r="F489" s="6" t="str">
        <f t="shared" si="7"/>
        <v>LAL</v>
      </c>
    </row>
    <row r="490" spans="4:6" x14ac:dyDescent="0.35">
      <c r="D490" s="6" t="s">
        <v>444</v>
      </c>
      <c r="E490" s="6" t="s">
        <v>444</v>
      </c>
      <c r="F490" s="6" t="str">
        <f t="shared" si="7"/>
        <v>BOS</v>
      </c>
    </row>
    <row r="491" spans="4:6" x14ac:dyDescent="0.35">
      <c r="D491" s="6" t="s">
        <v>445</v>
      </c>
      <c r="E491" s="6" t="s">
        <v>445</v>
      </c>
      <c r="F491" s="6" t="str">
        <f t="shared" si="7"/>
        <v>SAS</v>
      </c>
    </row>
    <row r="492" spans="4:6" x14ac:dyDescent="0.35">
      <c r="D492" s="6" t="s">
        <v>569</v>
      </c>
      <c r="E492" s="6" t="s">
        <v>569</v>
      </c>
      <c r="F492" s="6" t="str">
        <f t="shared" si="7"/>
        <v>WAS</v>
      </c>
    </row>
    <row r="493" spans="4:6" x14ac:dyDescent="0.35">
      <c r="D493" s="6" t="s">
        <v>624</v>
      </c>
      <c r="E493" s="6" t="s">
        <v>624</v>
      </c>
      <c r="F493" s="6" t="e">
        <f t="shared" si="7"/>
        <v>#N/A</v>
      </c>
    </row>
    <row r="494" spans="4:6" x14ac:dyDescent="0.35">
      <c r="D494" s="6" t="s">
        <v>677</v>
      </c>
      <c r="E494" s="6" t="s">
        <v>555</v>
      </c>
      <c r="F494" s="6" t="str">
        <f t="shared" si="7"/>
        <v>BRK</v>
      </c>
    </row>
    <row r="495" spans="4:6" x14ac:dyDescent="0.35">
      <c r="D495" s="6" t="s">
        <v>625</v>
      </c>
      <c r="E495" s="6" t="s">
        <v>625</v>
      </c>
      <c r="F495" s="6" t="e">
        <f t="shared" si="7"/>
        <v>#N/A</v>
      </c>
    </row>
    <row r="496" spans="4:6" x14ac:dyDescent="0.35">
      <c r="D496" s="6" t="s">
        <v>446</v>
      </c>
      <c r="E496" s="6" t="s">
        <v>446</v>
      </c>
      <c r="F496" s="6" t="str">
        <f t="shared" si="7"/>
        <v>BOS</v>
      </c>
    </row>
    <row r="497" spans="4:6" x14ac:dyDescent="0.35">
      <c r="D497" s="6" t="s">
        <v>447</v>
      </c>
      <c r="E497" s="6" t="s">
        <v>447</v>
      </c>
      <c r="F497" s="6" t="str">
        <f t="shared" si="7"/>
        <v>IND</v>
      </c>
    </row>
    <row r="498" spans="4:6" x14ac:dyDescent="0.35">
      <c r="D498" s="6" t="s">
        <v>487</v>
      </c>
      <c r="E498" s="6" t="s">
        <v>487</v>
      </c>
      <c r="F498" s="6" t="str">
        <f t="shared" si="7"/>
        <v>CHO</v>
      </c>
    </row>
    <row r="499" spans="4:6" x14ac:dyDescent="0.35">
      <c r="D499" s="6" t="s">
        <v>448</v>
      </c>
      <c r="E499" s="6" t="s">
        <v>448</v>
      </c>
      <c r="F499" s="6" t="str">
        <f t="shared" si="7"/>
        <v>MEM</v>
      </c>
    </row>
    <row r="500" spans="4:6" x14ac:dyDescent="0.35">
      <c r="D500" s="6" t="s">
        <v>449</v>
      </c>
      <c r="E500" s="6" t="s">
        <v>449</v>
      </c>
      <c r="F500" s="6" t="str">
        <f t="shared" si="7"/>
        <v>BOS</v>
      </c>
    </row>
    <row r="501" spans="4:6" x14ac:dyDescent="0.35">
      <c r="D501" s="6" t="s">
        <v>450</v>
      </c>
      <c r="E501" s="6" t="s">
        <v>450</v>
      </c>
      <c r="F501" s="6" t="str">
        <f t="shared" si="7"/>
        <v>TOR</v>
      </c>
    </row>
    <row r="502" spans="4:6" x14ac:dyDescent="0.35">
      <c r="D502" s="6" t="s">
        <v>488</v>
      </c>
      <c r="E502" s="6" t="s">
        <v>488</v>
      </c>
      <c r="F502" s="6" t="str">
        <f t="shared" si="7"/>
        <v>SAS</v>
      </c>
    </row>
    <row r="503" spans="4:6" x14ac:dyDescent="0.35">
      <c r="D503" s="6" t="s">
        <v>451</v>
      </c>
      <c r="E503" s="6" t="s">
        <v>451</v>
      </c>
      <c r="F503" s="6" t="str">
        <f t="shared" si="7"/>
        <v>HOU</v>
      </c>
    </row>
    <row r="504" spans="4:6" x14ac:dyDescent="0.35">
      <c r="D504" s="6" t="s">
        <v>452</v>
      </c>
      <c r="E504" s="6" t="s">
        <v>452</v>
      </c>
      <c r="F504" s="6" t="str">
        <f t="shared" si="7"/>
        <v>CHI</v>
      </c>
    </row>
    <row r="505" spans="4:6" x14ac:dyDescent="0.35">
      <c r="D505" s="6" t="s">
        <v>453</v>
      </c>
      <c r="E505" s="6" t="s">
        <v>453</v>
      </c>
      <c r="F505" s="6" t="str">
        <f t="shared" si="7"/>
        <v>SAS</v>
      </c>
    </row>
    <row r="506" spans="4:6" x14ac:dyDescent="0.35">
      <c r="D506" s="6" t="s">
        <v>454</v>
      </c>
      <c r="E506" s="6" t="s">
        <v>454</v>
      </c>
      <c r="F506" s="6" t="str">
        <f t="shared" si="7"/>
        <v>POR</v>
      </c>
    </row>
    <row r="507" spans="4:6" x14ac:dyDescent="0.35">
      <c r="D507" s="6" t="s">
        <v>455</v>
      </c>
      <c r="E507" s="6" t="s">
        <v>455</v>
      </c>
      <c r="F507" s="6" t="str">
        <f t="shared" si="7"/>
        <v>GSW</v>
      </c>
    </row>
    <row r="508" spans="4:6" x14ac:dyDescent="0.35">
      <c r="D508" s="6" t="s">
        <v>456</v>
      </c>
      <c r="E508" s="6" t="s">
        <v>456</v>
      </c>
      <c r="F508" s="6" t="str">
        <f t="shared" si="7"/>
        <v>BOS</v>
      </c>
    </row>
    <row r="509" spans="4:6" x14ac:dyDescent="0.35">
      <c r="D509" s="6" t="s">
        <v>457</v>
      </c>
      <c r="E509" s="6" t="s">
        <v>457</v>
      </c>
      <c r="F509" s="6" t="str">
        <f t="shared" si="7"/>
        <v>WAS</v>
      </c>
    </row>
    <row r="510" spans="4:6" x14ac:dyDescent="0.35">
      <c r="D510" s="6" t="s">
        <v>458</v>
      </c>
      <c r="E510" s="6" t="s">
        <v>458</v>
      </c>
      <c r="F510" s="6" t="str">
        <f t="shared" si="7"/>
        <v>NOP</v>
      </c>
    </row>
    <row r="511" spans="4:6" x14ac:dyDescent="0.35">
      <c r="D511" s="6" t="s">
        <v>459</v>
      </c>
      <c r="E511" s="6" t="s">
        <v>459</v>
      </c>
      <c r="F511" s="6" t="str">
        <f t="shared" si="7"/>
        <v>LAC</v>
      </c>
    </row>
    <row r="512" spans="4:6" x14ac:dyDescent="0.35">
      <c r="D512" s="6" t="s">
        <v>460</v>
      </c>
      <c r="E512" s="6" t="s">
        <v>460</v>
      </c>
      <c r="F512" s="6" t="str">
        <f t="shared" si="7"/>
        <v>MIL</v>
      </c>
    </row>
    <row r="513" spans="4:6" x14ac:dyDescent="0.35">
      <c r="D513" s="6" t="s">
        <v>461</v>
      </c>
      <c r="E513" s="6" t="s">
        <v>461</v>
      </c>
      <c r="F513" s="6" t="str">
        <f t="shared" si="7"/>
        <v>BOS</v>
      </c>
    </row>
    <row r="514" spans="4:6" x14ac:dyDescent="0.35">
      <c r="D514" s="6" t="s">
        <v>462</v>
      </c>
      <c r="E514" s="6" t="s">
        <v>462</v>
      </c>
      <c r="F514" s="6" t="str">
        <f t="shared" si="7"/>
        <v>UTA</v>
      </c>
    </row>
    <row r="515" spans="4:6" x14ac:dyDescent="0.35">
      <c r="D515" s="6" t="s">
        <v>463</v>
      </c>
      <c r="E515" s="6" t="s">
        <v>463</v>
      </c>
      <c r="F515" s="6" t="str">
        <f t="shared" ref="F515:F534" si="8">VLOOKUP(VLOOKUP(E515,Roster_Range,2,FALSE),Abbreviations, 2, FALSE)</f>
        <v>NOP</v>
      </c>
    </row>
    <row r="516" spans="4:6" x14ac:dyDescent="0.35">
      <c r="D516" s="6" t="s">
        <v>464</v>
      </c>
      <c r="E516" s="6" t="s">
        <v>464</v>
      </c>
      <c r="F516" s="6" t="str">
        <f t="shared" si="8"/>
        <v>MIL</v>
      </c>
    </row>
    <row r="517" spans="4:6" x14ac:dyDescent="0.35">
      <c r="D517" s="6" t="s">
        <v>570</v>
      </c>
      <c r="E517" s="6" t="s">
        <v>570</v>
      </c>
      <c r="F517" s="6" t="str">
        <f t="shared" si="8"/>
        <v>CLE</v>
      </c>
    </row>
    <row r="518" spans="4:6" x14ac:dyDescent="0.35">
      <c r="D518" s="6" t="s">
        <v>465</v>
      </c>
      <c r="E518" s="6" t="s">
        <v>465</v>
      </c>
      <c r="F518" s="6" t="str">
        <f t="shared" si="8"/>
        <v>MEM</v>
      </c>
    </row>
    <row r="519" spans="4:6" x14ac:dyDescent="0.35">
      <c r="D519" s="6" t="s">
        <v>466</v>
      </c>
      <c r="E519" s="6" t="s">
        <v>466</v>
      </c>
      <c r="F519" s="6" t="str">
        <f t="shared" si="8"/>
        <v>DET</v>
      </c>
    </row>
    <row r="520" spans="4:6" x14ac:dyDescent="0.35">
      <c r="D520" s="6" t="s">
        <v>571</v>
      </c>
      <c r="E520" s="6" t="s">
        <v>571</v>
      </c>
      <c r="F520" s="6" t="str">
        <f t="shared" si="8"/>
        <v>NYK</v>
      </c>
    </row>
    <row r="521" spans="4:6" x14ac:dyDescent="0.35">
      <c r="D521" s="6" t="s">
        <v>467</v>
      </c>
      <c r="E521" s="6" t="s">
        <v>467</v>
      </c>
      <c r="F521" s="6" t="str">
        <f t="shared" si="8"/>
        <v>DAL</v>
      </c>
    </row>
    <row r="522" spans="4:6" x14ac:dyDescent="0.35">
      <c r="D522" s="6" t="s">
        <v>489</v>
      </c>
      <c r="E522" s="6" t="s">
        <v>489</v>
      </c>
      <c r="F522" s="6" t="str">
        <f t="shared" si="8"/>
        <v>UTA</v>
      </c>
    </row>
    <row r="523" spans="4:6" x14ac:dyDescent="0.35">
      <c r="D523" s="6" t="s">
        <v>468</v>
      </c>
      <c r="E523" s="6" t="s">
        <v>468</v>
      </c>
      <c r="F523" s="6" t="str">
        <f t="shared" si="8"/>
        <v>CHI</v>
      </c>
    </row>
    <row r="524" spans="4:6" x14ac:dyDescent="0.35">
      <c r="D524" s="6" t="s">
        <v>469</v>
      </c>
      <c r="E524" s="6" t="s">
        <v>469</v>
      </c>
      <c r="F524" s="6" t="str">
        <f t="shared" si="8"/>
        <v>ATL</v>
      </c>
    </row>
    <row r="525" spans="4:6" x14ac:dyDescent="0.35">
      <c r="D525" s="6" t="s">
        <v>470</v>
      </c>
      <c r="E525" s="6" t="s">
        <v>470</v>
      </c>
      <c r="F525" s="6" t="str">
        <f t="shared" si="8"/>
        <v>CHO</v>
      </c>
    </row>
    <row r="526" spans="4:6" x14ac:dyDescent="0.35">
      <c r="D526" s="6" t="s">
        <v>678</v>
      </c>
      <c r="E526" s="6" t="s">
        <v>572</v>
      </c>
      <c r="F526" s="6" t="str">
        <f t="shared" si="8"/>
        <v>CLE</v>
      </c>
    </row>
    <row r="527" spans="4:6" x14ac:dyDescent="0.35">
      <c r="D527" s="6" t="s">
        <v>471</v>
      </c>
      <c r="E527" s="6" t="s">
        <v>471</v>
      </c>
      <c r="F527" s="6" t="str">
        <f t="shared" si="8"/>
        <v>LAC</v>
      </c>
    </row>
    <row r="528" spans="4:6" x14ac:dyDescent="0.35">
      <c r="D528" s="8" t="s">
        <v>496</v>
      </c>
      <c r="E528" s="8" t="s">
        <v>496</v>
      </c>
      <c r="F528" s="6" t="str">
        <f t="shared" si="8"/>
        <v>MIA</v>
      </c>
    </row>
    <row r="529" spans="4:6" x14ac:dyDescent="0.35">
      <c r="D529" s="8" t="s">
        <v>531</v>
      </c>
      <c r="E529" s="8" t="s">
        <v>531</v>
      </c>
      <c r="F529" s="6" t="str">
        <f t="shared" si="8"/>
        <v>LAL</v>
      </c>
    </row>
    <row r="530" spans="4:6" x14ac:dyDescent="0.35">
      <c r="D530" s="8" t="s">
        <v>684</v>
      </c>
      <c r="E530" s="8" t="s">
        <v>684</v>
      </c>
      <c r="F530" s="6" t="e">
        <f t="shared" si="8"/>
        <v>#N/A</v>
      </c>
    </row>
    <row r="531" spans="4:6" x14ac:dyDescent="0.35">
      <c r="D531" s="8" t="s">
        <v>689</v>
      </c>
      <c r="E531" s="8" t="s">
        <v>689</v>
      </c>
      <c r="F531" s="6" t="e">
        <f t="shared" si="8"/>
        <v>#N/A</v>
      </c>
    </row>
    <row r="532" spans="4:6" x14ac:dyDescent="0.35">
      <c r="D532" s="8" t="s">
        <v>626</v>
      </c>
      <c r="E532" s="8" t="s">
        <v>626</v>
      </c>
      <c r="F532" s="6" t="e">
        <f t="shared" si="8"/>
        <v>#N/A</v>
      </c>
    </row>
    <row r="533" spans="4:6" x14ac:dyDescent="0.35">
      <c r="D533" s="8" t="s">
        <v>685</v>
      </c>
      <c r="E533" s="8" t="s">
        <v>685</v>
      </c>
      <c r="F533" s="6" t="str">
        <f t="shared" si="8"/>
        <v>MEM</v>
      </c>
    </row>
    <row r="534" spans="4:6" x14ac:dyDescent="0.35">
      <c r="D534" s="8" t="s">
        <v>556</v>
      </c>
      <c r="E534" s="8" t="s">
        <v>556</v>
      </c>
      <c r="F534" s="6" t="str">
        <f t="shared" si="8"/>
        <v>MIL</v>
      </c>
    </row>
  </sheetData>
  <mergeCells count="2">
    <mergeCell ref="A1:B1"/>
    <mergeCell ref="D1:F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97949F-06F6-4C8F-8085-D1A2734A2C0E}">
  <sheetPr codeName="Sheet1"/>
  <dimension ref="A1:B624"/>
  <sheetViews>
    <sheetView tabSelected="1" workbookViewId="0">
      <selection activeCell="E13" sqref="E13"/>
    </sheetView>
  </sheetViews>
  <sheetFormatPr defaultRowHeight="14.5" x14ac:dyDescent="0.35"/>
  <cols>
    <col min="1" max="1" width="16.6328125" customWidth="1"/>
    <col min="2" max="2" width="21.26953125" customWidth="1"/>
  </cols>
  <sheetData>
    <row r="1" spans="1:2" x14ac:dyDescent="0.35">
      <c r="A1" t="s">
        <v>0</v>
      </c>
      <c r="B1" t="s">
        <v>690</v>
      </c>
    </row>
    <row r="201" spans="1:2" x14ac:dyDescent="0.35">
      <c r="A201" t="s">
        <v>182</v>
      </c>
      <c r="B201" t="s">
        <v>691</v>
      </c>
    </row>
    <row r="202" spans="1:2" x14ac:dyDescent="0.35">
      <c r="A202" t="s">
        <v>183</v>
      </c>
      <c r="B202" t="s">
        <v>691</v>
      </c>
    </row>
    <row r="203" spans="1:2" x14ac:dyDescent="0.35">
      <c r="A203" t="s">
        <v>184</v>
      </c>
      <c r="B203" t="s">
        <v>691</v>
      </c>
    </row>
    <row r="204" spans="1:2" x14ac:dyDescent="0.35">
      <c r="A204" t="s">
        <v>185</v>
      </c>
      <c r="B204" t="s">
        <v>691</v>
      </c>
    </row>
    <row r="205" spans="1:2" x14ac:dyDescent="0.35">
      <c r="A205" t="s">
        <v>186</v>
      </c>
      <c r="B205" t="s">
        <v>691</v>
      </c>
    </row>
    <row r="206" spans="1:2" x14ac:dyDescent="0.35">
      <c r="A206" t="s">
        <v>594</v>
      </c>
      <c r="B206" t="s">
        <v>691</v>
      </c>
    </row>
    <row r="207" spans="1:2" x14ac:dyDescent="0.35">
      <c r="A207" t="s">
        <v>187</v>
      </c>
      <c r="B207" t="s">
        <v>691</v>
      </c>
    </row>
    <row r="208" spans="1:2" x14ac:dyDescent="0.35">
      <c r="A208" t="s">
        <v>188</v>
      </c>
      <c r="B208" t="s">
        <v>691</v>
      </c>
    </row>
    <row r="209" spans="1:2" x14ac:dyDescent="0.35">
      <c r="A209" t="s">
        <v>188</v>
      </c>
      <c r="B209" t="s">
        <v>691</v>
      </c>
    </row>
    <row r="210" spans="1:2" x14ac:dyDescent="0.35">
      <c r="A210" t="s">
        <v>188</v>
      </c>
      <c r="B210" t="s">
        <v>691</v>
      </c>
    </row>
    <row r="211" spans="1:2" x14ac:dyDescent="0.35">
      <c r="A211" t="s">
        <v>189</v>
      </c>
      <c r="B211" t="s">
        <v>691</v>
      </c>
    </row>
    <row r="212" spans="1:2" x14ac:dyDescent="0.35">
      <c r="A212" t="s">
        <v>190</v>
      </c>
      <c r="B212" t="s">
        <v>691</v>
      </c>
    </row>
    <row r="213" spans="1:2" x14ac:dyDescent="0.35">
      <c r="A213" t="s">
        <v>191</v>
      </c>
      <c r="B213" t="s">
        <v>691</v>
      </c>
    </row>
    <row r="214" spans="1:2" x14ac:dyDescent="0.35">
      <c r="A214" t="s">
        <v>192</v>
      </c>
      <c r="B214" t="s">
        <v>691</v>
      </c>
    </row>
    <row r="215" spans="1:2" x14ac:dyDescent="0.35">
      <c r="A215" t="s">
        <v>193</v>
      </c>
      <c r="B215" t="s">
        <v>691</v>
      </c>
    </row>
    <row r="216" spans="1:2" x14ac:dyDescent="0.35">
      <c r="A216" t="s">
        <v>194</v>
      </c>
      <c r="B216" t="s">
        <v>691</v>
      </c>
    </row>
    <row r="217" spans="1:2" x14ac:dyDescent="0.35">
      <c r="A217" t="s">
        <v>195</v>
      </c>
      <c r="B217" t="s">
        <v>691</v>
      </c>
    </row>
    <row r="218" spans="1:2" x14ac:dyDescent="0.35">
      <c r="A218" t="s">
        <v>196</v>
      </c>
      <c r="B218" t="s">
        <v>691</v>
      </c>
    </row>
    <row r="219" spans="1:2" x14ac:dyDescent="0.35">
      <c r="A219" t="s">
        <v>197</v>
      </c>
      <c r="B219" t="s">
        <v>691</v>
      </c>
    </row>
    <row r="220" spans="1:2" x14ac:dyDescent="0.35">
      <c r="A220" t="s">
        <v>198</v>
      </c>
      <c r="B220" t="s">
        <v>691</v>
      </c>
    </row>
    <row r="221" spans="1:2" x14ac:dyDescent="0.35">
      <c r="A221" t="s">
        <v>199</v>
      </c>
      <c r="B221" t="s">
        <v>691</v>
      </c>
    </row>
    <row r="222" spans="1:2" x14ac:dyDescent="0.35">
      <c r="A222" t="s">
        <v>200</v>
      </c>
      <c r="B222" t="s">
        <v>691</v>
      </c>
    </row>
    <row r="223" spans="1:2" x14ac:dyDescent="0.35">
      <c r="A223" t="s">
        <v>201</v>
      </c>
      <c r="B223" t="s">
        <v>691</v>
      </c>
    </row>
    <row r="224" spans="1:2" x14ac:dyDescent="0.35">
      <c r="A224" t="s">
        <v>202</v>
      </c>
      <c r="B224" t="s">
        <v>691</v>
      </c>
    </row>
    <row r="225" spans="1:2" x14ac:dyDescent="0.35">
      <c r="A225" t="s">
        <v>203</v>
      </c>
      <c r="B225" t="s">
        <v>691</v>
      </c>
    </row>
    <row r="226" spans="1:2" x14ac:dyDescent="0.35">
      <c r="A226" t="s">
        <v>204</v>
      </c>
      <c r="B226" t="s">
        <v>691</v>
      </c>
    </row>
    <row r="227" spans="1:2" x14ac:dyDescent="0.35">
      <c r="A227" t="s">
        <v>204</v>
      </c>
      <c r="B227" t="s">
        <v>691</v>
      </c>
    </row>
    <row r="228" spans="1:2" x14ac:dyDescent="0.35">
      <c r="A228" t="s">
        <v>204</v>
      </c>
      <c r="B228" t="s">
        <v>691</v>
      </c>
    </row>
    <row r="229" spans="1:2" x14ac:dyDescent="0.35">
      <c r="A229" t="s">
        <v>205</v>
      </c>
      <c r="B229" t="s">
        <v>691</v>
      </c>
    </row>
    <row r="230" spans="1:2" x14ac:dyDescent="0.35">
      <c r="A230" t="s">
        <v>595</v>
      </c>
      <c r="B230" t="s">
        <v>691</v>
      </c>
    </row>
    <row r="231" spans="1:2" x14ac:dyDescent="0.35">
      <c r="A231" t="s">
        <v>206</v>
      </c>
      <c r="B231" t="s">
        <v>691</v>
      </c>
    </row>
    <row r="232" spans="1:2" x14ac:dyDescent="0.35">
      <c r="A232" t="s">
        <v>207</v>
      </c>
      <c r="B232" t="s">
        <v>691</v>
      </c>
    </row>
    <row r="233" spans="1:2" x14ac:dyDescent="0.35">
      <c r="A233" t="s">
        <v>208</v>
      </c>
      <c r="B233" t="s">
        <v>691</v>
      </c>
    </row>
    <row r="234" spans="1:2" x14ac:dyDescent="0.35">
      <c r="A234" t="s">
        <v>209</v>
      </c>
      <c r="B234" t="s">
        <v>691</v>
      </c>
    </row>
    <row r="235" spans="1:2" x14ac:dyDescent="0.35">
      <c r="A235" t="s">
        <v>210</v>
      </c>
      <c r="B235" t="s">
        <v>691</v>
      </c>
    </row>
    <row r="236" spans="1:2" x14ac:dyDescent="0.35">
      <c r="A236" t="s">
        <v>210</v>
      </c>
      <c r="B236" t="s">
        <v>691</v>
      </c>
    </row>
    <row r="237" spans="1:2" x14ac:dyDescent="0.35">
      <c r="A237" t="s">
        <v>210</v>
      </c>
      <c r="B237" t="s">
        <v>691</v>
      </c>
    </row>
    <row r="238" spans="1:2" x14ac:dyDescent="0.35">
      <c r="A238" t="s">
        <v>211</v>
      </c>
      <c r="B238" t="s">
        <v>691</v>
      </c>
    </row>
    <row r="239" spans="1:2" x14ac:dyDescent="0.35">
      <c r="A239" t="s">
        <v>212</v>
      </c>
      <c r="B239" t="s">
        <v>691</v>
      </c>
    </row>
    <row r="240" spans="1:2" x14ac:dyDescent="0.35">
      <c r="A240" t="s">
        <v>213</v>
      </c>
      <c r="B240" t="s">
        <v>691</v>
      </c>
    </row>
    <row r="241" spans="1:2" x14ac:dyDescent="0.35">
      <c r="A241" t="s">
        <v>214</v>
      </c>
      <c r="B241" t="s">
        <v>691</v>
      </c>
    </row>
    <row r="242" spans="1:2" x14ac:dyDescent="0.35">
      <c r="A242" t="s">
        <v>596</v>
      </c>
      <c r="B242" t="s">
        <v>691</v>
      </c>
    </row>
    <row r="243" spans="1:2" x14ac:dyDescent="0.35">
      <c r="A243" t="s">
        <v>490</v>
      </c>
      <c r="B243" t="s">
        <v>691</v>
      </c>
    </row>
    <row r="244" spans="1:2" x14ac:dyDescent="0.35">
      <c r="A244" t="s">
        <v>597</v>
      </c>
      <c r="B244" t="s">
        <v>691</v>
      </c>
    </row>
    <row r="245" spans="1:2" x14ac:dyDescent="0.35">
      <c r="A245" t="s">
        <v>215</v>
      </c>
      <c r="B245" t="s">
        <v>691</v>
      </c>
    </row>
    <row r="246" spans="1:2" x14ac:dyDescent="0.35">
      <c r="A246" t="s">
        <v>216</v>
      </c>
      <c r="B246" t="s">
        <v>691</v>
      </c>
    </row>
    <row r="247" spans="1:2" x14ac:dyDescent="0.35">
      <c r="A247" t="s">
        <v>217</v>
      </c>
      <c r="B247" t="s">
        <v>691</v>
      </c>
    </row>
    <row r="248" spans="1:2" x14ac:dyDescent="0.35">
      <c r="A248" t="s">
        <v>217</v>
      </c>
      <c r="B248" t="s">
        <v>691</v>
      </c>
    </row>
    <row r="249" spans="1:2" x14ac:dyDescent="0.35">
      <c r="A249" t="s">
        <v>217</v>
      </c>
      <c r="B249" t="s">
        <v>691</v>
      </c>
    </row>
    <row r="250" spans="1:2" x14ac:dyDescent="0.35">
      <c r="A250" t="s">
        <v>218</v>
      </c>
      <c r="B250" t="s">
        <v>691</v>
      </c>
    </row>
    <row r="251" spans="1:2" x14ac:dyDescent="0.35">
      <c r="A251" t="s">
        <v>219</v>
      </c>
      <c r="B251" t="s">
        <v>691</v>
      </c>
    </row>
    <row r="252" spans="1:2" x14ac:dyDescent="0.35">
      <c r="A252" t="s">
        <v>220</v>
      </c>
      <c r="B252" t="s">
        <v>691</v>
      </c>
    </row>
    <row r="253" spans="1:2" x14ac:dyDescent="0.35">
      <c r="A253" t="s">
        <v>221</v>
      </c>
      <c r="B253" t="s">
        <v>691</v>
      </c>
    </row>
    <row r="254" spans="1:2" x14ac:dyDescent="0.35">
      <c r="A254" t="s">
        <v>222</v>
      </c>
      <c r="B254" t="s">
        <v>691</v>
      </c>
    </row>
    <row r="255" spans="1:2" x14ac:dyDescent="0.35">
      <c r="A255" t="s">
        <v>223</v>
      </c>
      <c r="B255" t="s">
        <v>691</v>
      </c>
    </row>
    <row r="256" spans="1:2" x14ac:dyDescent="0.35">
      <c r="A256" t="s">
        <v>224</v>
      </c>
      <c r="B256" t="s">
        <v>691</v>
      </c>
    </row>
    <row r="257" spans="1:2" x14ac:dyDescent="0.35">
      <c r="A257" t="s">
        <v>225</v>
      </c>
      <c r="B257" t="s">
        <v>691</v>
      </c>
    </row>
    <row r="258" spans="1:2" x14ac:dyDescent="0.35">
      <c r="A258" t="s">
        <v>226</v>
      </c>
      <c r="B258" t="s">
        <v>691</v>
      </c>
    </row>
    <row r="259" spans="1:2" x14ac:dyDescent="0.35">
      <c r="A259" t="s">
        <v>227</v>
      </c>
      <c r="B259" t="s">
        <v>691</v>
      </c>
    </row>
    <row r="260" spans="1:2" x14ac:dyDescent="0.35">
      <c r="A260" t="s">
        <v>228</v>
      </c>
      <c r="B260" t="s">
        <v>691</v>
      </c>
    </row>
    <row r="261" spans="1:2" x14ac:dyDescent="0.35">
      <c r="A261" t="s">
        <v>229</v>
      </c>
      <c r="B261" t="s">
        <v>691</v>
      </c>
    </row>
    <row r="262" spans="1:2" x14ac:dyDescent="0.35">
      <c r="A262" t="s">
        <v>229</v>
      </c>
      <c r="B262" t="s">
        <v>691</v>
      </c>
    </row>
    <row r="263" spans="1:2" x14ac:dyDescent="0.35">
      <c r="A263" t="s">
        <v>229</v>
      </c>
      <c r="B263" t="s">
        <v>691</v>
      </c>
    </row>
    <row r="264" spans="1:2" x14ac:dyDescent="0.35">
      <c r="A264" t="s">
        <v>230</v>
      </c>
      <c r="B264" t="s">
        <v>691</v>
      </c>
    </row>
    <row r="265" spans="1:2" x14ac:dyDescent="0.35">
      <c r="A265" t="s">
        <v>657</v>
      </c>
      <c r="B265" t="s">
        <v>691</v>
      </c>
    </row>
    <row r="266" spans="1:2" x14ac:dyDescent="0.35">
      <c r="A266" t="s">
        <v>657</v>
      </c>
      <c r="B266" t="s">
        <v>691</v>
      </c>
    </row>
    <row r="267" spans="1:2" x14ac:dyDescent="0.35">
      <c r="A267" t="s">
        <v>657</v>
      </c>
      <c r="B267" t="s">
        <v>691</v>
      </c>
    </row>
    <row r="268" spans="1:2" x14ac:dyDescent="0.35">
      <c r="A268" t="s">
        <v>658</v>
      </c>
      <c r="B268" t="s">
        <v>691</v>
      </c>
    </row>
    <row r="269" spans="1:2" x14ac:dyDescent="0.35">
      <c r="A269" t="s">
        <v>231</v>
      </c>
      <c r="B269" t="s">
        <v>691</v>
      </c>
    </row>
    <row r="270" spans="1:2" x14ac:dyDescent="0.35">
      <c r="A270" t="s">
        <v>232</v>
      </c>
      <c r="B270" t="s">
        <v>691</v>
      </c>
    </row>
    <row r="271" spans="1:2" x14ac:dyDescent="0.35">
      <c r="A271" t="s">
        <v>233</v>
      </c>
      <c r="B271" t="s">
        <v>691</v>
      </c>
    </row>
    <row r="272" spans="1:2" x14ac:dyDescent="0.35">
      <c r="A272" t="s">
        <v>234</v>
      </c>
      <c r="B272" t="s">
        <v>691</v>
      </c>
    </row>
    <row r="273" spans="1:2" x14ac:dyDescent="0.35">
      <c r="A273" t="s">
        <v>235</v>
      </c>
      <c r="B273" t="s">
        <v>691</v>
      </c>
    </row>
    <row r="274" spans="1:2" x14ac:dyDescent="0.35">
      <c r="A274" t="s">
        <v>236</v>
      </c>
      <c r="B274" t="s">
        <v>691</v>
      </c>
    </row>
    <row r="275" spans="1:2" x14ac:dyDescent="0.35">
      <c r="A275" t="s">
        <v>236</v>
      </c>
      <c r="B275" t="s">
        <v>691</v>
      </c>
    </row>
    <row r="276" spans="1:2" x14ac:dyDescent="0.35">
      <c r="A276" t="s">
        <v>236</v>
      </c>
      <c r="B276" t="s">
        <v>691</v>
      </c>
    </row>
    <row r="277" spans="1:2" x14ac:dyDescent="0.35">
      <c r="A277" t="s">
        <v>237</v>
      </c>
      <c r="B277" t="s">
        <v>691</v>
      </c>
    </row>
    <row r="278" spans="1:2" x14ac:dyDescent="0.35">
      <c r="A278" t="s">
        <v>238</v>
      </c>
      <c r="B278" t="s">
        <v>691</v>
      </c>
    </row>
    <row r="279" spans="1:2" x14ac:dyDescent="0.35">
      <c r="A279" t="s">
        <v>239</v>
      </c>
      <c r="B279" t="s">
        <v>691</v>
      </c>
    </row>
    <row r="280" spans="1:2" x14ac:dyDescent="0.35">
      <c r="A280" t="s">
        <v>240</v>
      </c>
      <c r="B280" t="s">
        <v>691</v>
      </c>
    </row>
    <row r="281" spans="1:2" x14ac:dyDescent="0.35">
      <c r="A281" t="s">
        <v>241</v>
      </c>
      <c r="B281" t="s">
        <v>691</v>
      </c>
    </row>
    <row r="282" spans="1:2" x14ac:dyDescent="0.35">
      <c r="A282" t="s">
        <v>242</v>
      </c>
      <c r="B282" t="s">
        <v>691</v>
      </c>
    </row>
    <row r="283" spans="1:2" x14ac:dyDescent="0.35">
      <c r="A283" t="s">
        <v>243</v>
      </c>
      <c r="B283" t="s">
        <v>691</v>
      </c>
    </row>
    <row r="284" spans="1:2" x14ac:dyDescent="0.35">
      <c r="A284" t="s">
        <v>244</v>
      </c>
      <c r="B284" t="s">
        <v>691</v>
      </c>
    </row>
    <row r="285" spans="1:2" x14ac:dyDescent="0.35">
      <c r="A285" t="s">
        <v>245</v>
      </c>
      <c r="B285" t="s">
        <v>691</v>
      </c>
    </row>
    <row r="286" spans="1:2" x14ac:dyDescent="0.35">
      <c r="A286" t="s">
        <v>246</v>
      </c>
      <c r="B286" t="s">
        <v>691</v>
      </c>
    </row>
    <row r="287" spans="1:2" x14ac:dyDescent="0.35">
      <c r="A287" t="s">
        <v>247</v>
      </c>
      <c r="B287" t="s">
        <v>691</v>
      </c>
    </row>
    <row r="288" spans="1:2" x14ac:dyDescent="0.35">
      <c r="A288" t="s">
        <v>474</v>
      </c>
      <c r="B288" t="s">
        <v>691</v>
      </c>
    </row>
    <row r="289" spans="1:2" x14ac:dyDescent="0.35">
      <c r="A289" t="s">
        <v>248</v>
      </c>
      <c r="B289" t="s">
        <v>691</v>
      </c>
    </row>
    <row r="290" spans="1:2" x14ac:dyDescent="0.35">
      <c r="A290" t="s">
        <v>249</v>
      </c>
      <c r="B290" t="s">
        <v>691</v>
      </c>
    </row>
    <row r="291" spans="1:2" x14ac:dyDescent="0.35">
      <c r="A291" t="s">
        <v>250</v>
      </c>
      <c r="B291" t="s">
        <v>691</v>
      </c>
    </row>
    <row r="292" spans="1:2" x14ac:dyDescent="0.35">
      <c r="A292" t="s">
        <v>251</v>
      </c>
      <c r="B292" t="s">
        <v>691</v>
      </c>
    </row>
    <row r="293" spans="1:2" x14ac:dyDescent="0.35">
      <c r="A293" t="s">
        <v>475</v>
      </c>
      <c r="B293" t="s">
        <v>691</v>
      </c>
    </row>
    <row r="294" spans="1:2" x14ac:dyDescent="0.35">
      <c r="A294" t="s">
        <v>659</v>
      </c>
      <c r="B294" t="s">
        <v>691</v>
      </c>
    </row>
    <row r="295" spans="1:2" x14ac:dyDescent="0.35">
      <c r="A295" t="s">
        <v>252</v>
      </c>
      <c r="B295" t="s">
        <v>691</v>
      </c>
    </row>
    <row r="296" spans="1:2" x14ac:dyDescent="0.35">
      <c r="A296" t="s">
        <v>253</v>
      </c>
      <c r="B296" t="s">
        <v>691</v>
      </c>
    </row>
    <row r="297" spans="1:2" x14ac:dyDescent="0.35">
      <c r="A297" t="s">
        <v>254</v>
      </c>
      <c r="B297" t="s">
        <v>691</v>
      </c>
    </row>
    <row r="298" spans="1:2" x14ac:dyDescent="0.35">
      <c r="A298" t="s">
        <v>255</v>
      </c>
      <c r="B298" t="s">
        <v>691</v>
      </c>
    </row>
    <row r="299" spans="1:2" x14ac:dyDescent="0.35">
      <c r="A299" t="s">
        <v>256</v>
      </c>
      <c r="B299" t="s">
        <v>691</v>
      </c>
    </row>
    <row r="300" spans="1:2" x14ac:dyDescent="0.35">
      <c r="A300" t="s">
        <v>257</v>
      </c>
      <c r="B300" t="s">
        <v>691</v>
      </c>
    </row>
    <row r="301" spans="1:2" x14ac:dyDescent="0.35">
      <c r="A301" t="s">
        <v>258</v>
      </c>
      <c r="B301" t="s">
        <v>691</v>
      </c>
    </row>
    <row r="302" spans="1:2" x14ac:dyDescent="0.35">
      <c r="A302" t="s">
        <v>476</v>
      </c>
      <c r="B302" t="s">
        <v>691</v>
      </c>
    </row>
    <row r="303" spans="1:2" x14ac:dyDescent="0.35">
      <c r="A303" t="s">
        <v>259</v>
      </c>
      <c r="B303" t="s">
        <v>691</v>
      </c>
    </row>
    <row r="304" spans="1:2" x14ac:dyDescent="0.35">
      <c r="A304" t="s">
        <v>260</v>
      </c>
      <c r="B304" t="s">
        <v>691</v>
      </c>
    </row>
    <row r="305" spans="1:2" x14ac:dyDescent="0.35">
      <c r="A305" t="s">
        <v>260</v>
      </c>
      <c r="B305" t="s">
        <v>691</v>
      </c>
    </row>
    <row r="306" spans="1:2" x14ac:dyDescent="0.35">
      <c r="A306" t="s">
        <v>260</v>
      </c>
      <c r="B306" t="s">
        <v>691</v>
      </c>
    </row>
    <row r="307" spans="1:2" x14ac:dyDescent="0.35">
      <c r="A307" t="s">
        <v>261</v>
      </c>
      <c r="B307" t="s">
        <v>691</v>
      </c>
    </row>
    <row r="308" spans="1:2" x14ac:dyDescent="0.35">
      <c r="A308" t="s">
        <v>262</v>
      </c>
      <c r="B308" t="s">
        <v>691</v>
      </c>
    </row>
    <row r="309" spans="1:2" x14ac:dyDescent="0.35">
      <c r="A309" t="s">
        <v>598</v>
      </c>
      <c r="B309" t="s">
        <v>691</v>
      </c>
    </row>
    <row r="310" spans="1:2" x14ac:dyDescent="0.35">
      <c r="A310" t="s">
        <v>263</v>
      </c>
      <c r="B310" t="s">
        <v>691</v>
      </c>
    </row>
    <row r="311" spans="1:2" x14ac:dyDescent="0.35">
      <c r="A311" t="s">
        <v>264</v>
      </c>
      <c r="B311" t="s">
        <v>691</v>
      </c>
    </row>
    <row r="312" spans="1:2" x14ac:dyDescent="0.35">
      <c r="A312" t="s">
        <v>265</v>
      </c>
      <c r="B312" t="s">
        <v>691</v>
      </c>
    </row>
    <row r="313" spans="1:2" x14ac:dyDescent="0.35">
      <c r="A313" t="s">
        <v>266</v>
      </c>
      <c r="B313" t="s">
        <v>691</v>
      </c>
    </row>
    <row r="314" spans="1:2" x14ac:dyDescent="0.35">
      <c r="A314" t="s">
        <v>267</v>
      </c>
      <c r="B314" t="s">
        <v>691</v>
      </c>
    </row>
    <row r="315" spans="1:2" x14ac:dyDescent="0.35">
      <c r="A315" t="s">
        <v>268</v>
      </c>
      <c r="B315" t="s">
        <v>691</v>
      </c>
    </row>
    <row r="316" spans="1:2" x14ac:dyDescent="0.35">
      <c r="A316" t="s">
        <v>268</v>
      </c>
      <c r="B316" t="s">
        <v>691</v>
      </c>
    </row>
    <row r="317" spans="1:2" x14ac:dyDescent="0.35">
      <c r="A317" t="s">
        <v>268</v>
      </c>
      <c r="B317" t="s">
        <v>691</v>
      </c>
    </row>
    <row r="318" spans="1:2" x14ac:dyDescent="0.35">
      <c r="A318" t="s">
        <v>269</v>
      </c>
      <c r="B318" t="s">
        <v>691</v>
      </c>
    </row>
    <row r="319" spans="1:2" x14ac:dyDescent="0.35">
      <c r="A319" t="s">
        <v>270</v>
      </c>
      <c r="B319" t="s">
        <v>691</v>
      </c>
    </row>
    <row r="320" spans="1:2" x14ac:dyDescent="0.35">
      <c r="A320" t="s">
        <v>599</v>
      </c>
      <c r="B320" t="s">
        <v>691</v>
      </c>
    </row>
    <row r="321" spans="1:2" x14ac:dyDescent="0.35">
      <c r="A321" t="s">
        <v>660</v>
      </c>
      <c r="B321" t="s">
        <v>691</v>
      </c>
    </row>
    <row r="322" spans="1:2" x14ac:dyDescent="0.35">
      <c r="A322" t="s">
        <v>271</v>
      </c>
      <c r="B322" t="s">
        <v>691</v>
      </c>
    </row>
    <row r="323" spans="1:2" x14ac:dyDescent="0.35">
      <c r="A323" t="s">
        <v>272</v>
      </c>
      <c r="B323" t="s">
        <v>691</v>
      </c>
    </row>
    <row r="324" spans="1:2" x14ac:dyDescent="0.35">
      <c r="A324" t="s">
        <v>273</v>
      </c>
      <c r="B324" t="s">
        <v>691</v>
      </c>
    </row>
    <row r="325" spans="1:2" x14ac:dyDescent="0.35">
      <c r="A325" t="s">
        <v>274</v>
      </c>
      <c r="B325" t="s">
        <v>691</v>
      </c>
    </row>
    <row r="326" spans="1:2" x14ac:dyDescent="0.35">
      <c r="A326" t="s">
        <v>275</v>
      </c>
      <c r="B326" t="s">
        <v>691</v>
      </c>
    </row>
    <row r="327" spans="1:2" x14ac:dyDescent="0.35">
      <c r="A327" t="s">
        <v>276</v>
      </c>
      <c r="B327" t="s">
        <v>691</v>
      </c>
    </row>
    <row r="328" spans="1:2" x14ac:dyDescent="0.35">
      <c r="A328" t="s">
        <v>277</v>
      </c>
      <c r="B328" t="s">
        <v>691</v>
      </c>
    </row>
    <row r="329" spans="1:2" x14ac:dyDescent="0.35">
      <c r="A329" t="s">
        <v>278</v>
      </c>
      <c r="B329" t="s">
        <v>691</v>
      </c>
    </row>
    <row r="330" spans="1:2" x14ac:dyDescent="0.35">
      <c r="A330" t="s">
        <v>279</v>
      </c>
      <c r="B330" t="s">
        <v>691</v>
      </c>
    </row>
    <row r="331" spans="1:2" x14ac:dyDescent="0.35">
      <c r="A331" t="s">
        <v>600</v>
      </c>
      <c r="B331" t="s">
        <v>691</v>
      </c>
    </row>
    <row r="332" spans="1:2" x14ac:dyDescent="0.35">
      <c r="A332" t="s">
        <v>280</v>
      </c>
      <c r="B332" t="s">
        <v>691</v>
      </c>
    </row>
    <row r="333" spans="1:2" x14ac:dyDescent="0.35">
      <c r="A333" t="s">
        <v>280</v>
      </c>
      <c r="B333" t="s">
        <v>691</v>
      </c>
    </row>
    <row r="334" spans="1:2" x14ac:dyDescent="0.35">
      <c r="A334" t="s">
        <v>280</v>
      </c>
      <c r="B334" t="s">
        <v>691</v>
      </c>
    </row>
    <row r="335" spans="1:2" x14ac:dyDescent="0.35">
      <c r="A335" t="s">
        <v>281</v>
      </c>
      <c r="B335" t="s">
        <v>691</v>
      </c>
    </row>
    <row r="336" spans="1:2" x14ac:dyDescent="0.35">
      <c r="A336" t="s">
        <v>282</v>
      </c>
      <c r="B336" t="s">
        <v>691</v>
      </c>
    </row>
    <row r="337" spans="1:2" x14ac:dyDescent="0.35">
      <c r="A337" t="s">
        <v>283</v>
      </c>
      <c r="B337" t="s">
        <v>691</v>
      </c>
    </row>
    <row r="338" spans="1:2" x14ac:dyDescent="0.35">
      <c r="A338" t="s">
        <v>283</v>
      </c>
      <c r="B338" t="s">
        <v>691</v>
      </c>
    </row>
    <row r="339" spans="1:2" x14ac:dyDescent="0.35">
      <c r="A339" t="s">
        <v>283</v>
      </c>
      <c r="B339" t="s">
        <v>691</v>
      </c>
    </row>
    <row r="340" spans="1:2" x14ac:dyDescent="0.35">
      <c r="A340" t="s">
        <v>284</v>
      </c>
      <c r="B340" t="s">
        <v>691</v>
      </c>
    </row>
    <row r="341" spans="1:2" x14ac:dyDescent="0.35">
      <c r="A341" t="s">
        <v>285</v>
      </c>
      <c r="B341" t="s">
        <v>691</v>
      </c>
    </row>
    <row r="342" spans="1:2" x14ac:dyDescent="0.35">
      <c r="A342" t="s">
        <v>286</v>
      </c>
      <c r="B342" t="s">
        <v>691</v>
      </c>
    </row>
    <row r="343" spans="1:2" x14ac:dyDescent="0.35">
      <c r="A343" t="s">
        <v>287</v>
      </c>
      <c r="B343" t="s">
        <v>691</v>
      </c>
    </row>
    <row r="344" spans="1:2" x14ac:dyDescent="0.35">
      <c r="A344" t="s">
        <v>288</v>
      </c>
      <c r="B344" t="s">
        <v>691</v>
      </c>
    </row>
    <row r="345" spans="1:2" x14ac:dyDescent="0.35">
      <c r="A345" t="s">
        <v>289</v>
      </c>
      <c r="B345" t="s">
        <v>691</v>
      </c>
    </row>
    <row r="346" spans="1:2" x14ac:dyDescent="0.35">
      <c r="A346" t="s">
        <v>290</v>
      </c>
      <c r="B346" t="s">
        <v>691</v>
      </c>
    </row>
    <row r="347" spans="1:2" x14ac:dyDescent="0.35">
      <c r="A347" t="s">
        <v>661</v>
      </c>
      <c r="B347" t="s">
        <v>691</v>
      </c>
    </row>
    <row r="348" spans="1:2" x14ac:dyDescent="0.35">
      <c r="A348" t="s">
        <v>291</v>
      </c>
      <c r="B348" t="s">
        <v>691</v>
      </c>
    </row>
    <row r="349" spans="1:2" x14ac:dyDescent="0.35">
      <c r="A349" t="s">
        <v>292</v>
      </c>
      <c r="B349" t="s">
        <v>691</v>
      </c>
    </row>
    <row r="350" spans="1:2" x14ac:dyDescent="0.35">
      <c r="A350" t="s">
        <v>293</v>
      </c>
      <c r="B350" t="s">
        <v>691</v>
      </c>
    </row>
    <row r="351" spans="1:2" x14ac:dyDescent="0.35">
      <c r="A351" t="s">
        <v>473</v>
      </c>
      <c r="B351" t="s">
        <v>691</v>
      </c>
    </row>
    <row r="352" spans="1:2" x14ac:dyDescent="0.35">
      <c r="A352" t="s">
        <v>294</v>
      </c>
      <c r="B352" t="s">
        <v>691</v>
      </c>
    </row>
    <row r="353" spans="1:2" x14ac:dyDescent="0.35">
      <c r="A353" t="s">
        <v>295</v>
      </c>
      <c r="B353" t="s">
        <v>691</v>
      </c>
    </row>
    <row r="354" spans="1:2" x14ac:dyDescent="0.35">
      <c r="A354" t="s">
        <v>296</v>
      </c>
      <c r="B354" t="s">
        <v>691</v>
      </c>
    </row>
    <row r="355" spans="1:2" x14ac:dyDescent="0.35">
      <c r="A355" t="s">
        <v>297</v>
      </c>
      <c r="B355" t="s">
        <v>691</v>
      </c>
    </row>
    <row r="356" spans="1:2" x14ac:dyDescent="0.35">
      <c r="A356" t="s">
        <v>298</v>
      </c>
      <c r="B356" t="s">
        <v>691</v>
      </c>
    </row>
    <row r="357" spans="1:2" x14ac:dyDescent="0.35">
      <c r="A357" t="s">
        <v>299</v>
      </c>
      <c r="B357" t="s">
        <v>691</v>
      </c>
    </row>
    <row r="358" spans="1:2" x14ac:dyDescent="0.35">
      <c r="A358" t="s">
        <v>299</v>
      </c>
      <c r="B358" t="s">
        <v>691</v>
      </c>
    </row>
    <row r="359" spans="1:2" x14ac:dyDescent="0.35">
      <c r="A359" t="s">
        <v>299</v>
      </c>
      <c r="B359" t="s">
        <v>691</v>
      </c>
    </row>
    <row r="360" spans="1:2" x14ac:dyDescent="0.35">
      <c r="A360" t="s">
        <v>300</v>
      </c>
      <c r="B360" t="s">
        <v>691</v>
      </c>
    </row>
    <row r="361" spans="1:2" x14ac:dyDescent="0.35">
      <c r="A361" t="s">
        <v>301</v>
      </c>
      <c r="B361" t="s">
        <v>691</v>
      </c>
    </row>
    <row r="362" spans="1:2" x14ac:dyDescent="0.35">
      <c r="A362" t="s">
        <v>302</v>
      </c>
      <c r="B362" t="s">
        <v>691</v>
      </c>
    </row>
    <row r="363" spans="1:2" x14ac:dyDescent="0.35">
      <c r="A363" t="s">
        <v>303</v>
      </c>
      <c r="B363" t="s">
        <v>691</v>
      </c>
    </row>
    <row r="364" spans="1:2" x14ac:dyDescent="0.35">
      <c r="A364" t="s">
        <v>304</v>
      </c>
      <c r="B364" t="s">
        <v>691</v>
      </c>
    </row>
    <row r="365" spans="1:2" x14ac:dyDescent="0.35">
      <c r="A365" t="s">
        <v>305</v>
      </c>
      <c r="B365" t="s">
        <v>691</v>
      </c>
    </row>
    <row r="366" spans="1:2" x14ac:dyDescent="0.35">
      <c r="A366" t="s">
        <v>306</v>
      </c>
      <c r="B366" t="s">
        <v>691</v>
      </c>
    </row>
    <row r="367" spans="1:2" x14ac:dyDescent="0.35">
      <c r="A367" t="s">
        <v>307</v>
      </c>
      <c r="B367" t="s">
        <v>691</v>
      </c>
    </row>
    <row r="368" spans="1:2" x14ac:dyDescent="0.35">
      <c r="A368" t="s">
        <v>308</v>
      </c>
      <c r="B368" t="s">
        <v>691</v>
      </c>
    </row>
    <row r="369" spans="1:2" x14ac:dyDescent="0.35">
      <c r="A369" t="s">
        <v>309</v>
      </c>
      <c r="B369" t="s">
        <v>691</v>
      </c>
    </row>
    <row r="370" spans="1:2" x14ac:dyDescent="0.35">
      <c r="A370" t="s">
        <v>662</v>
      </c>
      <c r="B370" t="s">
        <v>691</v>
      </c>
    </row>
    <row r="371" spans="1:2" x14ac:dyDescent="0.35">
      <c r="A371" t="s">
        <v>310</v>
      </c>
      <c r="B371" t="s">
        <v>691</v>
      </c>
    </row>
    <row r="372" spans="1:2" x14ac:dyDescent="0.35">
      <c r="A372" t="s">
        <v>601</v>
      </c>
      <c r="B372" t="s">
        <v>691</v>
      </c>
    </row>
    <row r="373" spans="1:2" x14ac:dyDescent="0.35">
      <c r="A373" t="s">
        <v>602</v>
      </c>
      <c r="B373" t="s">
        <v>691</v>
      </c>
    </row>
    <row r="374" spans="1:2" x14ac:dyDescent="0.35">
      <c r="A374" t="s">
        <v>603</v>
      </c>
      <c r="B374" t="s">
        <v>691</v>
      </c>
    </row>
    <row r="375" spans="1:2" x14ac:dyDescent="0.35">
      <c r="A375" t="s">
        <v>311</v>
      </c>
      <c r="B375" t="s">
        <v>691</v>
      </c>
    </row>
    <row r="376" spans="1:2" x14ac:dyDescent="0.35">
      <c r="A376" t="s">
        <v>312</v>
      </c>
      <c r="B376" t="s">
        <v>691</v>
      </c>
    </row>
    <row r="377" spans="1:2" x14ac:dyDescent="0.35">
      <c r="A377" t="s">
        <v>313</v>
      </c>
      <c r="B377" t="s">
        <v>691</v>
      </c>
    </row>
    <row r="378" spans="1:2" x14ac:dyDescent="0.35">
      <c r="A378" t="s">
        <v>663</v>
      </c>
      <c r="B378" t="s">
        <v>691</v>
      </c>
    </row>
    <row r="379" spans="1:2" x14ac:dyDescent="0.35">
      <c r="A379" t="s">
        <v>314</v>
      </c>
      <c r="B379" t="s">
        <v>691</v>
      </c>
    </row>
    <row r="380" spans="1:2" x14ac:dyDescent="0.35">
      <c r="A380" t="s">
        <v>315</v>
      </c>
      <c r="B380" t="s">
        <v>691</v>
      </c>
    </row>
    <row r="381" spans="1:2" x14ac:dyDescent="0.35">
      <c r="A381" t="s">
        <v>316</v>
      </c>
      <c r="B381" t="s">
        <v>691</v>
      </c>
    </row>
    <row r="382" spans="1:2" x14ac:dyDescent="0.35">
      <c r="A382" t="s">
        <v>478</v>
      </c>
      <c r="B382" t="s">
        <v>691</v>
      </c>
    </row>
    <row r="383" spans="1:2" x14ac:dyDescent="0.35">
      <c r="A383" t="s">
        <v>317</v>
      </c>
      <c r="B383" t="s">
        <v>691</v>
      </c>
    </row>
    <row r="384" spans="1:2" x14ac:dyDescent="0.35">
      <c r="A384" t="s">
        <v>318</v>
      </c>
      <c r="B384" t="s">
        <v>691</v>
      </c>
    </row>
    <row r="385" spans="1:2" x14ac:dyDescent="0.35">
      <c r="A385" t="s">
        <v>319</v>
      </c>
      <c r="B385" t="s">
        <v>691</v>
      </c>
    </row>
    <row r="386" spans="1:2" x14ac:dyDescent="0.35">
      <c r="A386" t="s">
        <v>320</v>
      </c>
      <c r="B386" t="s">
        <v>691</v>
      </c>
    </row>
    <row r="387" spans="1:2" x14ac:dyDescent="0.35">
      <c r="A387" t="s">
        <v>321</v>
      </c>
      <c r="B387" t="s">
        <v>691</v>
      </c>
    </row>
    <row r="388" spans="1:2" x14ac:dyDescent="0.35">
      <c r="A388" t="s">
        <v>664</v>
      </c>
      <c r="B388" t="s">
        <v>691</v>
      </c>
    </row>
    <row r="389" spans="1:2" x14ac:dyDescent="0.35">
      <c r="A389" t="s">
        <v>322</v>
      </c>
      <c r="B389" t="s">
        <v>691</v>
      </c>
    </row>
    <row r="390" spans="1:2" x14ac:dyDescent="0.35">
      <c r="A390" t="s">
        <v>323</v>
      </c>
      <c r="B390" t="s">
        <v>691</v>
      </c>
    </row>
    <row r="391" spans="1:2" x14ac:dyDescent="0.35">
      <c r="A391" t="s">
        <v>324</v>
      </c>
      <c r="B391" t="s">
        <v>691</v>
      </c>
    </row>
    <row r="392" spans="1:2" x14ac:dyDescent="0.35">
      <c r="A392" t="s">
        <v>325</v>
      </c>
      <c r="B392" t="s">
        <v>691</v>
      </c>
    </row>
    <row r="393" spans="1:2" x14ac:dyDescent="0.35">
      <c r="A393" t="s">
        <v>326</v>
      </c>
      <c r="B393" t="s">
        <v>691</v>
      </c>
    </row>
    <row r="394" spans="1:2" x14ac:dyDescent="0.35">
      <c r="A394" t="s">
        <v>327</v>
      </c>
      <c r="B394" t="s">
        <v>691</v>
      </c>
    </row>
    <row r="395" spans="1:2" x14ac:dyDescent="0.35">
      <c r="A395" t="s">
        <v>328</v>
      </c>
      <c r="B395" t="s">
        <v>691</v>
      </c>
    </row>
    <row r="396" spans="1:2" x14ac:dyDescent="0.35">
      <c r="A396" t="s">
        <v>329</v>
      </c>
      <c r="B396" t="s">
        <v>691</v>
      </c>
    </row>
    <row r="397" spans="1:2" x14ac:dyDescent="0.35">
      <c r="A397" t="s">
        <v>604</v>
      </c>
      <c r="B397" t="s">
        <v>691</v>
      </c>
    </row>
    <row r="398" spans="1:2" x14ac:dyDescent="0.35">
      <c r="A398" t="s">
        <v>604</v>
      </c>
      <c r="B398" t="s">
        <v>691</v>
      </c>
    </row>
    <row r="399" spans="1:2" x14ac:dyDescent="0.35">
      <c r="A399" t="s">
        <v>604</v>
      </c>
      <c r="B399" t="s">
        <v>691</v>
      </c>
    </row>
    <row r="400" spans="1:2" x14ac:dyDescent="0.35">
      <c r="A400" t="s">
        <v>604</v>
      </c>
      <c r="B400" t="s">
        <v>691</v>
      </c>
    </row>
    <row r="401" spans="1:2" x14ac:dyDescent="0.35">
      <c r="A401" t="s">
        <v>665</v>
      </c>
      <c r="B401" t="s">
        <v>691</v>
      </c>
    </row>
    <row r="402" spans="1:2" x14ac:dyDescent="0.35">
      <c r="A402" t="s">
        <v>330</v>
      </c>
      <c r="B402" t="s">
        <v>691</v>
      </c>
    </row>
    <row r="403" spans="1:2" x14ac:dyDescent="0.35">
      <c r="A403" t="s">
        <v>331</v>
      </c>
      <c r="B403" t="s">
        <v>691</v>
      </c>
    </row>
    <row r="404" spans="1:2" x14ac:dyDescent="0.35">
      <c r="A404" t="s">
        <v>332</v>
      </c>
      <c r="B404" t="s">
        <v>691</v>
      </c>
    </row>
    <row r="405" spans="1:2" x14ac:dyDescent="0.35">
      <c r="A405" t="s">
        <v>605</v>
      </c>
      <c r="B405" t="s">
        <v>691</v>
      </c>
    </row>
    <row r="406" spans="1:2" x14ac:dyDescent="0.35">
      <c r="A406" t="s">
        <v>606</v>
      </c>
      <c r="B406" t="s">
        <v>691</v>
      </c>
    </row>
    <row r="407" spans="1:2" x14ac:dyDescent="0.35">
      <c r="A407" t="s">
        <v>333</v>
      </c>
      <c r="B407" t="s">
        <v>691</v>
      </c>
    </row>
    <row r="408" spans="1:2" x14ac:dyDescent="0.35">
      <c r="A408" t="s">
        <v>334</v>
      </c>
      <c r="B408" t="s">
        <v>691</v>
      </c>
    </row>
    <row r="409" spans="1:2" x14ac:dyDescent="0.35">
      <c r="A409" t="s">
        <v>335</v>
      </c>
      <c r="B409" t="s">
        <v>691</v>
      </c>
    </row>
    <row r="410" spans="1:2" x14ac:dyDescent="0.35">
      <c r="A410" t="s">
        <v>336</v>
      </c>
      <c r="B410" t="s">
        <v>691</v>
      </c>
    </row>
    <row r="411" spans="1:2" x14ac:dyDescent="0.35">
      <c r="A411" t="s">
        <v>337</v>
      </c>
      <c r="B411" t="s">
        <v>691</v>
      </c>
    </row>
    <row r="412" spans="1:2" x14ac:dyDescent="0.35">
      <c r="A412" t="s">
        <v>607</v>
      </c>
      <c r="B412" t="s">
        <v>691</v>
      </c>
    </row>
    <row r="413" spans="1:2" x14ac:dyDescent="0.35">
      <c r="A413" t="s">
        <v>338</v>
      </c>
      <c r="B413" t="s">
        <v>691</v>
      </c>
    </row>
    <row r="414" spans="1:2" x14ac:dyDescent="0.35">
      <c r="A414" t="s">
        <v>339</v>
      </c>
      <c r="B414" t="s">
        <v>691</v>
      </c>
    </row>
    <row r="415" spans="1:2" x14ac:dyDescent="0.35">
      <c r="A415" t="s">
        <v>340</v>
      </c>
      <c r="B415" t="s">
        <v>691</v>
      </c>
    </row>
    <row r="416" spans="1:2" x14ac:dyDescent="0.35">
      <c r="A416" t="s">
        <v>341</v>
      </c>
      <c r="B416" t="s">
        <v>691</v>
      </c>
    </row>
    <row r="417" spans="1:2" x14ac:dyDescent="0.35">
      <c r="A417" t="s">
        <v>342</v>
      </c>
      <c r="B417" t="s">
        <v>691</v>
      </c>
    </row>
    <row r="418" spans="1:2" x14ac:dyDescent="0.35">
      <c r="A418" t="s">
        <v>343</v>
      </c>
      <c r="B418" t="s">
        <v>691</v>
      </c>
    </row>
    <row r="419" spans="1:2" x14ac:dyDescent="0.35">
      <c r="A419" t="s">
        <v>344</v>
      </c>
      <c r="B419" t="s">
        <v>691</v>
      </c>
    </row>
    <row r="420" spans="1:2" x14ac:dyDescent="0.35">
      <c r="A420" t="s">
        <v>344</v>
      </c>
      <c r="B420" t="s">
        <v>691</v>
      </c>
    </row>
    <row r="421" spans="1:2" x14ac:dyDescent="0.35">
      <c r="A421" t="s">
        <v>344</v>
      </c>
      <c r="B421" t="s">
        <v>691</v>
      </c>
    </row>
    <row r="422" spans="1:2" x14ac:dyDescent="0.35">
      <c r="A422" t="s">
        <v>345</v>
      </c>
      <c r="B422" t="s">
        <v>691</v>
      </c>
    </row>
    <row r="423" spans="1:2" x14ac:dyDescent="0.35">
      <c r="A423" t="s">
        <v>345</v>
      </c>
      <c r="B423" t="s">
        <v>691</v>
      </c>
    </row>
    <row r="424" spans="1:2" x14ac:dyDescent="0.35">
      <c r="A424" t="s">
        <v>345</v>
      </c>
      <c r="B424" t="s">
        <v>691</v>
      </c>
    </row>
    <row r="425" spans="1:2" x14ac:dyDescent="0.35">
      <c r="A425" t="s">
        <v>346</v>
      </c>
      <c r="B425" t="s">
        <v>691</v>
      </c>
    </row>
    <row r="426" spans="1:2" x14ac:dyDescent="0.35">
      <c r="A426" t="s">
        <v>347</v>
      </c>
      <c r="B426" t="s">
        <v>691</v>
      </c>
    </row>
    <row r="427" spans="1:2" x14ac:dyDescent="0.35">
      <c r="A427" t="s">
        <v>348</v>
      </c>
      <c r="B427" t="s">
        <v>691</v>
      </c>
    </row>
    <row r="428" spans="1:2" x14ac:dyDescent="0.35">
      <c r="A428" t="s">
        <v>491</v>
      </c>
      <c r="B428" t="s">
        <v>691</v>
      </c>
    </row>
    <row r="429" spans="1:2" x14ac:dyDescent="0.35">
      <c r="A429" t="s">
        <v>349</v>
      </c>
      <c r="B429" t="s">
        <v>691</v>
      </c>
    </row>
    <row r="430" spans="1:2" x14ac:dyDescent="0.35">
      <c r="A430" t="s">
        <v>350</v>
      </c>
      <c r="B430" t="s">
        <v>691</v>
      </c>
    </row>
    <row r="431" spans="1:2" x14ac:dyDescent="0.35">
      <c r="A431" t="s">
        <v>666</v>
      </c>
      <c r="B431" t="s">
        <v>691</v>
      </c>
    </row>
    <row r="432" spans="1:2" x14ac:dyDescent="0.35">
      <c r="A432" t="s">
        <v>351</v>
      </c>
      <c r="B432" t="s">
        <v>691</v>
      </c>
    </row>
    <row r="433" spans="1:2" x14ac:dyDescent="0.35">
      <c r="A433" t="s">
        <v>608</v>
      </c>
      <c r="B433" t="s">
        <v>691</v>
      </c>
    </row>
    <row r="434" spans="1:2" x14ac:dyDescent="0.35">
      <c r="A434" t="s">
        <v>352</v>
      </c>
      <c r="B434" t="s">
        <v>691</v>
      </c>
    </row>
    <row r="435" spans="1:2" x14ac:dyDescent="0.35">
      <c r="A435" t="s">
        <v>353</v>
      </c>
      <c r="B435" t="s">
        <v>691</v>
      </c>
    </row>
    <row r="436" spans="1:2" x14ac:dyDescent="0.35">
      <c r="A436" t="s">
        <v>354</v>
      </c>
      <c r="B436" t="s">
        <v>691</v>
      </c>
    </row>
    <row r="437" spans="1:2" x14ac:dyDescent="0.35">
      <c r="A437" t="s">
        <v>354</v>
      </c>
      <c r="B437" t="s">
        <v>691</v>
      </c>
    </row>
    <row r="438" spans="1:2" x14ac:dyDescent="0.35">
      <c r="A438" t="s">
        <v>354</v>
      </c>
      <c r="B438" t="s">
        <v>691</v>
      </c>
    </row>
    <row r="439" spans="1:2" x14ac:dyDescent="0.35">
      <c r="A439" t="s">
        <v>609</v>
      </c>
      <c r="B439" t="s">
        <v>691</v>
      </c>
    </row>
    <row r="440" spans="1:2" x14ac:dyDescent="0.35">
      <c r="A440" t="s">
        <v>610</v>
      </c>
      <c r="B440" t="s">
        <v>691</v>
      </c>
    </row>
    <row r="441" spans="1:2" x14ac:dyDescent="0.35">
      <c r="A441" t="s">
        <v>355</v>
      </c>
      <c r="B441" t="s">
        <v>691</v>
      </c>
    </row>
    <row r="442" spans="1:2" x14ac:dyDescent="0.35">
      <c r="A442" t="s">
        <v>356</v>
      </c>
      <c r="B442" t="s">
        <v>691</v>
      </c>
    </row>
    <row r="443" spans="1:2" x14ac:dyDescent="0.35">
      <c r="A443" t="s">
        <v>611</v>
      </c>
      <c r="B443" t="s">
        <v>691</v>
      </c>
    </row>
    <row r="444" spans="1:2" x14ac:dyDescent="0.35">
      <c r="A444" t="s">
        <v>611</v>
      </c>
      <c r="B444" t="s">
        <v>691</v>
      </c>
    </row>
    <row r="445" spans="1:2" x14ac:dyDescent="0.35">
      <c r="A445" t="s">
        <v>611</v>
      </c>
      <c r="B445" t="s">
        <v>691</v>
      </c>
    </row>
    <row r="446" spans="1:2" x14ac:dyDescent="0.35">
      <c r="A446" t="s">
        <v>357</v>
      </c>
      <c r="B446" t="s">
        <v>691</v>
      </c>
    </row>
    <row r="447" spans="1:2" x14ac:dyDescent="0.35">
      <c r="A447" t="s">
        <v>358</v>
      </c>
      <c r="B447" t="s">
        <v>691</v>
      </c>
    </row>
    <row r="448" spans="1:2" x14ac:dyDescent="0.35">
      <c r="A448" t="s">
        <v>359</v>
      </c>
      <c r="B448" t="s">
        <v>691</v>
      </c>
    </row>
    <row r="449" spans="1:2" x14ac:dyDescent="0.35">
      <c r="A449" t="s">
        <v>612</v>
      </c>
      <c r="B449" t="s">
        <v>691</v>
      </c>
    </row>
    <row r="450" spans="1:2" x14ac:dyDescent="0.35">
      <c r="A450" t="s">
        <v>360</v>
      </c>
      <c r="B450" t="s">
        <v>691</v>
      </c>
    </row>
    <row r="451" spans="1:2" x14ac:dyDescent="0.35">
      <c r="A451" t="s">
        <v>361</v>
      </c>
      <c r="B451" t="s">
        <v>691</v>
      </c>
    </row>
    <row r="452" spans="1:2" x14ac:dyDescent="0.35">
      <c r="A452" t="s">
        <v>362</v>
      </c>
      <c r="B452" t="s">
        <v>691</v>
      </c>
    </row>
    <row r="453" spans="1:2" x14ac:dyDescent="0.35">
      <c r="A453" t="s">
        <v>363</v>
      </c>
      <c r="B453" t="s">
        <v>691</v>
      </c>
    </row>
    <row r="454" spans="1:2" x14ac:dyDescent="0.35">
      <c r="A454" t="s">
        <v>364</v>
      </c>
      <c r="B454" t="s">
        <v>691</v>
      </c>
    </row>
    <row r="455" spans="1:2" x14ac:dyDescent="0.35">
      <c r="A455" t="s">
        <v>365</v>
      </c>
      <c r="B455" t="s">
        <v>691</v>
      </c>
    </row>
    <row r="456" spans="1:2" x14ac:dyDescent="0.35">
      <c r="A456" t="s">
        <v>366</v>
      </c>
      <c r="B456" t="s">
        <v>691</v>
      </c>
    </row>
    <row r="457" spans="1:2" x14ac:dyDescent="0.35">
      <c r="A457" t="s">
        <v>480</v>
      </c>
      <c r="B457" t="s">
        <v>691</v>
      </c>
    </row>
    <row r="458" spans="1:2" x14ac:dyDescent="0.35">
      <c r="A458" t="s">
        <v>367</v>
      </c>
      <c r="B458" t="s">
        <v>691</v>
      </c>
    </row>
    <row r="459" spans="1:2" x14ac:dyDescent="0.35">
      <c r="A459" t="s">
        <v>368</v>
      </c>
      <c r="B459" t="s">
        <v>691</v>
      </c>
    </row>
    <row r="460" spans="1:2" x14ac:dyDescent="0.35">
      <c r="A460" t="s">
        <v>369</v>
      </c>
      <c r="B460" t="s">
        <v>691</v>
      </c>
    </row>
    <row r="461" spans="1:2" x14ac:dyDescent="0.35">
      <c r="A461" t="s">
        <v>370</v>
      </c>
      <c r="B461" t="s">
        <v>691</v>
      </c>
    </row>
    <row r="462" spans="1:2" x14ac:dyDescent="0.35">
      <c r="A462" t="s">
        <v>481</v>
      </c>
      <c r="B462" t="s">
        <v>691</v>
      </c>
    </row>
    <row r="463" spans="1:2" x14ac:dyDescent="0.35">
      <c r="A463" t="s">
        <v>613</v>
      </c>
      <c r="B463" t="s">
        <v>691</v>
      </c>
    </row>
    <row r="464" spans="1:2" x14ac:dyDescent="0.35">
      <c r="A464" t="s">
        <v>371</v>
      </c>
      <c r="B464" t="s">
        <v>691</v>
      </c>
    </row>
    <row r="465" spans="1:2" x14ac:dyDescent="0.35">
      <c r="A465" t="s">
        <v>371</v>
      </c>
      <c r="B465" t="s">
        <v>691</v>
      </c>
    </row>
    <row r="466" spans="1:2" x14ac:dyDescent="0.35">
      <c r="A466" t="s">
        <v>371</v>
      </c>
      <c r="B466" t="s">
        <v>691</v>
      </c>
    </row>
    <row r="467" spans="1:2" x14ac:dyDescent="0.35">
      <c r="A467" t="s">
        <v>614</v>
      </c>
      <c r="B467" t="s">
        <v>691</v>
      </c>
    </row>
    <row r="468" spans="1:2" x14ac:dyDescent="0.35">
      <c r="A468" t="s">
        <v>372</v>
      </c>
      <c r="B468" t="s">
        <v>691</v>
      </c>
    </row>
    <row r="469" spans="1:2" x14ac:dyDescent="0.35">
      <c r="A469" t="s">
        <v>667</v>
      </c>
      <c r="B469" t="s">
        <v>691</v>
      </c>
    </row>
    <row r="470" spans="1:2" x14ac:dyDescent="0.35">
      <c r="A470" t="s">
        <v>373</v>
      </c>
      <c r="B470" t="s">
        <v>691</v>
      </c>
    </row>
    <row r="471" spans="1:2" x14ac:dyDescent="0.35">
      <c r="A471" t="s">
        <v>615</v>
      </c>
      <c r="B471" t="s">
        <v>691</v>
      </c>
    </row>
    <row r="472" spans="1:2" x14ac:dyDescent="0.35">
      <c r="A472" t="s">
        <v>374</v>
      </c>
      <c r="B472" t="s">
        <v>691</v>
      </c>
    </row>
    <row r="473" spans="1:2" x14ac:dyDescent="0.35">
      <c r="A473" t="s">
        <v>375</v>
      </c>
      <c r="B473" t="s">
        <v>691</v>
      </c>
    </row>
    <row r="474" spans="1:2" x14ac:dyDescent="0.35">
      <c r="A474" t="s">
        <v>376</v>
      </c>
      <c r="B474" t="s">
        <v>691</v>
      </c>
    </row>
    <row r="475" spans="1:2" x14ac:dyDescent="0.35">
      <c r="A475" t="s">
        <v>377</v>
      </c>
      <c r="B475" t="s">
        <v>691</v>
      </c>
    </row>
    <row r="476" spans="1:2" x14ac:dyDescent="0.35">
      <c r="A476" t="s">
        <v>378</v>
      </c>
      <c r="B476" t="s">
        <v>691</v>
      </c>
    </row>
    <row r="477" spans="1:2" x14ac:dyDescent="0.35">
      <c r="A477" t="s">
        <v>379</v>
      </c>
      <c r="B477" t="s">
        <v>691</v>
      </c>
    </row>
    <row r="478" spans="1:2" x14ac:dyDescent="0.35">
      <c r="A478" t="s">
        <v>380</v>
      </c>
      <c r="B478" t="s">
        <v>691</v>
      </c>
    </row>
    <row r="479" spans="1:2" x14ac:dyDescent="0.35">
      <c r="A479" t="s">
        <v>668</v>
      </c>
      <c r="B479" t="s">
        <v>691</v>
      </c>
    </row>
    <row r="480" spans="1:2" x14ac:dyDescent="0.35">
      <c r="A480" t="s">
        <v>616</v>
      </c>
      <c r="B480" t="s">
        <v>691</v>
      </c>
    </row>
    <row r="481" spans="1:2" x14ac:dyDescent="0.35">
      <c r="A481" t="s">
        <v>381</v>
      </c>
      <c r="B481" t="s">
        <v>691</v>
      </c>
    </row>
    <row r="482" spans="1:2" x14ac:dyDescent="0.35">
      <c r="A482" t="s">
        <v>382</v>
      </c>
      <c r="B482" t="s">
        <v>691</v>
      </c>
    </row>
    <row r="483" spans="1:2" x14ac:dyDescent="0.35">
      <c r="A483" t="s">
        <v>383</v>
      </c>
      <c r="B483" t="s">
        <v>691</v>
      </c>
    </row>
    <row r="484" spans="1:2" x14ac:dyDescent="0.35">
      <c r="A484" t="s">
        <v>384</v>
      </c>
      <c r="B484" t="s">
        <v>691</v>
      </c>
    </row>
    <row r="485" spans="1:2" x14ac:dyDescent="0.35">
      <c r="A485" t="s">
        <v>385</v>
      </c>
      <c r="B485" t="s">
        <v>691</v>
      </c>
    </row>
    <row r="486" spans="1:2" x14ac:dyDescent="0.35">
      <c r="A486" t="s">
        <v>669</v>
      </c>
      <c r="B486" t="s">
        <v>691</v>
      </c>
    </row>
    <row r="487" spans="1:2" x14ac:dyDescent="0.35">
      <c r="A487" t="s">
        <v>386</v>
      </c>
      <c r="B487" t="s">
        <v>691</v>
      </c>
    </row>
    <row r="488" spans="1:2" x14ac:dyDescent="0.35">
      <c r="A488" t="s">
        <v>387</v>
      </c>
      <c r="B488" t="s">
        <v>691</v>
      </c>
    </row>
    <row r="489" spans="1:2" x14ac:dyDescent="0.35">
      <c r="A489" t="s">
        <v>617</v>
      </c>
      <c r="B489" t="s">
        <v>691</v>
      </c>
    </row>
    <row r="490" spans="1:2" x14ac:dyDescent="0.35">
      <c r="A490" t="s">
        <v>388</v>
      </c>
      <c r="B490" t="s">
        <v>691</v>
      </c>
    </row>
    <row r="491" spans="1:2" x14ac:dyDescent="0.35">
      <c r="A491" t="s">
        <v>389</v>
      </c>
      <c r="B491" t="s">
        <v>691</v>
      </c>
    </row>
    <row r="492" spans="1:2" x14ac:dyDescent="0.35">
      <c r="A492" t="s">
        <v>390</v>
      </c>
      <c r="B492" t="s">
        <v>691</v>
      </c>
    </row>
    <row r="493" spans="1:2" x14ac:dyDescent="0.35">
      <c r="A493" t="s">
        <v>391</v>
      </c>
      <c r="B493" t="s">
        <v>691</v>
      </c>
    </row>
    <row r="494" spans="1:2" x14ac:dyDescent="0.35">
      <c r="A494" t="s">
        <v>392</v>
      </c>
      <c r="B494" t="s">
        <v>691</v>
      </c>
    </row>
    <row r="495" spans="1:2" x14ac:dyDescent="0.35">
      <c r="A495" t="s">
        <v>393</v>
      </c>
      <c r="B495" t="s">
        <v>691</v>
      </c>
    </row>
    <row r="496" spans="1:2" x14ac:dyDescent="0.35">
      <c r="A496" t="s">
        <v>394</v>
      </c>
      <c r="B496" t="s">
        <v>691</v>
      </c>
    </row>
    <row r="497" spans="1:2" x14ac:dyDescent="0.35">
      <c r="A497" t="s">
        <v>395</v>
      </c>
      <c r="B497" t="s">
        <v>691</v>
      </c>
    </row>
    <row r="498" spans="1:2" x14ac:dyDescent="0.35">
      <c r="A498" t="s">
        <v>396</v>
      </c>
      <c r="B498" t="s">
        <v>691</v>
      </c>
    </row>
    <row r="499" spans="1:2" x14ac:dyDescent="0.35">
      <c r="A499" t="s">
        <v>396</v>
      </c>
      <c r="B499" t="s">
        <v>691</v>
      </c>
    </row>
    <row r="500" spans="1:2" x14ac:dyDescent="0.35">
      <c r="A500" t="s">
        <v>396</v>
      </c>
      <c r="B500" t="s">
        <v>691</v>
      </c>
    </row>
    <row r="501" spans="1:2" x14ac:dyDescent="0.35">
      <c r="A501" t="s">
        <v>397</v>
      </c>
      <c r="B501" t="s">
        <v>691</v>
      </c>
    </row>
    <row r="502" spans="1:2" x14ac:dyDescent="0.35">
      <c r="A502" t="s">
        <v>397</v>
      </c>
      <c r="B502" t="s">
        <v>691</v>
      </c>
    </row>
    <row r="503" spans="1:2" x14ac:dyDescent="0.35">
      <c r="A503" t="s">
        <v>397</v>
      </c>
      <c r="B503" t="s">
        <v>691</v>
      </c>
    </row>
    <row r="504" spans="1:2" x14ac:dyDescent="0.35">
      <c r="A504" t="s">
        <v>618</v>
      </c>
      <c r="B504" t="s">
        <v>691</v>
      </c>
    </row>
    <row r="505" spans="1:2" x14ac:dyDescent="0.35">
      <c r="A505" t="s">
        <v>398</v>
      </c>
      <c r="B505" t="s">
        <v>691</v>
      </c>
    </row>
    <row r="506" spans="1:2" x14ac:dyDescent="0.35">
      <c r="A506" t="s">
        <v>482</v>
      </c>
      <c r="B506" t="s">
        <v>691</v>
      </c>
    </row>
    <row r="507" spans="1:2" x14ac:dyDescent="0.35">
      <c r="A507" t="s">
        <v>399</v>
      </c>
      <c r="B507" t="s">
        <v>691</v>
      </c>
    </row>
    <row r="508" spans="1:2" x14ac:dyDescent="0.35">
      <c r="A508" t="s">
        <v>400</v>
      </c>
      <c r="B508" t="s">
        <v>691</v>
      </c>
    </row>
    <row r="509" spans="1:2" x14ac:dyDescent="0.35">
      <c r="A509" t="s">
        <v>401</v>
      </c>
      <c r="B509" t="s">
        <v>691</v>
      </c>
    </row>
    <row r="510" spans="1:2" x14ac:dyDescent="0.35">
      <c r="A510" t="s">
        <v>402</v>
      </c>
      <c r="B510" t="s">
        <v>691</v>
      </c>
    </row>
    <row r="511" spans="1:2" x14ac:dyDescent="0.35">
      <c r="A511" t="s">
        <v>403</v>
      </c>
      <c r="B511" t="s">
        <v>691</v>
      </c>
    </row>
    <row r="512" spans="1:2" x14ac:dyDescent="0.35">
      <c r="A512" t="s">
        <v>404</v>
      </c>
      <c r="B512" t="s">
        <v>691</v>
      </c>
    </row>
    <row r="513" spans="1:2" x14ac:dyDescent="0.35">
      <c r="A513" t="s">
        <v>404</v>
      </c>
      <c r="B513" t="s">
        <v>691</v>
      </c>
    </row>
    <row r="514" spans="1:2" x14ac:dyDescent="0.35">
      <c r="A514" t="s">
        <v>404</v>
      </c>
      <c r="B514" t="s">
        <v>691</v>
      </c>
    </row>
    <row r="515" spans="1:2" x14ac:dyDescent="0.35">
      <c r="A515" t="s">
        <v>405</v>
      </c>
      <c r="B515" t="s">
        <v>691</v>
      </c>
    </row>
    <row r="516" spans="1:2" x14ac:dyDescent="0.35">
      <c r="A516" t="s">
        <v>670</v>
      </c>
      <c r="B516" t="s">
        <v>691</v>
      </c>
    </row>
    <row r="517" spans="1:2" x14ac:dyDescent="0.35">
      <c r="A517" t="s">
        <v>406</v>
      </c>
      <c r="B517" t="s">
        <v>691</v>
      </c>
    </row>
    <row r="518" spans="1:2" x14ac:dyDescent="0.35">
      <c r="A518" t="s">
        <v>671</v>
      </c>
      <c r="B518" t="s">
        <v>691</v>
      </c>
    </row>
    <row r="519" spans="1:2" x14ac:dyDescent="0.35">
      <c r="A519" t="s">
        <v>672</v>
      </c>
      <c r="B519" t="s">
        <v>691</v>
      </c>
    </row>
    <row r="520" spans="1:2" x14ac:dyDescent="0.35">
      <c r="A520" t="s">
        <v>407</v>
      </c>
      <c r="B520" t="s">
        <v>691</v>
      </c>
    </row>
    <row r="521" spans="1:2" x14ac:dyDescent="0.35">
      <c r="A521" t="s">
        <v>673</v>
      </c>
      <c r="B521" t="s">
        <v>691</v>
      </c>
    </row>
    <row r="522" spans="1:2" x14ac:dyDescent="0.35">
      <c r="A522" t="s">
        <v>408</v>
      </c>
      <c r="B522" t="s">
        <v>691</v>
      </c>
    </row>
    <row r="523" spans="1:2" x14ac:dyDescent="0.35">
      <c r="A523" t="s">
        <v>409</v>
      </c>
      <c r="B523" t="s">
        <v>691</v>
      </c>
    </row>
    <row r="524" spans="1:2" x14ac:dyDescent="0.35">
      <c r="A524" t="s">
        <v>410</v>
      </c>
      <c r="B524" t="s">
        <v>691</v>
      </c>
    </row>
    <row r="525" spans="1:2" x14ac:dyDescent="0.35">
      <c r="A525" t="s">
        <v>411</v>
      </c>
      <c r="B525" t="s">
        <v>691</v>
      </c>
    </row>
    <row r="526" spans="1:2" x14ac:dyDescent="0.35">
      <c r="A526" t="s">
        <v>483</v>
      </c>
      <c r="B526" t="s">
        <v>691</v>
      </c>
    </row>
    <row r="527" spans="1:2" x14ac:dyDescent="0.35">
      <c r="A527" t="s">
        <v>619</v>
      </c>
      <c r="B527" t="s">
        <v>691</v>
      </c>
    </row>
    <row r="528" spans="1:2" x14ac:dyDescent="0.35">
      <c r="A528" t="s">
        <v>412</v>
      </c>
      <c r="B528" t="s">
        <v>691</v>
      </c>
    </row>
    <row r="529" spans="1:2" x14ac:dyDescent="0.35">
      <c r="A529" t="s">
        <v>413</v>
      </c>
      <c r="B529" t="s">
        <v>691</v>
      </c>
    </row>
    <row r="530" spans="1:2" x14ac:dyDescent="0.35">
      <c r="A530" t="s">
        <v>414</v>
      </c>
      <c r="B530" t="s">
        <v>691</v>
      </c>
    </row>
    <row r="531" spans="1:2" x14ac:dyDescent="0.35">
      <c r="A531" t="s">
        <v>415</v>
      </c>
      <c r="B531" t="s">
        <v>691</v>
      </c>
    </row>
    <row r="532" spans="1:2" x14ac:dyDescent="0.35">
      <c r="A532" t="s">
        <v>674</v>
      </c>
      <c r="B532" t="s">
        <v>691</v>
      </c>
    </row>
    <row r="533" spans="1:2" x14ac:dyDescent="0.35">
      <c r="A533" t="s">
        <v>416</v>
      </c>
      <c r="B533" t="s">
        <v>691</v>
      </c>
    </row>
    <row r="534" spans="1:2" x14ac:dyDescent="0.35">
      <c r="A534" t="s">
        <v>417</v>
      </c>
      <c r="B534" t="s">
        <v>691</v>
      </c>
    </row>
    <row r="535" spans="1:2" x14ac:dyDescent="0.35">
      <c r="A535" t="s">
        <v>418</v>
      </c>
      <c r="B535" t="s">
        <v>691</v>
      </c>
    </row>
    <row r="536" spans="1:2" x14ac:dyDescent="0.35">
      <c r="A536" t="s">
        <v>472</v>
      </c>
      <c r="B536" t="s">
        <v>691</v>
      </c>
    </row>
    <row r="537" spans="1:2" x14ac:dyDescent="0.35">
      <c r="A537" t="s">
        <v>419</v>
      </c>
      <c r="B537" t="s">
        <v>691</v>
      </c>
    </row>
    <row r="538" spans="1:2" x14ac:dyDescent="0.35">
      <c r="A538" t="s">
        <v>420</v>
      </c>
      <c r="B538" t="s">
        <v>691</v>
      </c>
    </row>
    <row r="539" spans="1:2" x14ac:dyDescent="0.35">
      <c r="A539" t="s">
        <v>421</v>
      </c>
      <c r="B539" t="s">
        <v>691</v>
      </c>
    </row>
    <row r="540" spans="1:2" x14ac:dyDescent="0.35">
      <c r="A540" t="s">
        <v>422</v>
      </c>
      <c r="B540" t="s">
        <v>691</v>
      </c>
    </row>
    <row r="541" spans="1:2" x14ac:dyDescent="0.35">
      <c r="A541" t="s">
        <v>423</v>
      </c>
      <c r="B541" t="s">
        <v>691</v>
      </c>
    </row>
    <row r="542" spans="1:2" x14ac:dyDescent="0.35">
      <c r="A542" t="s">
        <v>423</v>
      </c>
      <c r="B542" t="s">
        <v>691</v>
      </c>
    </row>
    <row r="543" spans="1:2" x14ac:dyDescent="0.35">
      <c r="A543" t="s">
        <v>423</v>
      </c>
      <c r="B543" t="s">
        <v>691</v>
      </c>
    </row>
    <row r="544" spans="1:2" x14ac:dyDescent="0.35">
      <c r="A544" t="s">
        <v>424</v>
      </c>
      <c r="B544" t="s">
        <v>691</v>
      </c>
    </row>
    <row r="545" spans="1:2" x14ac:dyDescent="0.35">
      <c r="A545" t="s">
        <v>425</v>
      </c>
      <c r="B545" t="s">
        <v>691</v>
      </c>
    </row>
    <row r="546" spans="1:2" x14ac:dyDescent="0.35">
      <c r="A546" t="s">
        <v>425</v>
      </c>
      <c r="B546" t="s">
        <v>691</v>
      </c>
    </row>
    <row r="547" spans="1:2" x14ac:dyDescent="0.35">
      <c r="A547" t="s">
        <v>425</v>
      </c>
      <c r="B547" t="s">
        <v>691</v>
      </c>
    </row>
    <row r="548" spans="1:2" x14ac:dyDescent="0.35">
      <c r="A548" t="s">
        <v>426</v>
      </c>
      <c r="B548" t="s">
        <v>691</v>
      </c>
    </row>
    <row r="549" spans="1:2" x14ac:dyDescent="0.35">
      <c r="A549" t="s">
        <v>427</v>
      </c>
      <c r="B549" t="s">
        <v>691</v>
      </c>
    </row>
    <row r="550" spans="1:2" x14ac:dyDescent="0.35">
      <c r="A550" t="s">
        <v>620</v>
      </c>
      <c r="B550" t="s">
        <v>691</v>
      </c>
    </row>
    <row r="551" spans="1:2" x14ac:dyDescent="0.35">
      <c r="A551" t="s">
        <v>428</v>
      </c>
      <c r="B551" t="s">
        <v>691</v>
      </c>
    </row>
    <row r="552" spans="1:2" x14ac:dyDescent="0.35">
      <c r="A552" t="s">
        <v>429</v>
      </c>
      <c r="B552" t="s">
        <v>691</v>
      </c>
    </row>
    <row r="553" spans="1:2" x14ac:dyDescent="0.35">
      <c r="A553" t="s">
        <v>430</v>
      </c>
      <c r="B553" t="s">
        <v>691</v>
      </c>
    </row>
    <row r="554" spans="1:2" x14ac:dyDescent="0.35">
      <c r="A554" t="s">
        <v>431</v>
      </c>
      <c r="B554" t="s">
        <v>691</v>
      </c>
    </row>
    <row r="555" spans="1:2" x14ac:dyDescent="0.35">
      <c r="A555" t="s">
        <v>621</v>
      </c>
      <c r="B555" t="s">
        <v>691</v>
      </c>
    </row>
    <row r="556" spans="1:2" x14ac:dyDescent="0.35">
      <c r="A556" t="s">
        <v>621</v>
      </c>
      <c r="B556" t="s">
        <v>691</v>
      </c>
    </row>
    <row r="557" spans="1:2" x14ac:dyDescent="0.35">
      <c r="A557" t="s">
        <v>621</v>
      </c>
      <c r="B557" t="s">
        <v>691</v>
      </c>
    </row>
    <row r="558" spans="1:2" x14ac:dyDescent="0.35">
      <c r="A558" t="s">
        <v>621</v>
      </c>
      <c r="B558" t="s">
        <v>691</v>
      </c>
    </row>
    <row r="559" spans="1:2" x14ac:dyDescent="0.35">
      <c r="A559" t="s">
        <v>484</v>
      </c>
      <c r="B559" t="s">
        <v>691</v>
      </c>
    </row>
    <row r="560" spans="1:2" x14ac:dyDescent="0.35">
      <c r="A560" t="s">
        <v>432</v>
      </c>
      <c r="B560" t="s">
        <v>691</v>
      </c>
    </row>
    <row r="561" spans="1:2" x14ac:dyDescent="0.35">
      <c r="A561" t="s">
        <v>433</v>
      </c>
      <c r="B561" t="s">
        <v>691</v>
      </c>
    </row>
    <row r="562" spans="1:2" x14ac:dyDescent="0.35">
      <c r="A562" t="s">
        <v>434</v>
      </c>
      <c r="B562" t="s">
        <v>691</v>
      </c>
    </row>
    <row r="563" spans="1:2" x14ac:dyDescent="0.35">
      <c r="A563" t="s">
        <v>435</v>
      </c>
      <c r="B563" t="s">
        <v>691</v>
      </c>
    </row>
    <row r="564" spans="1:2" x14ac:dyDescent="0.35">
      <c r="A564" t="s">
        <v>436</v>
      </c>
      <c r="B564" t="s">
        <v>691</v>
      </c>
    </row>
    <row r="565" spans="1:2" x14ac:dyDescent="0.35">
      <c r="A565" t="s">
        <v>437</v>
      </c>
      <c r="B565" t="s">
        <v>691</v>
      </c>
    </row>
    <row r="566" spans="1:2" x14ac:dyDescent="0.35">
      <c r="A566" t="s">
        <v>438</v>
      </c>
      <c r="B566" t="s">
        <v>691</v>
      </c>
    </row>
    <row r="567" spans="1:2" x14ac:dyDescent="0.35">
      <c r="A567" t="s">
        <v>566</v>
      </c>
      <c r="B567" t="s">
        <v>691</v>
      </c>
    </row>
    <row r="568" spans="1:2" x14ac:dyDescent="0.35">
      <c r="A568" t="s">
        <v>675</v>
      </c>
      <c r="B568" t="s">
        <v>691</v>
      </c>
    </row>
    <row r="569" spans="1:2" x14ac:dyDescent="0.35">
      <c r="A569" t="s">
        <v>439</v>
      </c>
      <c r="B569" t="s">
        <v>691</v>
      </c>
    </row>
    <row r="570" spans="1:2" x14ac:dyDescent="0.35">
      <c r="A570" t="s">
        <v>440</v>
      </c>
      <c r="B570" t="s">
        <v>691</v>
      </c>
    </row>
    <row r="571" spans="1:2" x14ac:dyDescent="0.35">
      <c r="A571" t="s">
        <v>440</v>
      </c>
      <c r="B571" t="s">
        <v>691</v>
      </c>
    </row>
    <row r="572" spans="1:2" x14ac:dyDescent="0.35">
      <c r="A572" t="s">
        <v>440</v>
      </c>
      <c r="B572" t="s">
        <v>691</v>
      </c>
    </row>
    <row r="573" spans="1:2" x14ac:dyDescent="0.35">
      <c r="A573" t="s">
        <v>441</v>
      </c>
      <c r="B573" t="s">
        <v>691</v>
      </c>
    </row>
    <row r="574" spans="1:2" x14ac:dyDescent="0.35">
      <c r="A574" t="s">
        <v>485</v>
      </c>
      <c r="B574" t="s">
        <v>691</v>
      </c>
    </row>
    <row r="575" spans="1:2" x14ac:dyDescent="0.35">
      <c r="A575" t="s">
        <v>442</v>
      </c>
      <c r="B575" t="s">
        <v>691</v>
      </c>
    </row>
    <row r="576" spans="1:2" x14ac:dyDescent="0.35">
      <c r="A576" t="s">
        <v>442</v>
      </c>
      <c r="B576" t="s">
        <v>691</v>
      </c>
    </row>
    <row r="577" spans="1:2" x14ac:dyDescent="0.35">
      <c r="A577" t="s">
        <v>442</v>
      </c>
      <c r="B577" t="s">
        <v>691</v>
      </c>
    </row>
    <row r="578" spans="1:2" x14ac:dyDescent="0.35">
      <c r="A578" t="s">
        <v>676</v>
      </c>
      <c r="B578" t="s">
        <v>691</v>
      </c>
    </row>
    <row r="579" spans="1:2" x14ac:dyDescent="0.35">
      <c r="A579" t="s">
        <v>443</v>
      </c>
      <c r="B579" t="s">
        <v>691</v>
      </c>
    </row>
    <row r="580" spans="1:2" x14ac:dyDescent="0.35">
      <c r="A580" t="s">
        <v>622</v>
      </c>
      <c r="B580" t="s">
        <v>691</v>
      </c>
    </row>
    <row r="581" spans="1:2" x14ac:dyDescent="0.35">
      <c r="A581" t="s">
        <v>623</v>
      </c>
      <c r="B581" t="s">
        <v>691</v>
      </c>
    </row>
    <row r="582" spans="1:2" x14ac:dyDescent="0.35">
      <c r="A582" t="s">
        <v>444</v>
      </c>
      <c r="B582" t="s">
        <v>691</v>
      </c>
    </row>
    <row r="583" spans="1:2" x14ac:dyDescent="0.35">
      <c r="A583" t="s">
        <v>445</v>
      </c>
      <c r="B583" t="s">
        <v>691</v>
      </c>
    </row>
    <row r="584" spans="1:2" x14ac:dyDescent="0.35">
      <c r="A584" t="s">
        <v>624</v>
      </c>
      <c r="B584" t="s">
        <v>691</v>
      </c>
    </row>
    <row r="585" spans="1:2" x14ac:dyDescent="0.35">
      <c r="A585" t="s">
        <v>677</v>
      </c>
      <c r="B585" t="s">
        <v>691</v>
      </c>
    </row>
    <row r="586" spans="1:2" x14ac:dyDescent="0.35">
      <c r="A586" t="s">
        <v>625</v>
      </c>
      <c r="B586" t="s">
        <v>691</v>
      </c>
    </row>
    <row r="587" spans="1:2" x14ac:dyDescent="0.35">
      <c r="A587" t="s">
        <v>625</v>
      </c>
      <c r="B587" t="s">
        <v>691</v>
      </c>
    </row>
    <row r="588" spans="1:2" x14ac:dyDescent="0.35">
      <c r="A588" t="s">
        <v>625</v>
      </c>
      <c r="B588" t="s">
        <v>691</v>
      </c>
    </row>
    <row r="589" spans="1:2" x14ac:dyDescent="0.35">
      <c r="A589" t="s">
        <v>446</v>
      </c>
      <c r="B589" t="s">
        <v>691</v>
      </c>
    </row>
    <row r="590" spans="1:2" x14ac:dyDescent="0.35">
      <c r="A590" t="s">
        <v>447</v>
      </c>
      <c r="B590" t="s">
        <v>691</v>
      </c>
    </row>
    <row r="591" spans="1:2" x14ac:dyDescent="0.35">
      <c r="A591" t="s">
        <v>487</v>
      </c>
      <c r="B591" t="s">
        <v>691</v>
      </c>
    </row>
    <row r="592" spans="1:2" x14ac:dyDescent="0.35">
      <c r="A592" t="s">
        <v>448</v>
      </c>
      <c r="B592" t="s">
        <v>691</v>
      </c>
    </row>
    <row r="593" spans="1:2" x14ac:dyDescent="0.35">
      <c r="A593" t="s">
        <v>449</v>
      </c>
      <c r="B593" t="s">
        <v>691</v>
      </c>
    </row>
    <row r="594" spans="1:2" x14ac:dyDescent="0.35">
      <c r="A594" t="s">
        <v>450</v>
      </c>
      <c r="B594" t="s">
        <v>691</v>
      </c>
    </row>
    <row r="595" spans="1:2" x14ac:dyDescent="0.35">
      <c r="A595" t="s">
        <v>450</v>
      </c>
      <c r="B595" t="s">
        <v>691</v>
      </c>
    </row>
    <row r="596" spans="1:2" x14ac:dyDescent="0.35">
      <c r="A596" t="s">
        <v>450</v>
      </c>
      <c r="B596" t="s">
        <v>691</v>
      </c>
    </row>
    <row r="597" spans="1:2" x14ac:dyDescent="0.35">
      <c r="A597" t="s">
        <v>488</v>
      </c>
      <c r="B597" t="s">
        <v>691</v>
      </c>
    </row>
    <row r="598" spans="1:2" x14ac:dyDescent="0.35">
      <c r="A598" t="s">
        <v>451</v>
      </c>
      <c r="B598" t="s">
        <v>691</v>
      </c>
    </row>
    <row r="599" spans="1:2" x14ac:dyDescent="0.35">
      <c r="A599" t="s">
        <v>452</v>
      </c>
      <c r="B599" t="s">
        <v>691</v>
      </c>
    </row>
    <row r="600" spans="1:2" x14ac:dyDescent="0.35">
      <c r="A600" t="s">
        <v>453</v>
      </c>
      <c r="B600" t="s">
        <v>691</v>
      </c>
    </row>
    <row r="601" spans="1:2" x14ac:dyDescent="0.35">
      <c r="A601" t="s">
        <v>454</v>
      </c>
      <c r="B601" t="s">
        <v>691</v>
      </c>
    </row>
    <row r="602" spans="1:2" x14ac:dyDescent="0.35">
      <c r="A602" t="s">
        <v>455</v>
      </c>
      <c r="B602" t="s">
        <v>691</v>
      </c>
    </row>
    <row r="603" spans="1:2" x14ac:dyDescent="0.35">
      <c r="A603" t="s">
        <v>455</v>
      </c>
      <c r="B603" t="s">
        <v>691</v>
      </c>
    </row>
    <row r="604" spans="1:2" x14ac:dyDescent="0.35">
      <c r="A604" t="s">
        <v>455</v>
      </c>
      <c r="B604" t="s">
        <v>691</v>
      </c>
    </row>
    <row r="605" spans="1:2" x14ac:dyDescent="0.35">
      <c r="A605" t="s">
        <v>456</v>
      </c>
      <c r="B605" t="s">
        <v>691</v>
      </c>
    </row>
    <row r="606" spans="1:2" x14ac:dyDescent="0.35">
      <c r="A606" t="s">
        <v>457</v>
      </c>
      <c r="B606" t="s">
        <v>691</v>
      </c>
    </row>
    <row r="607" spans="1:2" x14ac:dyDescent="0.35">
      <c r="A607" t="s">
        <v>458</v>
      </c>
      <c r="B607" t="s">
        <v>691</v>
      </c>
    </row>
    <row r="608" spans="1:2" x14ac:dyDescent="0.35">
      <c r="A608" t="s">
        <v>459</v>
      </c>
      <c r="B608" t="s">
        <v>691</v>
      </c>
    </row>
    <row r="609" spans="1:2" x14ac:dyDescent="0.35">
      <c r="A609" t="s">
        <v>460</v>
      </c>
      <c r="B609" t="s">
        <v>691</v>
      </c>
    </row>
    <row r="610" spans="1:2" x14ac:dyDescent="0.35">
      <c r="A610" t="s">
        <v>460</v>
      </c>
      <c r="B610" t="s">
        <v>691</v>
      </c>
    </row>
    <row r="611" spans="1:2" x14ac:dyDescent="0.35">
      <c r="A611" t="s">
        <v>460</v>
      </c>
      <c r="B611" t="s">
        <v>691</v>
      </c>
    </row>
    <row r="612" spans="1:2" x14ac:dyDescent="0.35">
      <c r="A612" t="s">
        <v>461</v>
      </c>
      <c r="B612" t="s">
        <v>691</v>
      </c>
    </row>
    <row r="613" spans="1:2" x14ac:dyDescent="0.35">
      <c r="A613" t="s">
        <v>462</v>
      </c>
      <c r="B613" t="s">
        <v>691</v>
      </c>
    </row>
    <row r="614" spans="1:2" x14ac:dyDescent="0.35">
      <c r="A614" t="s">
        <v>463</v>
      </c>
      <c r="B614" t="s">
        <v>691</v>
      </c>
    </row>
    <row r="615" spans="1:2" x14ac:dyDescent="0.35">
      <c r="A615" t="s">
        <v>464</v>
      </c>
      <c r="B615" t="s">
        <v>691</v>
      </c>
    </row>
    <row r="616" spans="1:2" x14ac:dyDescent="0.35">
      <c r="A616" t="s">
        <v>465</v>
      </c>
      <c r="B616" t="s">
        <v>691</v>
      </c>
    </row>
    <row r="617" spans="1:2" x14ac:dyDescent="0.35">
      <c r="A617" t="s">
        <v>466</v>
      </c>
      <c r="B617" t="s">
        <v>691</v>
      </c>
    </row>
    <row r="618" spans="1:2" x14ac:dyDescent="0.35">
      <c r="A618" t="s">
        <v>467</v>
      </c>
      <c r="B618" t="s">
        <v>691</v>
      </c>
    </row>
    <row r="619" spans="1:2" x14ac:dyDescent="0.35">
      <c r="A619" t="s">
        <v>489</v>
      </c>
      <c r="B619" t="s">
        <v>691</v>
      </c>
    </row>
    <row r="620" spans="1:2" x14ac:dyDescent="0.35">
      <c r="A620" t="s">
        <v>468</v>
      </c>
      <c r="B620" t="s">
        <v>691</v>
      </c>
    </row>
    <row r="621" spans="1:2" x14ac:dyDescent="0.35">
      <c r="A621" t="s">
        <v>469</v>
      </c>
      <c r="B621" t="s">
        <v>691</v>
      </c>
    </row>
    <row r="622" spans="1:2" x14ac:dyDescent="0.35">
      <c r="A622" t="s">
        <v>470</v>
      </c>
      <c r="B622" t="s">
        <v>691</v>
      </c>
    </row>
    <row r="623" spans="1:2" x14ac:dyDescent="0.35">
      <c r="A623" t="s">
        <v>678</v>
      </c>
      <c r="B623" t="s">
        <v>691</v>
      </c>
    </row>
    <row r="624" spans="1:2" x14ac:dyDescent="0.35">
      <c r="A624" t="s">
        <v>471</v>
      </c>
      <c r="B624" t="s">
        <v>691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8043F85-65F1-4B3B-B3C4-88E24BF39C7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12</vt:i4>
      </vt:variant>
    </vt:vector>
  </HeadingPairs>
  <TitlesOfParts>
    <vt:vector size="17" baseType="lpstr">
      <vt:lpstr>Per Game Stats</vt:lpstr>
      <vt:lpstr>Current Teams</vt:lpstr>
      <vt:lpstr>Rankings</vt:lpstr>
      <vt:lpstr>Lookup Tables</vt:lpstr>
      <vt:lpstr>Results</vt:lpstr>
      <vt:lpstr>Abbreviations</vt:lpstr>
      <vt:lpstr>Ast_Range</vt:lpstr>
      <vt:lpstr>Blk_Range</vt:lpstr>
      <vt:lpstr>Compare_Range</vt:lpstr>
      <vt:lpstr>FG_Range</vt:lpstr>
      <vt:lpstr>FT_RANGE</vt:lpstr>
      <vt:lpstr>Pts_Range</vt:lpstr>
      <vt:lpstr>Reb_Range</vt:lpstr>
      <vt:lpstr>Roster_Range</vt:lpstr>
      <vt:lpstr>Stl_Range</vt:lpstr>
      <vt:lpstr>Three_Range</vt:lpstr>
      <vt:lpstr>Tov_Range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chann</dc:creator>
  <cp:lastModifiedBy>chann</cp:lastModifiedBy>
  <dcterms:created xsi:type="dcterms:W3CDTF">2020-01-26T02:36:29Z</dcterms:created>
  <dcterms:modified xsi:type="dcterms:W3CDTF">2020-05-11T03:30:11Z</dcterms:modified>
</cp:coreProperties>
</file>