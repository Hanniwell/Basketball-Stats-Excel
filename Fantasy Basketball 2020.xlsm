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nn\Documents\University\Excel Projects\"/>
    </mc:Choice>
  </mc:AlternateContent>
  <xr:revisionPtr revIDLastSave="0" documentId="13_ncr:1_{5EC8C707-24BA-402D-8A46-0BF06005EFEF}" xr6:coauthVersionLast="46" xr6:coauthVersionMax="46" xr10:uidLastSave="{00000000-0000-0000-0000-000000000000}"/>
  <bookViews>
    <workbookView xWindow="-110" yWindow="-110" windowWidth="19420" windowHeight="10420" activeTab="3" xr2:uid="{EEBE7E6C-C1DD-460A-B35A-99ED0E320FDA}"/>
  </bookViews>
  <sheets>
    <sheet name="Per Game Stats" sheetId="14" r:id="rId1"/>
    <sheet name="Current Teams" sheetId="15" r:id="rId2"/>
    <sheet name="Rankings" sheetId="4" r:id="rId3"/>
    <sheet name="Test Draft" sheetId="10" r:id="rId4"/>
    <sheet name="Lookup Tables" sheetId="7" r:id="rId5"/>
    <sheet name="Results" sheetId="9" r:id="rId6"/>
  </sheets>
  <definedNames>
    <definedName name="_xlnm._FilterDatabase" localSheetId="4" hidden="1">'Lookup Tables'!$D$2:$F$500</definedName>
    <definedName name="_xlnm._FilterDatabase" localSheetId="2" hidden="1">Rankings!$A$1:$AE$343</definedName>
    <definedName name="_xlnm._FilterDatabase" localSheetId="3" hidden="1">'Test Draft'!$G$1:$G$251</definedName>
    <definedName name="Abbreviations">'Lookup Tables'!$A$2:$B$32</definedName>
    <definedName name="Add_Player">'Lookup Tables'!$H$2:$I$331</definedName>
    <definedName name="Ast_Range">Rankings!$O$2:$O$511</definedName>
    <definedName name="Blk_Range">Rankings!$Q$2:$Q$511</definedName>
    <definedName name="Compare_Range">'Lookup Tables'!$D$2:$F$868</definedName>
    <definedName name="DropDownPlayers">'Lookup Tables'!$H$2</definedName>
    <definedName name="ExternalData_2" localSheetId="1" hidden="1">'Current Teams'!$A$1:$B$499</definedName>
    <definedName name="ExternalData_2" localSheetId="0" hidden="1">'Per Game Stats'!$A$1:$P$461</definedName>
    <definedName name="FG_Range">Rankings!$J$2:$J$511</definedName>
    <definedName name="FT_RANGE">Rankings!$M$2:$M$511</definedName>
    <definedName name="Player_Names">Rankings!$D:$D</definedName>
    <definedName name="Pts_Range">Rankings!$S$2:$S$511</definedName>
    <definedName name="Reb_Range">Rankings!$N$2:$N$511</definedName>
    <definedName name="Roster_Range">'Current Teams'!$A$1:$B$551</definedName>
    <definedName name="Stl_Range">Rankings!$P$2:$P$511</definedName>
    <definedName name="Three_Range">Rankings!$K$2:$K$511</definedName>
    <definedName name="Tov_Range">Rankings!$R$2:$R$511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59" i="10" l="1"/>
  <c r="H159" i="10"/>
  <c r="I159" i="10"/>
  <c r="J159" i="10"/>
  <c r="K159" i="10"/>
  <c r="L159" i="10"/>
  <c r="M159" i="10"/>
  <c r="N159" i="10"/>
  <c r="O159" i="10"/>
  <c r="P159" i="10"/>
  <c r="Q159" i="10"/>
  <c r="G192" i="10"/>
  <c r="H192" i="10"/>
  <c r="I192" i="10"/>
  <c r="J192" i="10"/>
  <c r="K192" i="10"/>
  <c r="L192" i="10"/>
  <c r="M192" i="10"/>
  <c r="N192" i="10"/>
  <c r="O192" i="10"/>
  <c r="P192" i="10"/>
  <c r="Q192" i="10"/>
  <c r="G184" i="10"/>
  <c r="H184" i="10"/>
  <c r="I184" i="10"/>
  <c r="J184" i="10"/>
  <c r="K184" i="10"/>
  <c r="L184" i="10"/>
  <c r="M184" i="10"/>
  <c r="N184" i="10"/>
  <c r="O184" i="10"/>
  <c r="P184" i="10"/>
  <c r="Q184" i="10"/>
  <c r="G185" i="10"/>
  <c r="H185" i="10"/>
  <c r="I185" i="10"/>
  <c r="J185" i="10"/>
  <c r="K185" i="10"/>
  <c r="L185" i="10"/>
  <c r="M185" i="10"/>
  <c r="N185" i="10"/>
  <c r="O185" i="10"/>
  <c r="P185" i="10"/>
  <c r="Q185" i="10"/>
  <c r="G186" i="10"/>
  <c r="H186" i="10"/>
  <c r="I186" i="10"/>
  <c r="J186" i="10"/>
  <c r="K186" i="10"/>
  <c r="L186" i="10"/>
  <c r="M186" i="10"/>
  <c r="N186" i="10"/>
  <c r="O186" i="10"/>
  <c r="P186" i="10"/>
  <c r="Q186" i="10"/>
  <c r="G187" i="10"/>
  <c r="H187" i="10"/>
  <c r="I187" i="10"/>
  <c r="J187" i="10"/>
  <c r="K187" i="10"/>
  <c r="L187" i="10"/>
  <c r="M187" i="10"/>
  <c r="N187" i="10"/>
  <c r="O187" i="10"/>
  <c r="P187" i="10"/>
  <c r="Q187" i="10"/>
  <c r="G188" i="10"/>
  <c r="H188" i="10"/>
  <c r="I188" i="10"/>
  <c r="J188" i="10"/>
  <c r="K188" i="10"/>
  <c r="L188" i="10"/>
  <c r="M188" i="10"/>
  <c r="N188" i="10"/>
  <c r="O188" i="10"/>
  <c r="P188" i="10"/>
  <c r="Q188" i="10"/>
  <c r="G189" i="10"/>
  <c r="H189" i="10"/>
  <c r="I189" i="10"/>
  <c r="J189" i="10"/>
  <c r="K189" i="10"/>
  <c r="L189" i="10"/>
  <c r="M189" i="10"/>
  <c r="N189" i="10"/>
  <c r="O189" i="10"/>
  <c r="P189" i="10"/>
  <c r="Q189" i="10"/>
  <c r="G190" i="10"/>
  <c r="H190" i="10"/>
  <c r="I190" i="10"/>
  <c r="J190" i="10"/>
  <c r="K190" i="10"/>
  <c r="L190" i="10"/>
  <c r="M190" i="10"/>
  <c r="N190" i="10"/>
  <c r="O190" i="10"/>
  <c r="P190" i="10"/>
  <c r="Q190" i="10"/>
  <c r="G191" i="10"/>
  <c r="H191" i="10"/>
  <c r="I191" i="10"/>
  <c r="J191" i="10"/>
  <c r="K191" i="10"/>
  <c r="L191" i="10"/>
  <c r="M191" i="10"/>
  <c r="N191" i="10"/>
  <c r="O191" i="10"/>
  <c r="P191" i="10"/>
  <c r="Q191" i="10"/>
  <c r="G223" i="10"/>
  <c r="H223" i="10"/>
  <c r="I223" i="10"/>
  <c r="J223" i="10"/>
  <c r="K223" i="10"/>
  <c r="L223" i="10"/>
  <c r="M223" i="10"/>
  <c r="N223" i="10"/>
  <c r="O223" i="10"/>
  <c r="P223" i="10"/>
  <c r="Q223" i="10"/>
  <c r="G133" i="10"/>
  <c r="H133" i="10"/>
  <c r="I133" i="10"/>
  <c r="J133" i="10"/>
  <c r="K133" i="10"/>
  <c r="L133" i="10"/>
  <c r="M133" i="10"/>
  <c r="N133" i="10"/>
  <c r="O133" i="10"/>
  <c r="P133" i="10"/>
  <c r="Q133" i="10"/>
  <c r="H76" i="10"/>
  <c r="I76" i="10"/>
  <c r="J76" i="10"/>
  <c r="K76" i="10"/>
  <c r="L76" i="10"/>
  <c r="M76" i="10"/>
  <c r="N76" i="10"/>
  <c r="O76" i="10"/>
  <c r="P76" i="10"/>
  <c r="Q76" i="10"/>
  <c r="H77" i="10"/>
  <c r="I77" i="10"/>
  <c r="J77" i="10"/>
  <c r="K77" i="10"/>
  <c r="L77" i="10"/>
  <c r="M77" i="10"/>
  <c r="N77" i="10"/>
  <c r="O77" i="10"/>
  <c r="P77" i="10"/>
  <c r="Q77" i="10"/>
  <c r="H78" i="10"/>
  <c r="I78" i="10"/>
  <c r="J78" i="10"/>
  <c r="K78" i="10"/>
  <c r="L78" i="10"/>
  <c r="M78" i="10"/>
  <c r="N78" i="10"/>
  <c r="O78" i="10"/>
  <c r="P78" i="10"/>
  <c r="Q78" i="10"/>
  <c r="H79" i="10"/>
  <c r="I79" i="10"/>
  <c r="J79" i="10"/>
  <c r="K79" i="10"/>
  <c r="L79" i="10"/>
  <c r="M79" i="10"/>
  <c r="N79" i="10"/>
  <c r="O79" i="10"/>
  <c r="P79" i="10"/>
  <c r="Q79" i="10"/>
  <c r="H80" i="10"/>
  <c r="I80" i="10"/>
  <c r="J80" i="10"/>
  <c r="K80" i="10"/>
  <c r="L80" i="10"/>
  <c r="M80" i="10"/>
  <c r="N80" i="10"/>
  <c r="O80" i="10"/>
  <c r="P80" i="10"/>
  <c r="Q80" i="10"/>
  <c r="H81" i="10"/>
  <c r="I81" i="10"/>
  <c r="J81" i="10"/>
  <c r="K81" i="10"/>
  <c r="L81" i="10"/>
  <c r="M81" i="10"/>
  <c r="N81" i="10"/>
  <c r="O81" i="10"/>
  <c r="P81" i="10"/>
  <c r="Q81" i="10"/>
  <c r="H82" i="10"/>
  <c r="I82" i="10"/>
  <c r="J82" i="10"/>
  <c r="K82" i="10"/>
  <c r="L82" i="10"/>
  <c r="M82" i="10"/>
  <c r="N82" i="10"/>
  <c r="O82" i="10"/>
  <c r="P82" i="10"/>
  <c r="Q82" i="10"/>
  <c r="H83" i="10"/>
  <c r="I83" i="10"/>
  <c r="J83" i="10"/>
  <c r="K83" i="10"/>
  <c r="L83" i="10"/>
  <c r="M83" i="10"/>
  <c r="N83" i="10"/>
  <c r="O83" i="10"/>
  <c r="P83" i="10"/>
  <c r="Q83" i="10"/>
  <c r="H84" i="10"/>
  <c r="I84" i="10"/>
  <c r="J84" i="10"/>
  <c r="K84" i="10"/>
  <c r="L84" i="10"/>
  <c r="M84" i="10"/>
  <c r="N84" i="10"/>
  <c r="O84" i="10"/>
  <c r="P84" i="10"/>
  <c r="Q84" i="10"/>
  <c r="H85" i="10"/>
  <c r="I85" i="10"/>
  <c r="J85" i="10"/>
  <c r="K85" i="10"/>
  <c r="L85" i="10"/>
  <c r="M85" i="10"/>
  <c r="N85" i="10"/>
  <c r="O85" i="10"/>
  <c r="P85" i="10"/>
  <c r="Q85" i="10"/>
  <c r="H86" i="10"/>
  <c r="I86" i="10"/>
  <c r="J86" i="10"/>
  <c r="K86" i="10"/>
  <c r="L86" i="10"/>
  <c r="M86" i="10"/>
  <c r="N86" i="10"/>
  <c r="O86" i="10"/>
  <c r="P86" i="10"/>
  <c r="Q86" i="10"/>
  <c r="H87" i="10"/>
  <c r="I87" i="10"/>
  <c r="J87" i="10"/>
  <c r="K87" i="10"/>
  <c r="L87" i="10"/>
  <c r="M87" i="10"/>
  <c r="N87" i="10"/>
  <c r="O87" i="10"/>
  <c r="P87" i="10"/>
  <c r="Q87" i="10"/>
  <c r="G82" i="10"/>
  <c r="G77" i="10"/>
  <c r="G78" i="10"/>
  <c r="G79" i="10"/>
  <c r="G80" i="10"/>
  <c r="G81" i="10"/>
  <c r="B3" i="4"/>
  <c r="C3" i="4"/>
  <c r="B4" i="4"/>
  <c r="C4" i="4"/>
  <c r="B5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B155" i="4"/>
  <c r="C155" i="4"/>
  <c r="B156" i="4"/>
  <c r="C156" i="4"/>
  <c r="B157" i="4"/>
  <c r="C157" i="4"/>
  <c r="B158" i="4"/>
  <c r="C158" i="4"/>
  <c r="B159" i="4"/>
  <c r="C159" i="4"/>
  <c r="B160" i="4"/>
  <c r="C160" i="4"/>
  <c r="B161" i="4"/>
  <c r="C161" i="4"/>
  <c r="B162" i="4"/>
  <c r="C162" i="4"/>
  <c r="B163" i="4"/>
  <c r="C163" i="4"/>
  <c r="B164" i="4"/>
  <c r="C164" i="4"/>
  <c r="B165" i="4"/>
  <c r="C165" i="4"/>
  <c r="B166" i="4"/>
  <c r="C166" i="4"/>
  <c r="B167" i="4"/>
  <c r="C167" i="4"/>
  <c r="B168" i="4"/>
  <c r="C168" i="4"/>
  <c r="B169" i="4"/>
  <c r="C169" i="4"/>
  <c r="B170" i="4"/>
  <c r="C170" i="4"/>
  <c r="B171" i="4"/>
  <c r="C171" i="4"/>
  <c r="B172" i="4"/>
  <c r="C172" i="4"/>
  <c r="B173" i="4"/>
  <c r="C173" i="4"/>
  <c r="B174" i="4"/>
  <c r="C174" i="4"/>
  <c r="B175" i="4"/>
  <c r="C175" i="4"/>
  <c r="B176" i="4"/>
  <c r="C176" i="4"/>
  <c r="B177" i="4"/>
  <c r="C177" i="4"/>
  <c r="B178" i="4"/>
  <c r="C178" i="4"/>
  <c r="B179" i="4"/>
  <c r="C179" i="4"/>
  <c r="B180" i="4"/>
  <c r="C180" i="4"/>
  <c r="B181" i="4"/>
  <c r="C181" i="4"/>
  <c r="B182" i="4"/>
  <c r="C182" i="4"/>
  <c r="B183" i="4"/>
  <c r="C183" i="4"/>
  <c r="B184" i="4"/>
  <c r="C184" i="4"/>
  <c r="B185" i="4"/>
  <c r="C185" i="4"/>
  <c r="B186" i="4"/>
  <c r="C186" i="4"/>
  <c r="B187" i="4"/>
  <c r="C187" i="4"/>
  <c r="B188" i="4"/>
  <c r="C188" i="4"/>
  <c r="B189" i="4"/>
  <c r="C189" i="4"/>
  <c r="B190" i="4"/>
  <c r="C190" i="4"/>
  <c r="B191" i="4"/>
  <c r="C19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99" i="4"/>
  <c r="C199" i="4"/>
  <c r="B200" i="4"/>
  <c r="C200" i="4"/>
  <c r="B201" i="4"/>
  <c r="C201" i="4"/>
  <c r="B202" i="4"/>
  <c r="C202" i="4"/>
  <c r="B203" i="4"/>
  <c r="C203" i="4"/>
  <c r="B204" i="4"/>
  <c r="C204" i="4"/>
  <c r="B205" i="4"/>
  <c r="C205" i="4"/>
  <c r="B206" i="4"/>
  <c r="C206" i="4"/>
  <c r="B207" i="4"/>
  <c r="C207" i="4"/>
  <c r="B208" i="4"/>
  <c r="C208" i="4"/>
  <c r="B209" i="4"/>
  <c r="C209" i="4"/>
  <c r="B210" i="4"/>
  <c r="C210" i="4"/>
  <c r="B211" i="4"/>
  <c r="C211" i="4"/>
  <c r="B212" i="4"/>
  <c r="C212" i="4"/>
  <c r="B213" i="4"/>
  <c r="C213" i="4"/>
  <c r="B214" i="4"/>
  <c r="C214" i="4"/>
  <c r="B215" i="4"/>
  <c r="C215" i="4"/>
  <c r="B216" i="4"/>
  <c r="C216" i="4"/>
  <c r="B217" i="4"/>
  <c r="C217" i="4"/>
  <c r="B218" i="4"/>
  <c r="C218" i="4"/>
  <c r="B219" i="4"/>
  <c r="C219" i="4"/>
  <c r="B220" i="4"/>
  <c r="C220" i="4"/>
  <c r="B221" i="4"/>
  <c r="C221" i="4"/>
  <c r="B222" i="4"/>
  <c r="C222" i="4"/>
  <c r="B223" i="4"/>
  <c r="C223" i="4"/>
  <c r="B224" i="4"/>
  <c r="C224" i="4"/>
  <c r="B225" i="4"/>
  <c r="C225" i="4"/>
  <c r="B226" i="4"/>
  <c r="C226" i="4"/>
  <c r="B227" i="4"/>
  <c r="C227" i="4"/>
  <c r="B228" i="4"/>
  <c r="C228" i="4"/>
  <c r="B229" i="4"/>
  <c r="C229" i="4"/>
  <c r="B230" i="4"/>
  <c r="C230" i="4"/>
  <c r="B231" i="4"/>
  <c r="C231" i="4"/>
  <c r="B232" i="4"/>
  <c r="C232" i="4"/>
  <c r="B233" i="4"/>
  <c r="C233" i="4"/>
  <c r="B234" i="4"/>
  <c r="C234" i="4"/>
  <c r="B235" i="4"/>
  <c r="C235" i="4"/>
  <c r="B236" i="4"/>
  <c r="C236" i="4"/>
  <c r="B237" i="4"/>
  <c r="C237" i="4"/>
  <c r="B238" i="4"/>
  <c r="C238" i="4"/>
  <c r="B239" i="4"/>
  <c r="C239" i="4"/>
  <c r="B240" i="4"/>
  <c r="C240" i="4"/>
  <c r="B241" i="4"/>
  <c r="C241" i="4"/>
  <c r="B242" i="4"/>
  <c r="C242" i="4"/>
  <c r="B243" i="4"/>
  <c r="C243" i="4"/>
  <c r="B244" i="4"/>
  <c r="C244" i="4"/>
  <c r="B245" i="4"/>
  <c r="C245" i="4"/>
  <c r="B246" i="4"/>
  <c r="C246" i="4"/>
  <c r="B247" i="4"/>
  <c r="C247" i="4"/>
  <c r="B248" i="4"/>
  <c r="C248" i="4"/>
  <c r="B249" i="4"/>
  <c r="C249" i="4"/>
  <c r="B250" i="4"/>
  <c r="C250" i="4"/>
  <c r="B251" i="4"/>
  <c r="C251" i="4"/>
  <c r="B252" i="4"/>
  <c r="C252" i="4"/>
  <c r="B253" i="4"/>
  <c r="C253" i="4"/>
  <c r="B254" i="4"/>
  <c r="C254" i="4"/>
  <c r="B255" i="4"/>
  <c r="C255" i="4"/>
  <c r="B256" i="4"/>
  <c r="C256" i="4"/>
  <c r="B257" i="4"/>
  <c r="C257" i="4"/>
  <c r="B258" i="4"/>
  <c r="C258" i="4"/>
  <c r="B259" i="4"/>
  <c r="C259" i="4"/>
  <c r="B260" i="4"/>
  <c r="C260" i="4"/>
  <c r="B261" i="4"/>
  <c r="C261" i="4"/>
  <c r="B262" i="4"/>
  <c r="C262" i="4"/>
  <c r="B263" i="4"/>
  <c r="C263" i="4"/>
  <c r="B264" i="4"/>
  <c r="C264" i="4"/>
  <c r="B265" i="4"/>
  <c r="C265" i="4"/>
  <c r="B266" i="4"/>
  <c r="C266" i="4"/>
  <c r="B267" i="4"/>
  <c r="C267" i="4"/>
  <c r="B268" i="4"/>
  <c r="C268" i="4"/>
  <c r="B269" i="4"/>
  <c r="C269" i="4"/>
  <c r="B2" i="4"/>
  <c r="C2" i="4"/>
  <c r="T71" i="4"/>
  <c r="U71" i="4"/>
  <c r="V71" i="4"/>
  <c r="W71" i="4"/>
  <c r="X71" i="4"/>
  <c r="Y71" i="4"/>
  <c r="Z71" i="4"/>
  <c r="AA71" i="4"/>
  <c r="AB71" i="4"/>
  <c r="AC71" i="4"/>
  <c r="AE71" i="4"/>
  <c r="T48" i="4"/>
  <c r="U48" i="4"/>
  <c r="V48" i="4"/>
  <c r="W48" i="4"/>
  <c r="X48" i="4"/>
  <c r="Y48" i="4"/>
  <c r="Z48" i="4"/>
  <c r="AA48" i="4"/>
  <c r="AB48" i="4"/>
  <c r="AC48" i="4"/>
  <c r="AE48" i="4"/>
  <c r="T98" i="4"/>
  <c r="U98" i="4"/>
  <c r="V98" i="4"/>
  <c r="W98" i="4"/>
  <c r="X98" i="4"/>
  <c r="Y98" i="4"/>
  <c r="Z98" i="4"/>
  <c r="AA98" i="4"/>
  <c r="AB98" i="4"/>
  <c r="AC98" i="4"/>
  <c r="AE98" i="4"/>
  <c r="T236" i="4"/>
  <c r="U236" i="4"/>
  <c r="V236" i="4"/>
  <c r="W236" i="4"/>
  <c r="X236" i="4"/>
  <c r="Y236" i="4"/>
  <c r="Z236" i="4"/>
  <c r="AA236" i="4"/>
  <c r="AB236" i="4"/>
  <c r="AC236" i="4"/>
  <c r="AE236" i="4"/>
  <c r="T62" i="4"/>
  <c r="U62" i="4"/>
  <c r="V62" i="4"/>
  <c r="W62" i="4"/>
  <c r="X62" i="4"/>
  <c r="Y62" i="4"/>
  <c r="Z62" i="4"/>
  <c r="AA62" i="4"/>
  <c r="AB62" i="4"/>
  <c r="AC62" i="4"/>
  <c r="AE62" i="4"/>
  <c r="T124" i="4"/>
  <c r="U124" i="4"/>
  <c r="V124" i="4"/>
  <c r="W124" i="4"/>
  <c r="X124" i="4"/>
  <c r="Y124" i="4"/>
  <c r="Z124" i="4"/>
  <c r="AA124" i="4"/>
  <c r="AB124" i="4"/>
  <c r="AC124" i="4"/>
  <c r="AE124" i="4"/>
  <c r="T28" i="4"/>
  <c r="U28" i="4"/>
  <c r="V28" i="4"/>
  <c r="W28" i="4"/>
  <c r="X28" i="4"/>
  <c r="Y28" i="4"/>
  <c r="Z28" i="4"/>
  <c r="AA28" i="4"/>
  <c r="AB28" i="4"/>
  <c r="AC28" i="4"/>
  <c r="AE28" i="4"/>
  <c r="T143" i="4"/>
  <c r="U143" i="4"/>
  <c r="V143" i="4"/>
  <c r="W143" i="4"/>
  <c r="X143" i="4"/>
  <c r="Y143" i="4"/>
  <c r="Z143" i="4"/>
  <c r="AA143" i="4"/>
  <c r="AB143" i="4"/>
  <c r="AC143" i="4"/>
  <c r="AE143" i="4"/>
  <c r="T246" i="4"/>
  <c r="U246" i="4"/>
  <c r="V246" i="4"/>
  <c r="W246" i="4"/>
  <c r="X246" i="4"/>
  <c r="Y246" i="4"/>
  <c r="Z246" i="4"/>
  <c r="AA246" i="4"/>
  <c r="AB246" i="4"/>
  <c r="AC246" i="4"/>
  <c r="AE246" i="4"/>
  <c r="T69" i="4"/>
  <c r="U69" i="4"/>
  <c r="V69" i="4"/>
  <c r="W69" i="4"/>
  <c r="X69" i="4"/>
  <c r="Y69" i="4"/>
  <c r="Z69" i="4"/>
  <c r="AA69" i="4"/>
  <c r="AB69" i="4"/>
  <c r="AC69" i="4"/>
  <c r="AE69" i="4"/>
  <c r="T249" i="4"/>
  <c r="U249" i="4"/>
  <c r="V249" i="4"/>
  <c r="W249" i="4"/>
  <c r="X249" i="4"/>
  <c r="Y249" i="4"/>
  <c r="Z249" i="4"/>
  <c r="AA249" i="4"/>
  <c r="AB249" i="4"/>
  <c r="AC249" i="4"/>
  <c r="AE249" i="4"/>
  <c r="T146" i="4"/>
  <c r="U146" i="4"/>
  <c r="V146" i="4"/>
  <c r="W146" i="4"/>
  <c r="X146" i="4"/>
  <c r="Y146" i="4"/>
  <c r="Z146" i="4"/>
  <c r="AA146" i="4"/>
  <c r="AB146" i="4"/>
  <c r="AC146" i="4"/>
  <c r="AE146" i="4"/>
  <c r="T89" i="4"/>
  <c r="U89" i="4"/>
  <c r="V89" i="4"/>
  <c r="W89" i="4"/>
  <c r="X89" i="4"/>
  <c r="Y89" i="4"/>
  <c r="Z89" i="4"/>
  <c r="AA89" i="4"/>
  <c r="AB89" i="4"/>
  <c r="AC89" i="4"/>
  <c r="AE89" i="4"/>
  <c r="T250" i="4"/>
  <c r="U250" i="4"/>
  <c r="V250" i="4"/>
  <c r="W250" i="4"/>
  <c r="X250" i="4"/>
  <c r="Y250" i="4"/>
  <c r="Z250" i="4"/>
  <c r="AA250" i="4"/>
  <c r="AB250" i="4"/>
  <c r="AC250" i="4"/>
  <c r="AE250" i="4"/>
  <c r="T220" i="4"/>
  <c r="U220" i="4"/>
  <c r="V220" i="4"/>
  <c r="W220" i="4"/>
  <c r="X220" i="4"/>
  <c r="Y220" i="4"/>
  <c r="Z220" i="4"/>
  <c r="AA220" i="4"/>
  <c r="AB220" i="4"/>
  <c r="AC220" i="4"/>
  <c r="AE220" i="4"/>
  <c r="T52" i="4"/>
  <c r="U52" i="4"/>
  <c r="V52" i="4"/>
  <c r="W52" i="4"/>
  <c r="X52" i="4"/>
  <c r="Y52" i="4"/>
  <c r="Z52" i="4"/>
  <c r="AA52" i="4"/>
  <c r="AB52" i="4"/>
  <c r="AC52" i="4"/>
  <c r="AE52" i="4"/>
  <c r="T130" i="4"/>
  <c r="U130" i="4"/>
  <c r="V130" i="4"/>
  <c r="W130" i="4"/>
  <c r="X130" i="4"/>
  <c r="Y130" i="4"/>
  <c r="Z130" i="4"/>
  <c r="AA130" i="4"/>
  <c r="AB130" i="4"/>
  <c r="AC130" i="4"/>
  <c r="AE130" i="4"/>
  <c r="T203" i="4"/>
  <c r="U203" i="4"/>
  <c r="V203" i="4"/>
  <c r="W203" i="4"/>
  <c r="X203" i="4"/>
  <c r="Y203" i="4"/>
  <c r="Z203" i="4"/>
  <c r="AA203" i="4"/>
  <c r="AB203" i="4"/>
  <c r="AC203" i="4"/>
  <c r="AE203" i="4"/>
  <c r="T61" i="4"/>
  <c r="U61" i="4"/>
  <c r="V61" i="4"/>
  <c r="W61" i="4"/>
  <c r="X61" i="4"/>
  <c r="Y61" i="4"/>
  <c r="Z61" i="4"/>
  <c r="AA61" i="4"/>
  <c r="AB61" i="4"/>
  <c r="AC61" i="4"/>
  <c r="AE61" i="4"/>
  <c r="T165" i="4"/>
  <c r="U165" i="4"/>
  <c r="V165" i="4"/>
  <c r="W165" i="4"/>
  <c r="X165" i="4"/>
  <c r="Y165" i="4"/>
  <c r="Z165" i="4"/>
  <c r="AA165" i="4"/>
  <c r="AB165" i="4"/>
  <c r="AC165" i="4"/>
  <c r="AE165" i="4"/>
  <c r="T102" i="4"/>
  <c r="U102" i="4"/>
  <c r="V102" i="4"/>
  <c r="W102" i="4"/>
  <c r="X102" i="4"/>
  <c r="Y102" i="4"/>
  <c r="Z102" i="4"/>
  <c r="AA102" i="4"/>
  <c r="AB102" i="4"/>
  <c r="AC102" i="4"/>
  <c r="AE102" i="4"/>
  <c r="T60" i="4"/>
  <c r="U60" i="4"/>
  <c r="V60" i="4"/>
  <c r="W60" i="4"/>
  <c r="X60" i="4"/>
  <c r="Y60" i="4"/>
  <c r="Z60" i="4"/>
  <c r="AA60" i="4"/>
  <c r="AB60" i="4"/>
  <c r="AC60" i="4"/>
  <c r="AE60" i="4"/>
  <c r="T265" i="4"/>
  <c r="U265" i="4"/>
  <c r="V265" i="4"/>
  <c r="W265" i="4"/>
  <c r="X265" i="4"/>
  <c r="Y265" i="4"/>
  <c r="Z265" i="4"/>
  <c r="AA265" i="4"/>
  <c r="AB265" i="4"/>
  <c r="AC265" i="4"/>
  <c r="AE265" i="4"/>
  <c r="T126" i="4"/>
  <c r="U126" i="4"/>
  <c r="V126" i="4"/>
  <c r="W126" i="4"/>
  <c r="X126" i="4"/>
  <c r="Y126" i="4"/>
  <c r="Z126" i="4"/>
  <c r="AA126" i="4"/>
  <c r="AB126" i="4"/>
  <c r="AC126" i="4"/>
  <c r="AE126" i="4"/>
  <c r="T11" i="4"/>
  <c r="U11" i="4"/>
  <c r="V11" i="4"/>
  <c r="W11" i="4"/>
  <c r="X11" i="4"/>
  <c r="Y11" i="4"/>
  <c r="Z11" i="4"/>
  <c r="AA11" i="4"/>
  <c r="AB11" i="4"/>
  <c r="AC11" i="4"/>
  <c r="AE11" i="4"/>
  <c r="T96" i="4"/>
  <c r="U96" i="4"/>
  <c r="V96" i="4"/>
  <c r="W96" i="4"/>
  <c r="X96" i="4"/>
  <c r="Y96" i="4"/>
  <c r="Z96" i="4"/>
  <c r="AA96" i="4"/>
  <c r="AB96" i="4"/>
  <c r="AC96" i="4"/>
  <c r="AE96" i="4"/>
  <c r="T151" i="4"/>
  <c r="U151" i="4"/>
  <c r="V151" i="4"/>
  <c r="W151" i="4"/>
  <c r="X151" i="4"/>
  <c r="Y151" i="4"/>
  <c r="Z151" i="4"/>
  <c r="AA151" i="4"/>
  <c r="AB151" i="4"/>
  <c r="AC151" i="4"/>
  <c r="AE151" i="4"/>
  <c r="T140" i="4"/>
  <c r="U140" i="4"/>
  <c r="V140" i="4"/>
  <c r="W140" i="4"/>
  <c r="X140" i="4"/>
  <c r="Y140" i="4"/>
  <c r="Z140" i="4"/>
  <c r="AA140" i="4"/>
  <c r="AB140" i="4"/>
  <c r="AC140" i="4"/>
  <c r="AE140" i="4"/>
  <c r="T173" i="4"/>
  <c r="U173" i="4"/>
  <c r="V173" i="4"/>
  <c r="W173" i="4"/>
  <c r="X173" i="4"/>
  <c r="Y173" i="4"/>
  <c r="Z173" i="4"/>
  <c r="AA173" i="4"/>
  <c r="AB173" i="4"/>
  <c r="AC173" i="4"/>
  <c r="AE173" i="4"/>
  <c r="T160" i="4"/>
  <c r="U160" i="4"/>
  <c r="V160" i="4"/>
  <c r="W160" i="4"/>
  <c r="X160" i="4"/>
  <c r="Y160" i="4"/>
  <c r="Z160" i="4"/>
  <c r="AA160" i="4"/>
  <c r="AB160" i="4"/>
  <c r="AC160" i="4"/>
  <c r="AE160" i="4"/>
  <c r="T194" i="4"/>
  <c r="U194" i="4"/>
  <c r="V194" i="4"/>
  <c r="W194" i="4"/>
  <c r="X194" i="4"/>
  <c r="Y194" i="4"/>
  <c r="Z194" i="4"/>
  <c r="AA194" i="4"/>
  <c r="AB194" i="4"/>
  <c r="AC194" i="4"/>
  <c r="AE194" i="4"/>
  <c r="T131" i="4"/>
  <c r="U131" i="4"/>
  <c r="V131" i="4"/>
  <c r="W131" i="4"/>
  <c r="X131" i="4"/>
  <c r="Y131" i="4"/>
  <c r="Z131" i="4"/>
  <c r="AA131" i="4"/>
  <c r="AB131" i="4"/>
  <c r="AC131" i="4"/>
  <c r="AE131" i="4"/>
  <c r="T201" i="4"/>
  <c r="U201" i="4"/>
  <c r="V201" i="4"/>
  <c r="W201" i="4"/>
  <c r="X201" i="4"/>
  <c r="Y201" i="4"/>
  <c r="Z201" i="4"/>
  <c r="AA201" i="4"/>
  <c r="AB201" i="4"/>
  <c r="AC201" i="4"/>
  <c r="AE201" i="4"/>
  <c r="T225" i="4"/>
  <c r="U225" i="4"/>
  <c r="V225" i="4"/>
  <c r="W225" i="4"/>
  <c r="X225" i="4"/>
  <c r="Y225" i="4"/>
  <c r="Z225" i="4"/>
  <c r="AA225" i="4"/>
  <c r="AB225" i="4"/>
  <c r="AC225" i="4"/>
  <c r="AE225" i="4"/>
  <c r="T93" i="4"/>
  <c r="U93" i="4"/>
  <c r="V93" i="4"/>
  <c r="W93" i="4"/>
  <c r="X93" i="4"/>
  <c r="Y93" i="4"/>
  <c r="Z93" i="4"/>
  <c r="AA93" i="4"/>
  <c r="AB93" i="4"/>
  <c r="AC93" i="4"/>
  <c r="AE93" i="4"/>
  <c r="T24" i="4"/>
  <c r="U24" i="4"/>
  <c r="V24" i="4"/>
  <c r="W24" i="4"/>
  <c r="X24" i="4"/>
  <c r="Y24" i="4"/>
  <c r="Z24" i="4"/>
  <c r="AA24" i="4"/>
  <c r="AB24" i="4"/>
  <c r="AC24" i="4"/>
  <c r="AE24" i="4"/>
  <c r="T166" i="4"/>
  <c r="U166" i="4"/>
  <c r="V166" i="4"/>
  <c r="W166" i="4"/>
  <c r="X166" i="4"/>
  <c r="Y166" i="4"/>
  <c r="Z166" i="4"/>
  <c r="AA166" i="4"/>
  <c r="AB166" i="4"/>
  <c r="AC166" i="4"/>
  <c r="AE166" i="4"/>
  <c r="T90" i="4"/>
  <c r="U90" i="4"/>
  <c r="V90" i="4"/>
  <c r="W90" i="4"/>
  <c r="X90" i="4"/>
  <c r="Y90" i="4"/>
  <c r="Z90" i="4"/>
  <c r="AA90" i="4"/>
  <c r="AB90" i="4"/>
  <c r="AC90" i="4"/>
  <c r="AE90" i="4"/>
  <c r="T41" i="4"/>
  <c r="U41" i="4"/>
  <c r="V41" i="4"/>
  <c r="W41" i="4"/>
  <c r="X41" i="4"/>
  <c r="Y41" i="4"/>
  <c r="Z41" i="4"/>
  <c r="AA41" i="4"/>
  <c r="AB41" i="4"/>
  <c r="AC41" i="4"/>
  <c r="AE41" i="4"/>
  <c r="T121" i="4"/>
  <c r="U121" i="4"/>
  <c r="V121" i="4"/>
  <c r="W121" i="4"/>
  <c r="X121" i="4"/>
  <c r="Y121" i="4"/>
  <c r="Z121" i="4"/>
  <c r="AA121" i="4"/>
  <c r="AB121" i="4"/>
  <c r="AC121" i="4"/>
  <c r="AE121" i="4"/>
  <c r="T12" i="4"/>
  <c r="U12" i="4"/>
  <c r="V12" i="4"/>
  <c r="W12" i="4"/>
  <c r="X12" i="4"/>
  <c r="Y12" i="4"/>
  <c r="Z12" i="4"/>
  <c r="AA12" i="4"/>
  <c r="AB12" i="4"/>
  <c r="AC12" i="4"/>
  <c r="AE12" i="4"/>
  <c r="T87" i="4"/>
  <c r="U87" i="4"/>
  <c r="V87" i="4"/>
  <c r="W87" i="4"/>
  <c r="X87" i="4"/>
  <c r="Y87" i="4"/>
  <c r="Z87" i="4"/>
  <c r="AA87" i="4"/>
  <c r="AB87" i="4"/>
  <c r="AC87" i="4"/>
  <c r="AE87" i="4"/>
  <c r="T17" i="4"/>
  <c r="U17" i="4"/>
  <c r="V17" i="4"/>
  <c r="W17" i="4"/>
  <c r="X17" i="4"/>
  <c r="Y17" i="4"/>
  <c r="Z17" i="4"/>
  <c r="AA17" i="4"/>
  <c r="AB17" i="4"/>
  <c r="AC17" i="4"/>
  <c r="AE17" i="4"/>
  <c r="T187" i="4"/>
  <c r="U187" i="4"/>
  <c r="V187" i="4"/>
  <c r="W187" i="4"/>
  <c r="X187" i="4"/>
  <c r="Y187" i="4"/>
  <c r="Z187" i="4"/>
  <c r="AA187" i="4"/>
  <c r="AB187" i="4"/>
  <c r="AC187" i="4"/>
  <c r="AE187" i="4"/>
  <c r="T259" i="4"/>
  <c r="U259" i="4"/>
  <c r="V259" i="4"/>
  <c r="W259" i="4"/>
  <c r="X259" i="4"/>
  <c r="Y259" i="4"/>
  <c r="Z259" i="4"/>
  <c r="AA259" i="4"/>
  <c r="AB259" i="4"/>
  <c r="AC259" i="4"/>
  <c r="AE259" i="4"/>
  <c r="T219" i="4"/>
  <c r="U219" i="4"/>
  <c r="V219" i="4"/>
  <c r="W219" i="4"/>
  <c r="X219" i="4"/>
  <c r="Y219" i="4"/>
  <c r="Z219" i="4"/>
  <c r="AA219" i="4"/>
  <c r="AB219" i="4"/>
  <c r="AC219" i="4"/>
  <c r="AE219" i="4"/>
  <c r="T86" i="4"/>
  <c r="U86" i="4"/>
  <c r="V86" i="4"/>
  <c r="W86" i="4"/>
  <c r="X86" i="4"/>
  <c r="Y86" i="4"/>
  <c r="Z86" i="4"/>
  <c r="AA86" i="4"/>
  <c r="AB86" i="4"/>
  <c r="AC86" i="4"/>
  <c r="AE86" i="4"/>
  <c r="T216" i="4"/>
  <c r="U216" i="4"/>
  <c r="V216" i="4"/>
  <c r="W216" i="4"/>
  <c r="X216" i="4"/>
  <c r="Y216" i="4"/>
  <c r="Z216" i="4"/>
  <c r="AA216" i="4"/>
  <c r="AB216" i="4"/>
  <c r="AC216" i="4"/>
  <c r="AE216" i="4"/>
  <c r="T197" i="4"/>
  <c r="U197" i="4"/>
  <c r="V197" i="4"/>
  <c r="W197" i="4"/>
  <c r="X197" i="4"/>
  <c r="Y197" i="4"/>
  <c r="Z197" i="4"/>
  <c r="AA197" i="4"/>
  <c r="AB197" i="4"/>
  <c r="AC197" i="4"/>
  <c r="AE197" i="4"/>
  <c r="T30" i="4"/>
  <c r="U30" i="4"/>
  <c r="V30" i="4"/>
  <c r="W30" i="4"/>
  <c r="X30" i="4"/>
  <c r="Y30" i="4"/>
  <c r="Z30" i="4"/>
  <c r="AA30" i="4"/>
  <c r="AB30" i="4"/>
  <c r="AC30" i="4"/>
  <c r="AE30" i="4"/>
  <c r="T35" i="4"/>
  <c r="U35" i="4"/>
  <c r="V35" i="4"/>
  <c r="W35" i="4"/>
  <c r="X35" i="4"/>
  <c r="Y35" i="4"/>
  <c r="Z35" i="4"/>
  <c r="AA35" i="4"/>
  <c r="AB35" i="4"/>
  <c r="AC35" i="4"/>
  <c r="AE35" i="4"/>
  <c r="T113" i="4"/>
  <c r="U113" i="4"/>
  <c r="V113" i="4"/>
  <c r="W113" i="4"/>
  <c r="X113" i="4"/>
  <c r="Y113" i="4"/>
  <c r="Z113" i="4"/>
  <c r="AA113" i="4"/>
  <c r="AB113" i="4"/>
  <c r="AC113" i="4"/>
  <c r="AE113" i="4"/>
  <c r="T99" i="4"/>
  <c r="U99" i="4"/>
  <c r="V99" i="4"/>
  <c r="W99" i="4"/>
  <c r="X99" i="4"/>
  <c r="Y99" i="4"/>
  <c r="Z99" i="4"/>
  <c r="AA99" i="4"/>
  <c r="AB99" i="4"/>
  <c r="AC99" i="4"/>
  <c r="AE99" i="4"/>
  <c r="T162" i="4"/>
  <c r="U162" i="4"/>
  <c r="V162" i="4"/>
  <c r="W162" i="4"/>
  <c r="X162" i="4"/>
  <c r="Y162" i="4"/>
  <c r="Z162" i="4"/>
  <c r="AA162" i="4"/>
  <c r="AB162" i="4"/>
  <c r="AC162" i="4"/>
  <c r="AE162" i="4"/>
  <c r="T244" i="4"/>
  <c r="U244" i="4"/>
  <c r="V244" i="4"/>
  <c r="W244" i="4"/>
  <c r="X244" i="4"/>
  <c r="Y244" i="4"/>
  <c r="Z244" i="4"/>
  <c r="AA244" i="4"/>
  <c r="AB244" i="4"/>
  <c r="AC244" i="4"/>
  <c r="AE244" i="4"/>
  <c r="T267" i="4"/>
  <c r="U267" i="4"/>
  <c r="V267" i="4"/>
  <c r="W267" i="4"/>
  <c r="X267" i="4"/>
  <c r="Y267" i="4"/>
  <c r="Z267" i="4"/>
  <c r="AA267" i="4"/>
  <c r="AB267" i="4"/>
  <c r="AC267" i="4"/>
  <c r="AE267" i="4"/>
  <c r="T154" i="4"/>
  <c r="U154" i="4"/>
  <c r="V154" i="4"/>
  <c r="W154" i="4"/>
  <c r="X154" i="4"/>
  <c r="Y154" i="4"/>
  <c r="Z154" i="4"/>
  <c r="AA154" i="4"/>
  <c r="AB154" i="4"/>
  <c r="AC154" i="4"/>
  <c r="AE154" i="4"/>
  <c r="T78" i="4"/>
  <c r="U78" i="4"/>
  <c r="V78" i="4"/>
  <c r="W78" i="4"/>
  <c r="X78" i="4"/>
  <c r="Y78" i="4"/>
  <c r="Z78" i="4"/>
  <c r="AA78" i="4"/>
  <c r="AB78" i="4"/>
  <c r="AC78" i="4"/>
  <c r="AE78" i="4"/>
  <c r="T58" i="4"/>
  <c r="U58" i="4"/>
  <c r="V58" i="4"/>
  <c r="W58" i="4"/>
  <c r="X58" i="4"/>
  <c r="Y58" i="4"/>
  <c r="Z58" i="4"/>
  <c r="AA58" i="4"/>
  <c r="AB58" i="4"/>
  <c r="AC58" i="4"/>
  <c r="AE58" i="4"/>
  <c r="T57" i="4"/>
  <c r="U57" i="4"/>
  <c r="V57" i="4"/>
  <c r="W57" i="4"/>
  <c r="X57" i="4"/>
  <c r="Y57" i="4"/>
  <c r="Z57" i="4"/>
  <c r="AA57" i="4"/>
  <c r="AB57" i="4"/>
  <c r="AC57" i="4"/>
  <c r="AE57" i="4"/>
  <c r="T112" i="4"/>
  <c r="U112" i="4"/>
  <c r="V112" i="4"/>
  <c r="W112" i="4"/>
  <c r="X112" i="4"/>
  <c r="Y112" i="4"/>
  <c r="Z112" i="4"/>
  <c r="AA112" i="4"/>
  <c r="AB112" i="4"/>
  <c r="AC112" i="4"/>
  <c r="AE112" i="4"/>
  <c r="T141" i="4"/>
  <c r="U141" i="4"/>
  <c r="V141" i="4"/>
  <c r="W141" i="4"/>
  <c r="X141" i="4"/>
  <c r="Y141" i="4"/>
  <c r="Z141" i="4"/>
  <c r="AA141" i="4"/>
  <c r="AB141" i="4"/>
  <c r="AC141" i="4"/>
  <c r="AE141" i="4"/>
  <c r="T240" i="4"/>
  <c r="U240" i="4"/>
  <c r="V240" i="4"/>
  <c r="W240" i="4"/>
  <c r="X240" i="4"/>
  <c r="Y240" i="4"/>
  <c r="Z240" i="4"/>
  <c r="AA240" i="4"/>
  <c r="AB240" i="4"/>
  <c r="AC240" i="4"/>
  <c r="AE240" i="4"/>
  <c r="T45" i="4"/>
  <c r="U45" i="4"/>
  <c r="V45" i="4"/>
  <c r="W45" i="4"/>
  <c r="X45" i="4"/>
  <c r="Y45" i="4"/>
  <c r="Z45" i="4"/>
  <c r="AA45" i="4"/>
  <c r="AB45" i="4"/>
  <c r="AC45" i="4"/>
  <c r="AE45" i="4"/>
  <c r="T18" i="4"/>
  <c r="U18" i="4"/>
  <c r="V18" i="4"/>
  <c r="W18" i="4"/>
  <c r="X18" i="4"/>
  <c r="Y18" i="4"/>
  <c r="Z18" i="4"/>
  <c r="AA18" i="4"/>
  <c r="AB18" i="4"/>
  <c r="AC18" i="4"/>
  <c r="AE18" i="4"/>
  <c r="T9" i="4"/>
  <c r="U9" i="4"/>
  <c r="V9" i="4"/>
  <c r="W9" i="4"/>
  <c r="X9" i="4"/>
  <c r="Y9" i="4"/>
  <c r="Z9" i="4"/>
  <c r="AA9" i="4"/>
  <c r="AB9" i="4"/>
  <c r="AC9" i="4"/>
  <c r="AE9" i="4"/>
  <c r="T25" i="4"/>
  <c r="U25" i="4"/>
  <c r="V25" i="4"/>
  <c r="W25" i="4"/>
  <c r="X25" i="4"/>
  <c r="Y25" i="4"/>
  <c r="Z25" i="4"/>
  <c r="AA25" i="4"/>
  <c r="AB25" i="4"/>
  <c r="AC25" i="4"/>
  <c r="AE25" i="4"/>
  <c r="T135" i="4"/>
  <c r="U135" i="4"/>
  <c r="V135" i="4"/>
  <c r="W135" i="4"/>
  <c r="X135" i="4"/>
  <c r="Y135" i="4"/>
  <c r="Z135" i="4"/>
  <c r="AA135" i="4"/>
  <c r="AB135" i="4"/>
  <c r="AC135" i="4"/>
  <c r="AE135" i="4"/>
  <c r="T136" i="4"/>
  <c r="U136" i="4"/>
  <c r="V136" i="4"/>
  <c r="W136" i="4"/>
  <c r="X136" i="4"/>
  <c r="Y136" i="4"/>
  <c r="Z136" i="4"/>
  <c r="AA136" i="4"/>
  <c r="AB136" i="4"/>
  <c r="AC136" i="4"/>
  <c r="AE136" i="4"/>
  <c r="T217" i="4"/>
  <c r="U217" i="4"/>
  <c r="V217" i="4"/>
  <c r="W217" i="4"/>
  <c r="X217" i="4"/>
  <c r="Y217" i="4"/>
  <c r="Z217" i="4"/>
  <c r="AA217" i="4"/>
  <c r="AB217" i="4"/>
  <c r="AC217" i="4"/>
  <c r="AE217" i="4"/>
  <c r="T80" i="4"/>
  <c r="U80" i="4"/>
  <c r="V80" i="4"/>
  <c r="W80" i="4"/>
  <c r="X80" i="4"/>
  <c r="Y80" i="4"/>
  <c r="Z80" i="4"/>
  <c r="AA80" i="4"/>
  <c r="AB80" i="4"/>
  <c r="AC80" i="4"/>
  <c r="AE80" i="4"/>
  <c r="T34" i="4"/>
  <c r="U34" i="4"/>
  <c r="V34" i="4"/>
  <c r="W34" i="4"/>
  <c r="X34" i="4"/>
  <c r="Y34" i="4"/>
  <c r="Z34" i="4"/>
  <c r="AA34" i="4"/>
  <c r="AB34" i="4"/>
  <c r="AC34" i="4"/>
  <c r="AE34" i="4"/>
  <c r="T149" i="4"/>
  <c r="U149" i="4"/>
  <c r="V149" i="4"/>
  <c r="W149" i="4"/>
  <c r="X149" i="4"/>
  <c r="Y149" i="4"/>
  <c r="Z149" i="4"/>
  <c r="AA149" i="4"/>
  <c r="AB149" i="4"/>
  <c r="AC149" i="4"/>
  <c r="AE149" i="4"/>
  <c r="T222" i="4"/>
  <c r="U222" i="4"/>
  <c r="V222" i="4"/>
  <c r="W222" i="4"/>
  <c r="X222" i="4"/>
  <c r="Y222" i="4"/>
  <c r="Z222" i="4"/>
  <c r="AA222" i="4"/>
  <c r="AB222" i="4"/>
  <c r="AC222" i="4"/>
  <c r="AE222" i="4"/>
  <c r="T232" i="4"/>
  <c r="U232" i="4"/>
  <c r="V232" i="4"/>
  <c r="W232" i="4"/>
  <c r="X232" i="4"/>
  <c r="Y232" i="4"/>
  <c r="Z232" i="4"/>
  <c r="AA232" i="4"/>
  <c r="AB232" i="4"/>
  <c r="AC232" i="4"/>
  <c r="AE232" i="4"/>
  <c r="T168" i="4"/>
  <c r="U168" i="4"/>
  <c r="V168" i="4"/>
  <c r="W168" i="4"/>
  <c r="X168" i="4"/>
  <c r="Y168" i="4"/>
  <c r="Z168" i="4"/>
  <c r="AA168" i="4"/>
  <c r="AB168" i="4"/>
  <c r="AC168" i="4"/>
  <c r="AE168" i="4"/>
  <c r="T49" i="4"/>
  <c r="U49" i="4"/>
  <c r="V49" i="4"/>
  <c r="W49" i="4"/>
  <c r="X49" i="4"/>
  <c r="Y49" i="4"/>
  <c r="Z49" i="4"/>
  <c r="AA49" i="4"/>
  <c r="AB49" i="4"/>
  <c r="AC49" i="4"/>
  <c r="AE49" i="4"/>
  <c r="T14" i="4"/>
  <c r="U14" i="4"/>
  <c r="V14" i="4"/>
  <c r="W14" i="4"/>
  <c r="X14" i="4"/>
  <c r="Y14" i="4"/>
  <c r="Z14" i="4"/>
  <c r="AA14" i="4"/>
  <c r="AB14" i="4"/>
  <c r="AC14" i="4"/>
  <c r="AE14" i="4"/>
  <c r="T239" i="4"/>
  <c r="U239" i="4"/>
  <c r="V239" i="4"/>
  <c r="W239" i="4"/>
  <c r="X239" i="4"/>
  <c r="Y239" i="4"/>
  <c r="Z239" i="4"/>
  <c r="AA239" i="4"/>
  <c r="AB239" i="4"/>
  <c r="AC239" i="4"/>
  <c r="AE239" i="4"/>
  <c r="T6" i="4"/>
  <c r="U6" i="4"/>
  <c r="V6" i="4"/>
  <c r="W6" i="4"/>
  <c r="X6" i="4"/>
  <c r="Y6" i="4"/>
  <c r="Z6" i="4"/>
  <c r="AA6" i="4"/>
  <c r="AB6" i="4"/>
  <c r="AC6" i="4"/>
  <c r="AE6" i="4"/>
  <c r="T247" i="4"/>
  <c r="U247" i="4"/>
  <c r="V247" i="4"/>
  <c r="W247" i="4"/>
  <c r="X247" i="4"/>
  <c r="Y247" i="4"/>
  <c r="Z247" i="4"/>
  <c r="AA247" i="4"/>
  <c r="AB247" i="4"/>
  <c r="AC247" i="4"/>
  <c r="AE247" i="4"/>
  <c r="T214" i="4"/>
  <c r="U214" i="4"/>
  <c r="V214" i="4"/>
  <c r="W214" i="4"/>
  <c r="X214" i="4"/>
  <c r="Y214" i="4"/>
  <c r="Z214" i="4"/>
  <c r="AA214" i="4"/>
  <c r="AB214" i="4"/>
  <c r="AC214" i="4"/>
  <c r="AE214" i="4"/>
  <c r="T254" i="4"/>
  <c r="U254" i="4"/>
  <c r="V254" i="4"/>
  <c r="W254" i="4"/>
  <c r="X254" i="4"/>
  <c r="Y254" i="4"/>
  <c r="Z254" i="4"/>
  <c r="AA254" i="4"/>
  <c r="AB254" i="4"/>
  <c r="AC254" i="4"/>
  <c r="AE254" i="4"/>
  <c r="T85" i="4"/>
  <c r="U85" i="4"/>
  <c r="V85" i="4"/>
  <c r="W85" i="4"/>
  <c r="X85" i="4"/>
  <c r="Y85" i="4"/>
  <c r="Z85" i="4"/>
  <c r="AA85" i="4"/>
  <c r="AB85" i="4"/>
  <c r="AC85" i="4"/>
  <c r="AE85" i="4"/>
  <c r="T260" i="4"/>
  <c r="U260" i="4"/>
  <c r="V260" i="4"/>
  <c r="W260" i="4"/>
  <c r="X260" i="4"/>
  <c r="Y260" i="4"/>
  <c r="Z260" i="4"/>
  <c r="AA260" i="4"/>
  <c r="AB260" i="4"/>
  <c r="AC260" i="4"/>
  <c r="AE260" i="4"/>
  <c r="T133" i="4"/>
  <c r="U133" i="4"/>
  <c r="V133" i="4"/>
  <c r="W133" i="4"/>
  <c r="X133" i="4"/>
  <c r="Y133" i="4"/>
  <c r="Z133" i="4"/>
  <c r="AA133" i="4"/>
  <c r="AB133" i="4"/>
  <c r="AC133" i="4"/>
  <c r="AE133" i="4"/>
  <c r="T104" i="4"/>
  <c r="U104" i="4"/>
  <c r="V104" i="4"/>
  <c r="W104" i="4"/>
  <c r="X104" i="4"/>
  <c r="Y104" i="4"/>
  <c r="Z104" i="4"/>
  <c r="AA104" i="4"/>
  <c r="AB104" i="4"/>
  <c r="AC104" i="4"/>
  <c r="AE104" i="4"/>
  <c r="T186" i="4"/>
  <c r="U186" i="4"/>
  <c r="V186" i="4"/>
  <c r="W186" i="4"/>
  <c r="X186" i="4"/>
  <c r="Y186" i="4"/>
  <c r="Z186" i="4"/>
  <c r="AA186" i="4"/>
  <c r="AB186" i="4"/>
  <c r="AC186" i="4"/>
  <c r="AE186" i="4"/>
  <c r="T65" i="4"/>
  <c r="U65" i="4"/>
  <c r="V65" i="4"/>
  <c r="W65" i="4"/>
  <c r="X65" i="4"/>
  <c r="Y65" i="4"/>
  <c r="Z65" i="4"/>
  <c r="AA65" i="4"/>
  <c r="AB65" i="4"/>
  <c r="AC65" i="4"/>
  <c r="AE65" i="4"/>
  <c r="T175" i="4"/>
  <c r="U175" i="4"/>
  <c r="V175" i="4"/>
  <c r="W175" i="4"/>
  <c r="X175" i="4"/>
  <c r="Y175" i="4"/>
  <c r="Z175" i="4"/>
  <c r="AA175" i="4"/>
  <c r="AB175" i="4"/>
  <c r="AC175" i="4"/>
  <c r="AE175" i="4"/>
  <c r="T119" i="4"/>
  <c r="U119" i="4"/>
  <c r="V119" i="4"/>
  <c r="W119" i="4"/>
  <c r="X119" i="4"/>
  <c r="Y119" i="4"/>
  <c r="Z119" i="4"/>
  <c r="AA119" i="4"/>
  <c r="AB119" i="4"/>
  <c r="AC119" i="4"/>
  <c r="AE119" i="4"/>
  <c r="T15" i="4"/>
  <c r="U15" i="4"/>
  <c r="V15" i="4"/>
  <c r="W15" i="4"/>
  <c r="X15" i="4"/>
  <c r="Y15" i="4"/>
  <c r="Z15" i="4"/>
  <c r="AA15" i="4"/>
  <c r="AB15" i="4"/>
  <c r="AC15" i="4"/>
  <c r="AE15" i="4"/>
  <c r="T51" i="4"/>
  <c r="U51" i="4"/>
  <c r="V51" i="4"/>
  <c r="W51" i="4"/>
  <c r="X51" i="4"/>
  <c r="Y51" i="4"/>
  <c r="Z51" i="4"/>
  <c r="AA51" i="4"/>
  <c r="AB51" i="4"/>
  <c r="AC51" i="4"/>
  <c r="AE51" i="4"/>
  <c r="T46" i="4"/>
  <c r="U46" i="4"/>
  <c r="V46" i="4"/>
  <c r="W46" i="4"/>
  <c r="X46" i="4"/>
  <c r="Y46" i="4"/>
  <c r="Z46" i="4"/>
  <c r="AA46" i="4"/>
  <c r="AB46" i="4"/>
  <c r="AC46" i="4"/>
  <c r="AE46" i="4"/>
  <c r="T97" i="4"/>
  <c r="U97" i="4"/>
  <c r="V97" i="4"/>
  <c r="W97" i="4"/>
  <c r="X97" i="4"/>
  <c r="Y97" i="4"/>
  <c r="Z97" i="4"/>
  <c r="AA97" i="4"/>
  <c r="AB97" i="4"/>
  <c r="AC97" i="4"/>
  <c r="AE97" i="4"/>
  <c r="T101" i="4"/>
  <c r="U101" i="4"/>
  <c r="V101" i="4"/>
  <c r="W101" i="4"/>
  <c r="X101" i="4"/>
  <c r="Y101" i="4"/>
  <c r="Z101" i="4"/>
  <c r="AA101" i="4"/>
  <c r="AB101" i="4"/>
  <c r="AC101" i="4"/>
  <c r="AE101" i="4"/>
  <c r="T92" i="4"/>
  <c r="U92" i="4"/>
  <c r="V92" i="4"/>
  <c r="W92" i="4"/>
  <c r="X92" i="4"/>
  <c r="Y92" i="4"/>
  <c r="Z92" i="4"/>
  <c r="AA92" i="4"/>
  <c r="AB92" i="4"/>
  <c r="AC92" i="4"/>
  <c r="AE92" i="4"/>
  <c r="T21" i="4"/>
  <c r="U21" i="4"/>
  <c r="V21" i="4"/>
  <c r="W21" i="4"/>
  <c r="X21" i="4"/>
  <c r="Y21" i="4"/>
  <c r="Z21" i="4"/>
  <c r="AA21" i="4"/>
  <c r="AB21" i="4"/>
  <c r="AC21" i="4"/>
  <c r="AE21" i="4"/>
  <c r="T125" i="4"/>
  <c r="U125" i="4"/>
  <c r="V125" i="4"/>
  <c r="W125" i="4"/>
  <c r="X125" i="4"/>
  <c r="Y125" i="4"/>
  <c r="Z125" i="4"/>
  <c r="AA125" i="4"/>
  <c r="AB125" i="4"/>
  <c r="AC125" i="4"/>
  <c r="AE125" i="4"/>
  <c r="T158" i="4"/>
  <c r="U158" i="4"/>
  <c r="V158" i="4"/>
  <c r="W158" i="4"/>
  <c r="X158" i="4"/>
  <c r="Y158" i="4"/>
  <c r="Z158" i="4"/>
  <c r="AA158" i="4"/>
  <c r="AB158" i="4"/>
  <c r="AC158" i="4"/>
  <c r="AE158" i="4"/>
  <c r="T169" i="4"/>
  <c r="U169" i="4"/>
  <c r="V169" i="4"/>
  <c r="W169" i="4"/>
  <c r="X169" i="4"/>
  <c r="Y169" i="4"/>
  <c r="Z169" i="4"/>
  <c r="AA169" i="4"/>
  <c r="AB169" i="4"/>
  <c r="AC169" i="4"/>
  <c r="AE169" i="4"/>
  <c r="T243" i="4"/>
  <c r="U243" i="4"/>
  <c r="V243" i="4"/>
  <c r="W243" i="4"/>
  <c r="X243" i="4"/>
  <c r="Y243" i="4"/>
  <c r="Z243" i="4"/>
  <c r="AA243" i="4"/>
  <c r="AB243" i="4"/>
  <c r="AC243" i="4"/>
  <c r="AE243" i="4"/>
  <c r="T123" i="4"/>
  <c r="U123" i="4"/>
  <c r="V123" i="4"/>
  <c r="W123" i="4"/>
  <c r="X123" i="4"/>
  <c r="Y123" i="4"/>
  <c r="Z123" i="4"/>
  <c r="AA123" i="4"/>
  <c r="AB123" i="4"/>
  <c r="AC123" i="4"/>
  <c r="AE123" i="4"/>
  <c r="T164" i="4"/>
  <c r="U164" i="4"/>
  <c r="V164" i="4"/>
  <c r="W164" i="4"/>
  <c r="X164" i="4"/>
  <c r="Y164" i="4"/>
  <c r="Z164" i="4"/>
  <c r="AA164" i="4"/>
  <c r="AB164" i="4"/>
  <c r="AC164" i="4"/>
  <c r="AE164" i="4"/>
  <c r="T50" i="4"/>
  <c r="U50" i="4"/>
  <c r="V50" i="4"/>
  <c r="W50" i="4"/>
  <c r="X50" i="4"/>
  <c r="Y50" i="4"/>
  <c r="Z50" i="4"/>
  <c r="AA50" i="4"/>
  <c r="AB50" i="4"/>
  <c r="AC50" i="4"/>
  <c r="AE50" i="4"/>
  <c r="T74" i="4"/>
  <c r="U74" i="4"/>
  <c r="V74" i="4"/>
  <c r="W74" i="4"/>
  <c r="X74" i="4"/>
  <c r="Y74" i="4"/>
  <c r="Z74" i="4"/>
  <c r="AA74" i="4"/>
  <c r="AB74" i="4"/>
  <c r="AC74" i="4"/>
  <c r="AE74" i="4"/>
  <c r="T19" i="4"/>
  <c r="U19" i="4"/>
  <c r="V19" i="4"/>
  <c r="W19" i="4"/>
  <c r="X19" i="4"/>
  <c r="Y19" i="4"/>
  <c r="Z19" i="4"/>
  <c r="AA19" i="4"/>
  <c r="AB19" i="4"/>
  <c r="AC19" i="4"/>
  <c r="AE19" i="4"/>
  <c r="T137" i="4"/>
  <c r="U137" i="4"/>
  <c r="V137" i="4"/>
  <c r="W137" i="4"/>
  <c r="X137" i="4"/>
  <c r="Y137" i="4"/>
  <c r="Z137" i="4"/>
  <c r="AA137" i="4"/>
  <c r="AB137" i="4"/>
  <c r="AC137" i="4"/>
  <c r="AE137" i="4"/>
  <c r="T183" i="4"/>
  <c r="U183" i="4"/>
  <c r="V183" i="4"/>
  <c r="W183" i="4"/>
  <c r="X183" i="4"/>
  <c r="Y183" i="4"/>
  <c r="Z183" i="4"/>
  <c r="AA183" i="4"/>
  <c r="AB183" i="4"/>
  <c r="AC183" i="4"/>
  <c r="AE183" i="4"/>
  <c r="T77" i="4"/>
  <c r="U77" i="4"/>
  <c r="V77" i="4"/>
  <c r="W77" i="4"/>
  <c r="X77" i="4"/>
  <c r="Y77" i="4"/>
  <c r="Z77" i="4"/>
  <c r="AA77" i="4"/>
  <c r="AB77" i="4"/>
  <c r="AC77" i="4"/>
  <c r="AE77" i="4"/>
  <c r="T29" i="4"/>
  <c r="U29" i="4"/>
  <c r="V29" i="4"/>
  <c r="W29" i="4"/>
  <c r="X29" i="4"/>
  <c r="Y29" i="4"/>
  <c r="Z29" i="4"/>
  <c r="AA29" i="4"/>
  <c r="AB29" i="4"/>
  <c r="AC29" i="4"/>
  <c r="AE29" i="4"/>
  <c r="T134" i="4"/>
  <c r="U134" i="4"/>
  <c r="V134" i="4"/>
  <c r="W134" i="4"/>
  <c r="X134" i="4"/>
  <c r="Y134" i="4"/>
  <c r="Z134" i="4"/>
  <c r="AA134" i="4"/>
  <c r="AB134" i="4"/>
  <c r="AC134" i="4"/>
  <c r="AE134" i="4"/>
  <c r="T269" i="4"/>
  <c r="U269" i="4"/>
  <c r="V269" i="4"/>
  <c r="W269" i="4"/>
  <c r="X269" i="4"/>
  <c r="Y269" i="4"/>
  <c r="Z269" i="4"/>
  <c r="AA269" i="4"/>
  <c r="AB269" i="4"/>
  <c r="AC269" i="4"/>
  <c r="AE269" i="4"/>
  <c r="T32" i="4"/>
  <c r="U32" i="4"/>
  <c r="V32" i="4"/>
  <c r="W32" i="4"/>
  <c r="X32" i="4"/>
  <c r="Y32" i="4"/>
  <c r="Z32" i="4"/>
  <c r="AA32" i="4"/>
  <c r="AB32" i="4"/>
  <c r="AC32" i="4"/>
  <c r="AE32" i="4"/>
  <c r="T221" i="4"/>
  <c r="U221" i="4"/>
  <c r="V221" i="4"/>
  <c r="W221" i="4"/>
  <c r="X221" i="4"/>
  <c r="Y221" i="4"/>
  <c r="Z221" i="4"/>
  <c r="AA221" i="4"/>
  <c r="AB221" i="4"/>
  <c r="AC221" i="4"/>
  <c r="AE221" i="4"/>
  <c r="T145" i="4"/>
  <c r="U145" i="4"/>
  <c r="V145" i="4"/>
  <c r="W145" i="4"/>
  <c r="X145" i="4"/>
  <c r="Y145" i="4"/>
  <c r="Z145" i="4"/>
  <c r="AA145" i="4"/>
  <c r="AB145" i="4"/>
  <c r="AC145" i="4"/>
  <c r="AE145" i="4"/>
  <c r="T129" i="4"/>
  <c r="U129" i="4"/>
  <c r="V129" i="4"/>
  <c r="W129" i="4"/>
  <c r="X129" i="4"/>
  <c r="Y129" i="4"/>
  <c r="Z129" i="4"/>
  <c r="AA129" i="4"/>
  <c r="AB129" i="4"/>
  <c r="AC129" i="4"/>
  <c r="AE129" i="4"/>
  <c r="T116" i="4"/>
  <c r="U116" i="4"/>
  <c r="V116" i="4"/>
  <c r="W116" i="4"/>
  <c r="X116" i="4"/>
  <c r="Y116" i="4"/>
  <c r="Z116" i="4"/>
  <c r="AA116" i="4"/>
  <c r="AB116" i="4"/>
  <c r="AC116" i="4"/>
  <c r="AE116" i="4"/>
  <c r="T230" i="4"/>
  <c r="U230" i="4"/>
  <c r="V230" i="4"/>
  <c r="W230" i="4"/>
  <c r="X230" i="4"/>
  <c r="Y230" i="4"/>
  <c r="Z230" i="4"/>
  <c r="AA230" i="4"/>
  <c r="AB230" i="4"/>
  <c r="AC230" i="4"/>
  <c r="AE230" i="4"/>
  <c r="T226" i="4"/>
  <c r="U226" i="4"/>
  <c r="V226" i="4"/>
  <c r="W226" i="4"/>
  <c r="X226" i="4"/>
  <c r="Y226" i="4"/>
  <c r="Z226" i="4"/>
  <c r="AA226" i="4"/>
  <c r="AB226" i="4"/>
  <c r="AC226" i="4"/>
  <c r="AE226" i="4"/>
  <c r="T31" i="4"/>
  <c r="U31" i="4"/>
  <c r="V31" i="4"/>
  <c r="W31" i="4"/>
  <c r="X31" i="4"/>
  <c r="Y31" i="4"/>
  <c r="Z31" i="4"/>
  <c r="AA31" i="4"/>
  <c r="AB31" i="4"/>
  <c r="AC31" i="4"/>
  <c r="AE31" i="4"/>
  <c r="T128" i="4"/>
  <c r="U128" i="4"/>
  <c r="V128" i="4"/>
  <c r="W128" i="4"/>
  <c r="X128" i="4"/>
  <c r="Y128" i="4"/>
  <c r="Z128" i="4"/>
  <c r="AA128" i="4"/>
  <c r="AB128" i="4"/>
  <c r="AC128" i="4"/>
  <c r="AE128" i="4"/>
  <c r="T38" i="4"/>
  <c r="U38" i="4"/>
  <c r="V38" i="4"/>
  <c r="W38" i="4"/>
  <c r="X38" i="4"/>
  <c r="Y38" i="4"/>
  <c r="Z38" i="4"/>
  <c r="AA38" i="4"/>
  <c r="AB38" i="4"/>
  <c r="AC38" i="4"/>
  <c r="AE38" i="4"/>
  <c r="T118" i="4"/>
  <c r="U118" i="4"/>
  <c r="V118" i="4"/>
  <c r="W118" i="4"/>
  <c r="X118" i="4"/>
  <c r="Y118" i="4"/>
  <c r="Z118" i="4"/>
  <c r="AA118" i="4"/>
  <c r="AB118" i="4"/>
  <c r="AC118" i="4"/>
  <c r="AE118" i="4"/>
  <c r="T229" i="4"/>
  <c r="U229" i="4"/>
  <c r="V229" i="4"/>
  <c r="W229" i="4"/>
  <c r="X229" i="4"/>
  <c r="Y229" i="4"/>
  <c r="Z229" i="4"/>
  <c r="AA229" i="4"/>
  <c r="AB229" i="4"/>
  <c r="AC229" i="4"/>
  <c r="AE229" i="4"/>
  <c r="T109" i="4"/>
  <c r="U109" i="4"/>
  <c r="V109" i="4"/>
  <c r="W109" i="4"/>
  <c r="X109" i="4"/>
  <c r="Y109" i="4"/>
  <c r="Z109" i="4"/>
  <c r="AA109" i="4"/>
  <c r="AB109" i="4"/>
  <c r="AC109" i="4"/>
  <c r="AE109" i="4"/>
  <c r="T55" i="4"/>
  <c r="U55" i="4"/>
  <c r="V55" i="4"/>
  <c r="W55" i="4"/>
  <c r="X55" i="4"/>
  <c r="Y55" i="4"/>
  <c r="Z55" i="4"/>
  <c r="AA55" i="4"/>
  <c r="AB55" i="4"/>
  <c r="AC55" i="4"/>
  <c r="AE55" i="4"/>
  <c r="T117" i="4"/>
  <c r="U117" i="4"/>
  <c r="V117" i="4"/>
  <c r="W117" i="4"/>
  <c r="X117" i="4"/>
  <c r="Y117" i="4"/>
  <c r="Z117" i="4"/>
  <c r="AA117" i="4"/>
  <c r="AB117" i="4"/>
  <c r="AC117" i="4"/>
  <c r="AE117" i="4"/>
  <c r="T234" i="4"/>
  <c r="U234" i="4"/>
  <c r="V234" i="4"/>
  <c r="W234" i="4"/>
  <c r="X234" i="4"/>
  <c r="Y234" i="4"/>
  <c r="Z234" i="4"/>
  <c r="AA234" i="4"/>
  <c r="AB234" i="4"/>
  <c r="AC234" i="4"/>
  <c r="AE234" i="4"/>
  <c r="T200" i="4"/>
  <c r="U200" i="4"/>
  <c r="V200" i="4"/>
  <c r="W200" i="4"/>
  <c r="X200" i="4"/>
  <c r="Y200" i="4"/>
  <c r="Z200" i="4"/>
  <c r="AA200" i="4"/>
  <c r="AB200" i="4"/>
  <c r="AC200" i="4"/>
  <c r="AE200" i="4"/>
  <c r="T33" i="4"/>
  <c r="U33" i="4"/>
  <c r="V33" i="4"/>
  <c r="W33" i="4"/>
  <c r="X33" i="4"/>
  <c r="Y33" i="4"/>
  <c r="Z33" i="4"/>
  <c r="AA33" i="4"/>
  <c r="AB33" i="4"/>
  <c r="AC33" i="4"/>
  <c r="AE33" i="4"/>
  <c r="T5" i="4"/>
  <c r="U5" i="4"/>
  <c r="V5" i="4"/>
  <c r="W5" i="4"/>
  <c r="X5" i="4"/>
  <c r="Y5" i="4"/>
  <c r="Z5" i="4"/>
  <c r="AA5" i="4"/>
  <c r="AB5" i="4"/>
  <c r="AC5" i="4"/>
  <c r="AE5" i="4"/>
  <c r="T157" i="4"/>
  <c r="U157" i="4"/>
  <c r="V157" i="4"/>
  <c r="W157" i="4"/>
  <c r="X157" i="4"/>
  <c r="Y157" i="4"/>
  <c r="Z157" i="4"/>
  <c r="AA157" i="4"/>
  <c r="AB157" i="4"/>
  <c r="AC157" i="4"/>
  <c r="AE157" i="4"/>
  <c r="T268" i="4"/>
  <c r="U268" i="4"/>
  <c r="V268" i="4"/>
  <c r="W268" i="4"/>
  <c r="X268" i="4"/>
  <c r="Y268" i="4"/>
  <c r="Z268" i="4"/>
  <c r="AA268" i="4"/>
  <c r="AB268" i="4"/>
  <c r="AC268" i="4"/>
  <c r="AE268" i="4"/>
  <c r="T36" i="4"/>
  <c r="U36" i="4"/>
  <c r="V36" i="4"/>
  <c r="W36" i="4"/>
  <c r="X36" i="4"/>
  <c r="Y36" i="4"/>
  <c r="Z36" i="4"/>
  <c r="AA36" i="4"/>
  <c r="AB36" i="4"/>
  <c r="AC36" i="4"/>
  <c r="AE36" i="4"/>
  <c r="T212" i="4"/>
  <c r="U212" i="4"/>
  <c r="V212" i="4"/>
  <c r="W212" i="4"/>
  <c r="X212" i="4"/>
  <c r="Y212" i="4"/>
  <c r="Z212" i="4"/>
  <c r="AA212" i="4"/>
  <c r="AB212" i="4"/>
  <c r="AC212" i="4"/>
  <c r="AE212" i="4"/>
  <c r="T114" i="4"/>
  <c r="U114" i="4"/>
  <c r="V114" i="4"/>
  <c r="W114" i="4"/>
  <c r="X114" i="4"/>
  <c r="Y114" i="4"/>
  <c r="Z114" i="4"/>
  <c r="AA114" i="4"/>
  <c r="AB114" i="4"/>
  <c r="AC114" i="4"/>
  <c r="AE114" i="4"/>
  <c r="T68" i="4"/>
  <c r="U68" i="4"/>
  <c r="V68" i="4"/>
  <c r="W68" i="4"/>
  <c r="X68" i="4"/>
  <c r="Y68" i="4"/>
  <c r="Z68" i="4"/>
  <c r="AA68" i="4"/>
  <c r="AB68" i="4"/>
  <c r="AC68" i="4"/>
  <c r="AE68" i="4"/>
  <c r="T3" i="4"/>
  <c r="U3" i="4"/>
  <c r="V3" i="4"/>
  <c r="W3" i="4"/>
  <c r="X3" i="4"/>
  <c r="Y3" i="4"/>
  <c r="Z3" i="4"/>
  <c r="AA3" i="4"/>
  <c r="AB3" i="4"/>
  <c r="AC3" i="4"/>
  <c r="AE3" i="4"/>
  <c r="T188" i="4"/>
  <c r="U188" i="4"/>
  <c r="V188" i="4"/>
  <c r="W188" i="4"/>
  <c r="X188" i="4"/>
  <c r="Y188" i="4"/>
  <c r="Z188" i="4"/>
  <c r="AA188" i="4"/>
  <c r="AB188" i="4"/>
  <c r="AC188" i="4"/>
  <c r="AE188" i="4"/>
  <c r="T111" i="4"/>
  <c r="U111" i="4"/>
  <c r="V111" i="4"/>
  <c r="W111" i="4"/>
  <c r="X111" i="4"/>
  <c r="Y111" i="4"/>
  <c r="Z111" i="4"/>
  <c r="AA111" i="4"/>
  <c r="AB111" i="4"/>
  <c r="AC111" i="4"/>
  <c r="AE111" i="4"/>
  <c r="T231" i="4"/>
  <c r="U231" i="4"/>
  <c r="V231" i="4"/>
  <c r="W231" i="4"/>
  <c r="X231" i="4"/>
  <c r="Y231" i="4"/>
  <c r="Z231" i="4"/>
  <c r="AA231" i="4"/>
  <c r="AB231" i="4"/>
  <c r="AC231" i="4"/>
  <c r="AE231" i="4"/>
  <c r="T227" i="4"/>
  <c r="U227" i="4"/>
  <c r="V227" i="4"/>
  <c r="W227" i="4"/>
  <c r="X227" i="4"/>
  <c r="Y227" i="4"/>
  <c r="Z227" i="4"/>
  <c r="AA227" i="4"/>
  <c r="AB227" i="4"/>
  <c r="AC227" i="4"/>
  <c r="AE227" i="4"/>
  <c r="T127" i="4"/>
  <c r="U127" i="4"/>
  <c r="V127" i="4"/>
  <c r="W127" i="4"/>
  <c r="X127" i="4"/>
  <c r="Y127" i="4"/>
  <c r="Z127" i="4"/>
  <c r="AA127" i="4"/>
  <c r="AB127" i="4"/>
  <c r="AC127" i="4"/>
  <c r="AE127" i="4"/>
  <c r="T241" i="4"/>
  <c r="U241" i="4"/>
  <c r="V241" i="4"/>
  <c r="W241" i="4"/>
  <c r="X241" i="4"/>
  <c r="Y241" i="4"/>
  <c r="Z241" i="4"/>
  <c r="AA241" i="4"/>
  <c r="AB241" i="4"/>
  <c r="AC241" i="4"/>
  <c r="AE241" i="4"/>
  <c r="T139" i="4"/>
  <c r="U139" i="4"/>
  <c r="V139" i="4"/>
  <c r="W139" i="4"/>
  <c r="X139" i="4"/>
  <c r="Y139" i="4"/>
  <c r="Z139" i="4"/>
  <c r="AA139" i="4"/>
  <c r="AB139" i="4"/>
  <c r="AC139" i="4"/>
  <c r="AE139" i="4"/>
  <c r="T235" i="4"/>
  <c r="U235" i="4"/>
  <c r="V235" i="4"/>
  <c r="W235" i="4"/>
  <c r="X235" i="4"/>
  <c r="Y235" i="4"/>
  <c r="Z235" i="4"/>
  <c r="AA235" i="4"/>
  <c r="AB235" i="4"/>
  <c r="AC235" i="4"/>
  <c r="AE235" i="4"/>
  <c r="T105" i="4"/>
  <c r="U105" i="4"/>
  <c r="V105" i="4"/>
  <c r="W105" i="4"/>
  <c r="X105" i="4"/>
  <c r="Y105" i="4"/>
  <c r="Z105" i="4"/>
  <c r="AA105" i="4"/>
  <c r="AB105" i="4"/>
  <c r="AC105" i="4"/>
  <c r="AE105" i="4"/>
  <c r="T263" i="4"/>
  <c r="U263" i="4"/>
  <c r="V263" i="4"/>
  <c r="W263" i="4"/>
  <c r="X263" i="4"/>
  <c r="Y263" i="4"/>
  <c r="Z263" i="4"/>
  <c r="AA263" i="4"/>
  <c r="AB263" i="4"/>
  <c r="AC263" i="4"/>
  <c r="AE263" i="4"/>
  <c r="T196" i="4"/>
  <c r="U196" i="4"/>
  <c r="V196" i="4"/>
  <c r="W196" i="4"/>
  <c r="X196" i="4"/>
  <c r="Y196" i="4"/>
  <c r="Z196" i="4"/>
  <c r="AA196" i="4"/>
  <c r="AB196" i="4"/>
  <c r="AC196" i="4"/>
  <c r="AE196" i="4"/>
  <c r="T26" i="4"/>
  <c r="U26" i="4"/>
  <c r="V26" i="4"/>
  <c r="W26" i="4"/>
  <c r="X26" i="4"/>
  <c r="Y26" i="4"/>
  <c r="Z26" i="4"/>
  <c r="AA26" i="4"/>
  <c r="AB26" i="4"/>
  <c r="AC26" i="4"/>
  <c r="AE26" i="4"/>
  <c r="T177" i="4"/>
  <c r="U177" i="4"/>
  <c r="V177" i="4"/>
  <c r="W177" i="4"/>
  <c r="X177" i="4"/>
  <c r="Y177" i="4"/>
  <c r="Z177" i="4"/>
  <c r="AA177" i="4"/>
  <c r="AB177" i="4"/>
  <c r="AC177" i="4"/>
  <c r="AE177" i="4"/>
  <c r="T10" i="4"/>
  <c r="U10" i="4"/>
  <c r="V10" i="4"/>
  <c r="W10" i="4"/>
  <c r="X10" i="4"/>
  <c r="Y10" i="4"/>
  <c r="Z10" i="4"/>
  <c r="AA10" i="4"/>
  <c r="AB10" i="4"/>
  <c r="AC10" i="4"/>
  <c r="AE10" i="4"/>
  <c r="T66" i="4"/>
  <c r="U66" i="4"/>
  <c r="V66" i="4"/>
  <c r="W66" i="4"/>
  <c r="X66" i="4"/>
  <c r="Y66" i="4"/>
  <c r="Z66" i="4"/>
  <c r="AA66" i="4"/>
  <c r="AB66" i="4"/>
  <c r="AC66" i="4"/>
  <c r="AE66" i="4"/>
  <c r="T27" i="4"/>
  <c r="U27" i="4"/>
  <c r="V27" i="4"/>
  <c r="W27" i="4"/>
  <c r="X27" i="4"/>
  <c r="Y27" i="4"/>
  <c r="Z27" i="4"/>
  <c r="AA27" i="4"/>
  <c r="AB27" i="4"/>
  <c r="AC27" i="4"/>
  <c r="AE27" i="4"/>
  <c r="T94" i="4"/>
  <c r="U94" i="4"/>
  <c r="V94" i="4"/>
  <c r="W94" i="4"/>
  <c r="X94" i="4"/>
  <c r="Y94" i="4"/>
  <c r="Z94" i="4"/>
  <c r="AA94" i="4"/>
  <c r="AB94" i="4"/>
  <c r="AC94" i="4"/>
  <c r="AE94" i="4"/>
  <c r="T223" i="4"/>
  <c r="U223" i="4"/>
  <c r="V223" i="4"/>
  <c r="W223" i="4"/>
  <c r="X223" i="4"/>
  <c r="Y223" i="4"/>
  <c r="Z223" i="4"/>
  <c r="AA223" i="4"/>
  <c r="AB223" i="4"/>
  <c r="AC223" i="4"/>
  <c r="AE223" i="4"/>
  <c r="T56" i="4"/>
  <c r="U56" i="4"/>
  <c r="V56" i="4"/>
  <c r="W56" i="4"/>
  <c r="X56" i="4"/>
  <c r="Y56" i="4"/>
  <c r="Z56" i="4"/>
  <c r="AA56" i="4"/>
  <c r="AB56" i="4"/>
  <c r="AC56" i="4"/>
  <c r="AE56" i="4"/>
  <c r="T210" i="4"/>
  <c r="U210" i="4"/>
  <c r="V210" i="4"/>
  <c r="W210" i="4"/>
  <c r="X210" i="4"/>
  <c r="Y210" i="4"/>
  <c r="Z210" i="4"/>
  <c r="AA210" i="4"/>
  <c r="AB210" i="4"/>
  <c r="AC210" i="4"/>
  <c r="AE210" i="4"/>
  <c r="T264" i="4"/>
  <c r="U264" i="4"/>
  <c r="V264" i="4"/>
  <c r="W264" i="4"/>
  <c r="X264" i="4"/>
  <c r="Y264" i="4"/>
  <c r="Z264" i="4"/>
  <c r="AA264" i="4"/>
  <c r="AB264" i="4"/>
  <c r="AC264" i="4"/>
  <c r="AE264" i="4"/>
  <c r="T70" i="4"/>
  <c r="U70" i="4"/>
  <c r="V70" i="4"/>
  <c r="W70" i="4"/>
  <c r="X70" i="4"/>
  <c r="Y70" i="4"/>
  <c r="Z70" i="4"/>
  <c r="AA70" i="4"/>
  <c r="AB70" i="4"/>
  <c r="AC70" i="4"/>
  <c r="AE70" i="4"/>
  <c r="T253" i="4"/>
  <c r="U253" i="4"/>
  <c r="V253" i="4"/>
  <c r="W253" i="4"/>
  <c r="X253" i="4"/>
  <c r="Y253" i="4"/>
  <c r="Z253" i="4"/>
  <c r="AA253" i="4"/>
  <c r="AB253" i="4"/>
  <c r="AC253" i="4"/>
  <c r="AE253" i="4"/>
  <c r="T218" i="4"/>
  <c r="U218" i="4"/>
  <c r="V218" i="4"/>
  <c r="W218" i="4"/>
  <c r="X218" i="4"/>
  <c r="Y218" i="4"/>
  <c r="Z218" i="4"/>
  <c r="AA218" i="4"/>
  <c r="AB218" i="4"/>
  <c r="AC218" i="4"/>
  <c r="AE218" i="4"/>
  <c r="T184" i="4"/>
  <c r="U184" i="4"/>
  <c r="V184" i="4"/>
  <c r="W184" i="4"/>
  <c r="X184" i="4"/>
  <c r="Y184" i="4"/>
  <c r="Z184" i="4"/>
  <c r="AA184" i="4"/>
  <c r="AB184" i="4"/>
  <c r="AC184" i="4"/>
  <c r="AE184" i="4"/>
  <c r="T2" i="4"/>
  <c r="U2" i="4"/>
  <c r="V2" i="4"/>
  <c r="W2" i="4"/>
  <c r="X2" i="4"/>
  <c r="Y2" i="4"/>
  <c r="Z2" i="4"/>
  <c r="AA2" i="4"/>
  <c r="AB2" i="4"/>
  <c r="AC2" i="4"/>
  <c r="AE2" i="4"/>
  <c r="T199" i="4"/>
  <c r="U199" i="4"/>
  <c r="V199" i="4"/>
  <c r="W199" i="4"/>
  <c r="X199" i="4"/>
  <c r="Y199" i="4"/>
  <c r="Z199" i="4"/>
  <c r="AA199" i="4"/>
  <c r="AB199" i="4"/>
  <c r="AC199" i="4"/>
  <c r="AE199" i="4"/>
  <c r="T208" i="4"/>
  <c r="U208" i="4"/>
  <c r="V208" i="4"/>
  <c r="W208" i="4"/>
  <c r="X208" i="4"/>
  <c r="Y208" i="4"/>
  <c r="Z208" i="4"/>
  <c r="AA208" i="4"/>
  <c r="AB208" i="4"/>
  <c r="AC208" i="4"/>
  <c r="AE208" i="4"/>
  <c r="T170" i="4"/>
  <c r="U170" i="4"/>
  <c r="V170" i="4"/>
  <c r="W170" i="4"/>
  <c r="X170" i="4"/>
  <c r="Y170" i="4"/>
  <c r="Z170" i="4"/>
  <c r="AA170" i="4"/>
  <c r="AB170" i="4"/>
  <c r="AC170" i="4"/>
  <c r="AE170" i="4"/>
  <c r="T155" i="4"/>
  <c r="U155" i="4"/>
  <c r="V155" i="4"/>
  <c r="W155" i="4"/>
  <c r="X155" i="4"/>
  <c r="Y155" i="4"/>
  <c r="Z155" i="4"/>
  <c r="AA155" i="4"/>
  <c r="AB155" i="4"/>
  <c r="AC155" i="4"/>
  <c r="AE155" i="4"/>
  <c r="T23" i="4"/>
  <c r="U23" i="4"/>
  <c r="V23" i="4"/>
  <c r="W23" i="4"/>
  <c r="X23" i="4"/>
  <c r="Y23" i="4"/>
  <c r="Z23" i="4"/>
  <c r="AA23" i="4"/>
  <c r="AB23" i="4"/>
  <c r="AC23" i="4"/>
  <c r="AE23" i="4"/>
  <c r="T103" i="4"/>
  <c r="U103" i="4"/>
  <c r="V103" i="4"/>
  <c r="W103" i="4"/>
  <c r="X103" i="4"/>
  <c r="Y103" i="4"/>
  <c r="Z103" i="4"/>
  <c r="AA103" i="4"/>
  <c r="AB103" i="4"/>
  <c r="AC103" i="4"/>
  <c r="AE103" i="4"/>
  <c r="T189" i="4"/>
  <c r="U189" i="4"/>
  <c r="V189" i="4"/>
  <c r="W189" i="4"/>
  <c r="X189" i="4"/>
  <c r="Y189" i="4"/>
  <c r="Z189" i="4"/>
  <c r="AA189" i="4"/>
  <c r="AB189" i="4"/>
  <c r="AC189" i="4"/>
  <c r="AE189" i="4"/>
  <c r="T156" i="4"/>
  <c r="U156" i="4"/>
  <c r="V156" i="4"/>
  <c r="W156" i="4"/>
  <c r="X156" i="4"/>
  <c r="Y156" i="4"/>
  <c r="Z156" i="4"/>
  <c r="AA156" i="4"/>
  <c r="AB156" i="4"/>
  <c r="AC156" i="4"/>
  <c r="AE156" i="4"/>
  <c r="T82" i="4"/>
  <c r="U82" i="4"/>
  <c r="V82" i="4"/>
  <c r="W82" i="4"/>
  <c r="X82" i="4"/>
  <c r="Y82" i="4"/>
  <c r="Z82" i="4"/>
  <c r="AA82" i="4"/>
  <c r="AB82" i="4"/>
  <c r="AC82" i="4"/>
  <c r="AE82" i="4"/>
  <c r="T37" i="4"/>
  <c r="U37" i="4"/>
  <c r="V37" i="4"/>
  <c r="W37" i="4"/>
  <c r="X37" i="4"/>
  <c r="Y37" i="4"/>
  <c r="Z37" i="4"/>
  <c r="AA37" i="4"/>
  <c r="AB37" i="4"/>
  <c r="AC37" i="4"/>
  <c r="AE37" i="4"/>
  <c r="T266" i="4"/>
  <c r="U266" i="4"/>
  <c r="V266" i="4"/>
  <c r="W266" i="4"/>
  <c r="X266" i="4"/>
  <c r="Y266" i="4"/>
  <c r="Z266" i="4"/>
  <c r="AA266" i="4"/>
  <c r="AB266" i="4"/>
  <c r="AC266" i="4"/>
  <c r="AE266" i="4"/>
  <c r="T122" i="4"/>
  <c r="U122" i="4"/>
  <c r="V122" i="4"/>
  <c r="W122" i="4"/>
  <c r="X122" i="4"/>
  <c r="Y122" i="4"/>
  <c r="Z122" i="4"/>
  <c r="AA122" i="4"/>
  <c r="AB122" i="4"/>
  <c r="AC122" i="4"/>
  <c r="AE122" i="4"/>
  <c r="T79" i="4"/>
  <c r="U79" i="4"/>
  <c r="V79" i="4"/>
  <c r="W79" i="4"/>
  <c r="X79" i="4"/>
  <c r="Y79" i="4"/>
  <c r="Z79" i="4"/>
  <c r="AA79" i="4"/>
  <c r="AB79" i="4"/>
  <c r="AC79" i="4"/>
  <c r="AE79" i="4"/>
  <c r="T91" i="4"/>
  <c r="U91" i="4"/>
  <c r="V91" i="4"/>
  <c r="W91" i="4"/>
  <c r="X91" i="4"/>
  <c r="Y91" i="4"/>
  <c r="Z91" i="4"/>
  <c r="AA91" i="4"/>
  <c r="AB91" i="4"/>
  <c r="AC91" i="4"/>
  <c r="AE91" i="4"/>
  <c r="T185" i="4"/>
  <c r="U185" i="4"/>
  <c r="V185" i="4"/>
  <c r="W185" i="4"/>
  <c r="X185" i="4"/>
  <c r="Y185" i="4"/>
  <c r="Z185" i="4"/>
  <c r="AA185" i="4"/>
  <c r="AB185" i="4"/>
  <c r="AC185" i="4"/>
  <c r="AE185" i="4"/>
  <c r="T213" i="4"/>
  <c r="U213" i="4"/>
  <c r="V213" i="4"/>
  <c r="W213" i="4"/>
  <c r="X213" i="4"/>
  <c r="Y213" i="4"/>
  <c r="Z213" i="4"/>
  <c r="AA213" i="4"/>
  <c r="AB213" i="4"/>
  <c r="AC213" i="4"/>
  <c r="AE213" i="4"/>
  <c r="T44" i="4"/>
  <c r="U44" i="4"/>
  <c r="V44" i="4"/>
  <c r="W44" i="4"/>
  <c r="X44" i="4"/>
  <c r="Y44" i="4"/>
  <c r="Z44" i="4"/>
  <c r="AA44" i="4"/>
  <c r="AB44" i="4"/>
  <c r="AC44" i="4"/>
  <c r="AE44" i="4"/>
  <c r="T150" i="4"/>
  <c r="U150" i="4"/>
  <c r="V150" i="4"/>
  <c r="W150" i="4"/>
  <c r="X150" i="4"/>
  <c r="Y150" i="4"/>
  <c r="Z150" i="4"/>
  <c r="AA150" i="4"/>
  <c r="AB150" i="4"/>
  <c r="AC150" i="4"/>
  <c r="AE150" i="4"/>
  <c r="T228" i="4"/>
  <c r="U228" i="4"/>
  <c r="V228" i="4"/>
  <c r="W228" i="4"/>
  <c r="X228" i="4"/>
  <c r="Y228" i="4"/>
  <c r="Z228" i="4"/>
  <c r="AA228" i="4"/>
  <c r="AB228" i="4"/>
  <c r="AC228" i="4"/>
  <c r="AE228" i="4"/>
  <c r="T106" i="4"/>
  <c r="U106" i="4"/>
  <c r="V106" i="4"/>
  <c r="W106" i="4"/>
  <c r="X106" i="4"/>
  <c r="Y106" i="4"/>
  <c r="Z106" i="4"/>
  <c r="AA106" i="4"/>
  <c r="AB106" i="4"/>
  <c r="AC106" i="4"/>
  <c r="AE106" i="4"/>
  <c r="T262" i="4"/>
  <c r="U262" i="4"/>
  <c r="V262" i="4"/>
  <c r="W262" i="4"/>
  <c r="X262" i="4"/>
  <c r="Y262" i="4"/>
  <c r="Z262" i="4"/>
  <c r="AA262" i="4"/>
  <c r="AB262" i="4"/>
  <c r="AC262" i="4"/>
  <c r="AE262" i="4"/>
  <c r="T258" i="4"/>
  <c r="U258" i="4"/>
  <c r="V258" i="4"/>
  <c r="W258" i="4"/>
  <c r="X258" i="4"/>
  <c r="Y258" i="4"/>
  <c r="Z258" i="4"/>
  <c r="AA258" i="4"/>
  <c r="AB258" i="4"/>
  <c r="AC258" i="4"/>
  <c r="AE258" i="4"/>
  <c r="T255" i="4"/>
  <c r="U255" i="4"/>
  <c r="V255" i="4"/>
  <c r="W255" i="4"/>
  <c r="X255" i="4"/>
  <c r="Y255" i="4"/>
  <c r="Z255" i="4"/>
  <c r="AA255" i="4"/>
  <c r="AB255" i="4"/>
  <c r="AC255" i="4"/>
  <c r="AE255" i="4"/>
  <c r="T248" i="4"/>
  <c r="U248" i="4"/>
  <c r="V248" i="4"/>
  <c r="W248" i="4"/>
  <c r="X248" i="4"/>
  <c r="Y248" i="4"/>
  <c r="Z248" i="4"/>
  <c r="AA248" i="4"/>
  <c r="AB248" i="4"/>
  <c r="AC248" i="4"/>
  <c r="AE248" i="4"/>
  <c r="T43" i="4"/>
  <c r="U43" i="4"/>
  <c r="V43" i="4"/>
  <c r="W43" i="4"/>
  <c r="X43" i="4"/>
  <c r="Y43" i="4"/>
  <c r="Z43" i="4"/>
  <c r="AA43" i="4"/>
  <c r="AB43" i="4"/>
  <c r="AC43" i="4"/>
  <c r="AE43" i="4"/>
  <c r="T53" i="4"/>
  <c r="U53" i="4"/>
  <c r="V53" i="4"/>
  <c r="W53" i="4"/>
  <c r="X53" i="4"/>
  <c r="Y53" i="4"/>
  <c r="Z53" i="4"/>
  <c r="AA53" i="4"/>
  <c r="AB53" i="4"/>
  <c r="AC53" i="4"/>
  <c r="AE53" i="4"/>
  <c r="T159" i="4"/>
  <c r="U159" i="4"/>
  <c r="V159" i="4"/>
  <c r="W159" i="4"/>
  <c r="X159" i="4"/>
  <c r="Y159" i="4"/>
  <c r="Z159" i="4"/>
  <c r="AA159" i="4"/>
  <c r="AB159" i="4"/>
  <c r="AC159" i="4"/>
  <c r="AE159" i="4"/>
  <c r="T174" i="4"/>
  <c r="U174" i="4"/>
  <c r="V174" i="4"/>
  <c r="W174" i="4"/>
  <c r="X174" i="4"/>
  <c r="Y174" i="4"/>
  <c r="Z174" i="4"/>
  <c r="AA174" i="4"/>
  <c r="AB174" i="4"/>
  <c r="AC174" i="4"/>
  <c r="AE174" i="4"/>
  <c r="T190" i="4"/>
  <c r="U190" i="4"/>
  <c r="V190" i="4"/>
  <c r="W190" i="4"/>
  <c r="X190" i="4"/>
  <c r="Y190" i="4"/>
  <c r="Z190" i="4"/>
  <c r="AA190" i="4"/>
  <c r="AB190" i="4"/>
  <c r="AC190" i="4"/>
  <c r="AE190" i="4"/>
  <c r="T75" i="4"/>
  <c r="U75" i="4"/>
  <c r="V75" i="4"/>
  <c r="W75" i="4"/>
  <c r="X75" i="4"/>
  <c r="Y75" i="4"/>
  <c r="Z75" i="4"/>
  <c r="AA75" i="4"/>
  <c r="AB75" i="4"/>
  <c r="AC75" i="4"/>
  <c r="AE75" i="4"/>
  <c r="T192" i="4"/>
  <c r="U192" i="4"/>
  <c r="V192" i="4"/>
  <c r="W192" i="4"/>
  <c r="X192" i="4"/>
  <c r="Y192" i="4"/>
  <c r="Z192" i="4"/>
  <c r="AA192" i="4"/>
  <c r="AB192" i="4"/>
  <c r="AC192" i="4"/>
  <c r="AE192" i="4"/>
  <c r="T202" i="4"/>
  <c r="U202" i="4"/>
  <c r="V202" i="4"/>
  <c r="W202" i="4"/>
  <c r="X202" i="4"/>
  <c r="Y202" i="4"/>
  <c r="Z202" i="4"/>
  <c r="AA202" i="4"/>
  <c r="AB202" i="4"/>
  <c r="AC202" i="4"/>
  <c r="AE202" i="4"/>
  <c r="T72" i="4"/>
  <c r="U72" i="4"/>
  <c r="V72" i="4"/>
  <c r="W72" i="4"/>
  <c r="X72" i="4"/>
  <c r="Y72" i="4"/>
  <c r="Z72" i="4"/>
  <c r="AA72" i="4"/>
  <c r="AB72" i="4"/>
  <c r="AC72" i="4"/>
  <c r="AE72" i="4"/>
  <c r="T238" i="4"/>
  <c r="U238" i="4"/>
  <c r="V238" i="4"/>
  <c r="W238" i="4"/>
  <c r="X238" i="4"/>
  <c r="Y238" i="4"/>
  <c r="Z238" i="4"/>
  <c r="AA238" i="4"/>
  <c r="AB238" i="4"/>
  <c r="AC238" i="4"/>
  <c r="AE238" i="4"/>
  <c r="T8" i="4"/>
  <c r="U8" i="4"/>
  <c r="V8" i="4"/>
  <c r="W8" i="4"/>
  <c r="X8" i="4"/>
  <c r="Y8" i="4"/>
  <c r="Z8" i="4"/>
  <c r="AA8" i="4"/>
  <c r="AB8" i="4"/>
  <c r="AC8" i="4"/>
  <c r="AE8" i="4"/>
  <c r="T110" i="4"/>
  <c r="U110" i="4"/>
  <c r="V110" i="4"/>
  <c r="W110" i="4"/>
  <c r="X110" i="4"/>
  <c r="Y110" i="4"/>
  <c r="Z110" i="4"/>
  <c r="AA110" i="4"/>
  <c r="AB110" i="4"/>
  <c r="AC110" i="4"/>
  <c r="AE110" i="4"/>
  <c r="T88" i="4"/>
  <c r="U88" i="4"/>
  <c r="V88" i="4"/>
  <c r="W88" i="4"/>
  <c r="X88" i="4"/>
  <c r="Y88" i="4"/>
  <c r="Z88" i="4"/>
  <c r="AA88" i="4"/>
  <c r="AB88" i="4"/>
  <c r="AC88" i="4"/>
  <c r="AE88" i="4"/>
  <c r="T206" i="4"/>
  <c r="U206" i="4"/>
  <c r="V206" i="4"/>
  <c r="W206" i="4"/>
  <c r="X206" i="4"/>
  <c r="Y206" i="4"/>
  <c r="Z206" i="4"/>
  <c r="AA206" i="4"/>
  <c r="AB206" i="4"/>
  <c r="AC206" i="4"/>
  <c r="AE206" i="4"/>
  <c r="T204" i="4"/>
  <c r="U204" i="4"/>
  <c r="V204" i="4"/>
  <c r="W204" i="4"/>
  <c r="X204" i="4"/>
  <c r="Y204" i="4"/>
  <c r="Z204" i="4"/>
  <c r="AA204" i="4"/>
  <c r="AB204" i="4"/>
  <c r="AC204" i="4"/>
  <c r="AE204" i="4"/>
  <c r="T205" i="4"/>
  <c r="U205" i="4"/>
  <c r="V205" i="4"/>
  <c r="W205" i="4"/>
  <c r="X205" i="4"/>
  <c r="Y205" i="4"/>
  <c r="Z205" i="4"/>
  <c r="AA205" i="4"/>
  <c r="AB205" i="4"/>
  <c r="AC205" i="4"/>
  <c r="AE205" i="4"/>
  <c r="T163" i="4"/>
  <c r="U163" i="4"/>
  <c r="V163" i="4"/>
  <c r="W163" i="4"/>
  <c r="X163" i="4"/>
  <c r="Y163" i="4"/>
  <c r="Z163" i="4"/>
  <c r="AA163" i="4"/>
  <c r="AB163" i="4"/>
  <c r="AC163" i="4"/>
  <c r="AE163" i="4"/>
  <c r="T59" i="4"/>
  <c r="U59" i="4"/>
  <c r="V59" i="4"/>
  <c r="W59" i="4"/>
  <c r="X59" i="4"/>
  <c r="Y59" i="4"/>
  <c r="Z59" i="4"/>
  <c r="AA59" i="4"/>
  <c r="AB59" i="4"/>
  <c r="AC59" i="4"/>
  <c r="AE59" i="4"/>
  <c r="T171" i="4"/>
  <c r="U171" i="4"/>
  <c r="V171" i="4"/>
  <c r="W171" i="4"/>
  <c r="X171" i="4"/>
  <c r="Y171" i="4"/>
  <c r="Z171" i="4"/>
  <c r="AA171" i="4"/>
  <c r="AB171" i="4"/>
  <c r="AC171" i="4"/>
  <c r="AE171" i="4"/>
  <c r="T261" i="4"/>
  <c r="U261" i="4"/>
  <c r="V261" i="4"/>
  <c r="W261" i="4"/>
  <c r="X261" i="4"/>
  <c r="Y261" i="4"/>
  <c r="Z261" i="4"/>
  <c r="AA261" i="4"/>
  <c r="AB261" i="4"/>
  <c r="AC261" i="4"/>
  <c r="AE261" i="4"/>
  <c r="T148" i="4"/>
  <c r="U148" i="4"/>
  <c r="V148" i="4"/>
  <c r="W148" i="4"/>
  <c r="X148" i="4"/>
  <c r="Y148" i="4"/>
  <c r="Z148" i="4"/>
  <c r="AA148" i="4"/>
  <c r="AB148" i="4"/>
  <c r="AC148" i="4"/>
  <c r="AE148" i="4"/>
  <c r="T152" i="4"/>
  <c r="U152" i="4"/>
  <c r="V152" i="4"/>
  <c r="W152" i="4"/>
  <c r="X152" i="4"/>
  <c r="Y152" i="4"/>
  <c r="Z152" i="4"/>
  <c r="AA152" i="4"/>
  <c r="AB152" i="4"/>
  <c r="AC152" i="4"/>
  <c r="AE152" i="4"/>
  <c r="T153" i="4"/>
  <c r="U153" i="4"/>
  <c r="V153" i="4"/>
  <c r="W153" i="4"/>
  <c r="X153" i="4"/>
  <c r="Y153" i="4"/>
  <c r="Z153" i="4"/>
  <c r="AA153" i="4"/>
  <c r="AB153" i="4"/>
  <c r="AC153" i="4"/>
  <c r="AE153" i="4"/>
  <c r="T115" i="4"/>
  <c r="U115" i="4"/>
  <c r="V115" i="4"/>
  <c r="W115" i="4"/>
  <c r="X115" i="4"/>
  <c r="Y115" i="4"/>
  <c r="Z115" i="4"/>
  <c r="AA115" i="4"/>
  <c r="AB115" i="4"/>
  <c r="AC115" i="4"/>
  <c r="AE115" i="4"/>
  <c r="T245" i="4"/>
  <c r="U245" i="4"/>
  <c r="V245" i="4"/>
  <c r="W245" i="4"/>
  <c r="X245" i="4"/>
  <c r="Y245" i="4"/>
  <c r="Z245" i="4"/>
  <c r="AA245" i="4"/>
  <c r="AB245" i="4"/>
  <c r="AC245" i="4"/>
  <c r="AE245" i="4"/>
  <c r="T39" i="4"/>
  <c r="U39" i="4"/>
  <c r="V39" i="4"/>
  <c r="W39" i="4"/>
  <c r="X39" i="4"/>
  <c r="Y39" i="4"/>
  <c r="Z39" i="4"/>
  <c r="AA39" i="4"/>
  <c r="AB39" i="4"/>
  <c r="AC39" i="4"/>
  <c r="AE39" i="4"/>
  <c r="T180" i="4"/>
  <c r="U180" i="4"/>
  <c r="V180" i="4"/>
  <c r="W180" i="4"/>
  <c r="X180" i="4"/>
  <c r="Y180" i="4"/>
  <c r="Z180" i="4"/>
  <c r="AA180" i="4"/>
  <c r="AB180" i="4"/>
  <c r="AC180" i="4"/>
  <c r="AE180" i="4"/>
  <c r="T108" i="4"/>
  <c r="U108" i="4"/>
  <c r="V108" i="4"/>
  <c r="W108" i="4"/>
  <c r="X108" i="4"/>
  <c r="Y108" i="4"/>
  <c r="Z108" i="4"/>
  <c r="AA108" i="4"/>
  <c r="AB108" i="4"/>
  <c r="AC108" i="4"/>
  <c r="AE108" i="4"/>
  <c r="T42" i="4"/>
  <c r="U42" i="4"/>
  <c r="V42" i="4"/>
  <c r="W42" i="4"/>
  <c r="X42" i="4"/>
  <c r="Y42" i="4"/>
  <c r="Z42" i="4"/>
  <c r="AA42" i="4"/>
  <c r="AB42" i="4"/>
  <c r="AC42" i="4"/>
  <c r="AE42" i="4"/>
  <c r="T167" i="4"/>
  <c r="U167" i="4"/>
  <c r="V167" i="4"/>
  <c r="W167" i="4"/>
  <c r="X167" i="4"/>
  <c r="Y167" i="4"/>
  <c r="Z167" i="4"/>
  <c r="AA167" i="4"/>
  <c r="AB167" i="4"/>
  <c r="AC167" i="4"/>
  <c r="AE167" i="4"/>
  <c r="T84" i="4"/>
  <c r="U84" i="4"/>
  <c r="V84" i="4"/>
  <c r="W84" i="4"/>
  <c r="X84" i="4"/>
  <c r="Y84" i="4"/>
  <c r="Z84" i="4"/>
  <c r="AA84" i="4"/>
  <c r="AB84" i="4"/>
  <c r="AC84" i="4"/>
  <c r="AE84" i="4"/>
  <c r="T47" i="4"/>
  <c r="U47" i="4"/>
  <c r="V47" i="4"/>
  <c r="W47" i="4"/>
  <c r="X47" i="4"/>
  <c r="Y47" i="4"/>
  <c r="Z47" i="4"/>
  <c r="AA47" i="4"/>
  <c r="AB47" i="4"/>
  <c r="AC47" i="4"/>
  <c r="AE47" i="4"/>
  <c r="T211" i="4"/>
  <c r="U211" i="4"/>
  <c r="V211" i="4"/>
  <c r="W211" i="4"/>
  <c r="X211" i="4"/>
  <c r="Y211" i="4"/>
  <c r="Z211" i="4"/>
  <c r="AA211" i="4"/>
  <c r="AB211" i="4"/>
  <c r="AC211" i="4"/>
  <c r="AE211" i="4"/>
  <c r="T178" i="4"/>
  <c r="U178" i="4"/>
  <c r="V178" i="4"/>
  <c r="W178" i="4"/>
  <c r="X178" i="4"/>
  <c r="Y178" i="4"/>
  <c r="Z178" i="4"/>
  <c r="AA178" i="4"/>
  <c r="AB178" i="4"/>
  <c r="AC178" i="4"/>
  <c r="AE178" i="4"/>
  <c r="T161" i="4"/>
  <c r="U161" i="4"/>
  <c r="V161" i="4"/>
  <c r="W161" i="4"/>
  <c r="X161" i="4"/>
  <c r="Y161" i="4"/>
  <c r="Z161" i="4"/>
  <c r="AA161" i="4"/>
  <c r="AB161" i="4"/>
  <c r="AC161" i="4"/>
  <c r="AE161" i="4"/>
  <c r="T257" i="4"/>
  <c r="U257" i="4"/>
  <c r="V257" i="4"/>
  <c r="W257" i="4"/>
  <c r="X257" i="4"/>
  <c r="Y257" i="4"/>
  <c r="Z257" i="4"/>
  <c r="AA257" i="4"/>
  <c r="AB257" i="4"/>
  <c r="AC257" i="4"/>
  <c r="AE257" i="4"/>
  <c r="T40" i="4"/>
  <c r="U40" i="4"/>
  <c r="V40" i="4"/>
  <c r="W40" i="4"/>
  <c r="X40" i="4"/>
  <c r="Y40" i="4"/>
  <c r="Z40" i="4"/>
  <c r="AA40" i="4"/>
  <c r="AB40" i="4"/>
  <c r="AC40" i="4"/>
  <c r="AE40" i="4"/>
  <c r="T256" i="4"/>
  <c r="U256" i="4"/>
  <c r="V256" i="4"/>
  <c r="W256" i="4"/>
  <c r="X256" i="4"/>
  <c r="Y256" i="4"/>
  <c r="Z256" i="4"/>
  <c r="AA256" i="4"/>
  <c r="AB256" i="4"/>
  <c r="AC256" i="4"/>
  <c r="AE256" i="4"/>
  <c r="T54" i="4"/>
  <c r="U54" i="4"/>
  <c r="V54" i="4"/>
  <c r="W54" i="4"/>
  <c r="X54" i="4"/>
  <c r="Y54" i="4"/>
  <c r="Z54" i="4"/>
  <c r="AA54" i="4"/>
  <c r="AB54" i="4"/>
  <c r="AC54" i="4"/>
  <c r="AE54" i="4"/>
  <c r="T63" i="4"/>
  <c r="U63" i="4"/>
  <c r="V63" i="4"/>
  <c r="W63" i="4"/>
  <c r="X63" i="4"/>
  <c r="Y63" i="4"/>
  <c r="Z63" i="4"/>
  <c r="AA63" i="4"/>
  <c r="AB63" i="4"/>
  <c r="AC63" i="4"/>
  <c r="AE63" i="4"/>
  <c r="T67" i="4"/>
  <c r="U67" i="4"/>
  <c r="V67" i="4"/>
  <c r="W67" i="4"/>
  <c r="X67" i="4"/>
  <c r="Y67" i="4"/>
  <c r="Z67" i="4"/>
  <c r="AA67" i="4"/>
  <c r="AB67" i="4"/>
  <c r="AC67" i="4"/>
  <c r="AE67" i="4"/>
  <c r="T237" i="4"/>
  <c r="U237" i="4"/>
  <c r="V237" i="4"/>
  <c r="W237" i="4"/>
  <c r="X237" i="4"/>
  <c r="Y237" i="4"/>
  <c r="Z237" i="4"/>
  <c r="AA237" i="4"/>
  <c r="AB237" i="4"/>
  <c r="AC237" i="4"/>
  <c r="AE237" i="4"/>
  <c r="T251" i="4"/>
  <c r="U251" i="4"/>
  <c r="V251" i="4"/>
  <c r="W251" i="4"/>
  <c r="X251" i="4"/>
  <c r="Y251" i="4"/>
  <c r="Z251" i="4"/>
  <c r="AA251" i="4"/>
  <c r="AB251" i="4"/>
  <c r="AC251" i="4"/>
  <c r="AE251" i="4"/>
  <c r="T207" i="4"/>
  <c r="U207" i="4"/>
  <c r="V207" i="4"/>
  <c r="W207" i="4"/>
  <c r="X207" i="4"/>
  <c r="Y207" i="4"/>
  <c r="Z207" i="4"/>
  <c r="AA207" i="4"/>
  <c r="AB207" i="4"/>
  <c r="AC207" i="4"/>
  <c r="AE207" i="4"/>
  <c r="T16" i="4"/>
  <c r="U16" i="4"/>
  <c r="V16" i="4"/>
  <c r="W16" i="4"/>
  <c r="X16" i="4"/>
  <c r="Y16" i="4"/>
  <c r="Z16" i="4"/>
  <c r="AA16" i="4"/>
  <c r="AB16" i="4"/>
  <c r="AC16" i="4"/>
  <c r="AE16" i="4"/>
  <c r="T181" i="4"/>
  <c r="U181" i="4"/>
  <c r="V181" i="4"/>
  <c r="W181" i="4"/>
  <c r="X181" i="4"/>
  <c r="Y181" i="4"/>
  <c r="Z181" i="4"/>
  <c r="AA181" i="4"/>
  <c r="AB181" i="4"/>
  <c r="AC181" i="4"/>
  <c r="AE181" i="4"/>
  <c r="T179" i="4"/>
  <c r="U179" i="4"/>
  <c r="V179" i="4"/>
  <c r="W179" i="4"/>
  <c r="X179" i="4"/>
  <c r="Y179" i="4"/>
  <c r="Z179" i="4"/>
  <c r="AA179" i="4"/>
  <c r="AB179" i="4"/>
  <c r="AC179" i="4"/>
  <c r="AE179" i="4"/>
  <c r="T195" i="4"/>
  <c r="U195" i="4"/>
  <c r="V195" i="4"/>
  <c r="W195" i="4"/>
  <c r="X195" i="4"/>
  <c r="Y195" i="4"/>
  <c r="Z195" i="4"/>
  <c r="AA195" i="4"/>
  <c r="AB195" i="4"/>
  <c r="AC195" i="4"/>
  <c r="AE195" i="4"/>
  <c r="T191" i="4"/>
  <c r="U191" i="4"/>
  <c r="V191" i="4"/>
  <c r="W191" i="4"/>
  <c r="X191" i="4"/>
  <c r="Y191" i="4"/>
  <c r="Z191" i="4"/>
  <c r="AA191" i="4"/>
  <c r="AB191" i="4"/>
  <c r="AC191" i="4"/>
  <c r="AE191" i="4"/>
  <c r="T144" i="4"/>
  <c r="U144" i="4"/>
  <c r="V144" i="4"/>
  <c r="W144" i="4"/>
  <c r="X144" i="4"/>
  <c r="Y144" i="4"/>
  <c r="Z144" i="4"/>
  <c r="AA144" i="4"/>
  <c r="AB144" i="4"/>
  <c r="AC144" i="4"/>
  <c r="AE144" i="4"/>
  <c r="T4" i="4"/>
  <c r="U4" i="4"/>
  <c r="V4" i="4"/>
  <c r="W4" i="4"/>
  <c r="X4" i="4"/>
  <c r="Y4" i="4"/>
  <c r="Z4" i="4"/>
  <c r="AA4" i="4"/>
  <c r="AB4" i="4"/>
  <c r="AC4" i="4"/>
  <c r="AE4" i="4"/>
  <c r="T224" i="4"/>
  <c r="U224" i="4"/>
  <c r="V224" i="4"/>
  <c r="W224" i="4"/>
  <c r="X224" i="4"/>
  <c r="Y224" i="4"/>
  <c r="Z224" i="4"/>
  <c r="AA224" i="4"/>
  <c r="AB224" i="4"/>
  <c r="AC224" i="4"/>
  <c r="AE224" i="4"/>
  <c r="T138" i="4"/>
  <c r="U138" i="4"/>
  <c r="V138" i="4"/>
  <c r="W138" i="4"/>
  <c r="X138" i="4"/>
  <c r="Y138" i="4"/>
  <c r="Z138" i="4"/>
  <c r="AA138" i="4"/>
  <c r="AB138" i="4"/>
  <c r="AC138" i="4"/>
  <c r="AE138" i="4"/>
  <c r="T7" i="4"/>
  <c r="U7" i="4"/>
  <c r="V7" i="4"/>
  <c r="W7" i="4"/>
  <c r="X7" i="4"/>
  <c r="Y7" i="4"/>
  <c r="Z7" i="4"/>
  <c r="AA7" i="4"/>
  <c r="AB7" i="4"/>
  <c r="AC7" i="4"/>
  <c r="AE7" i="4"/>
  <c r="T83" i="4"/>
  <c r="U83" i="4"/>
  <c r="V83" i="4"/>
  <c r="W83" i="4"/>
  <c r="X83" i="4"/>
  <c r="Y83" i="4"/>
  <c r="Z83" i="4"/>
  <c r="AA83" i="4"/>
  <c r="AB83" i="4"/>
  <c r="AC83" i="4"/>
  <c r="AE83" i="4"/>
  <c r="T147" i="4"/>
  <c r="U147" i="4"/>
  <c r="V147" i="4"/>
  <c r="W147" i="4"/>
  <c r="X147" i="4"/>
  <c r="Y147" i="4"/>
  <c r="Z147" i="4"/>
  <c r="AA147" i="4"/>
  <c r="AB147" i="4"/>
  <c r="AC147" i="4"/>
  <c r="AE147" i="4"/>
  <c r="T20" i="4"/>
  <c r="U20" i="4"/>
  <c r="V20" i="4"/>
  <c r="W20" i="4"/>
  <c r="X20" i="4"/>
  <c r="Y20" i="4"/>
  <c r="Z20" i="4"/>
  <c r="AA20" i="4"/>
  <c r="AB20" i="4"/>
  <c r="AC20" i="4"/>
  <c r="AE20" i="4"/>
  <c r="T120" i="4"/>
  <c r="U120" i="4"/>
  <c r="V120" i="4"/>
  <c r="W120" i="4"/>
  <c r="X120" i="4"/>
  <c r="Y120" i="4"/>
  <c r="Z120" i="4"/>
  <c r="AA120" i="4"/>
  <c r="AB120" i="4"/>
  <c r="AC120" i="4"/>
  <c r="AE120" i="4"/>
  <c r="T13" i="4"/>
  <c r="U13" i="4"/>
  <c r="V13" i="4"/>
  <c r="W13" i="4"/>
  <c r="X13" i="4"/>
  <c r="Y13" i="4"/>
  <c r="Z13" i="4"/>
  <c r="AA13" i="4"/>
  <c r="AB13" i="4"/>
  <c r="AC13" i="4"/>
  <c r="AE13" i="4"/>
  <c r="T142" i="4"/>
  <c r="U142" i="4"/>
  <c r="V142" i="4"/>
  <c r="W142" i="4"/>
  <c r="X142" i="4"/>
  <c r="Y142" i="4"/>
  <c r="Z142" i="4"/>
  <c r="AA142" i="4"/>
  <c r="AB142" i="4"/>
  <c r="AC142" i="4"/>
  <c r="AE142" i="4"/>
  <c r="T64" i="4"/>
  <c r="U64" i="4"/>
  <c r="V64" i="4"/>
  <c r="W64" i="4"/>
  <c r="X64" i="4"/>
  <c r="Y64" i="4"/>
  <c r="Z64" i="4"/>
  <c r="AA64" i="4"/>
  <c r="AB64" i="4"/>
  <c r="AC64" i="4"/>
  <c r="AE64" i="4"/>
  <c r="T209" i="4"/>
  <c r="U209" i="4"/>
  <c r="V209" i="4"/>
  <c r="W209" i="4"/>
  <c r="X209" i="4"/>
  <c r="Y209" i="4"/>
  <c r="Z209" i="4"/>
  <c r="AA209" i="4"/>
  <c r="AB209" i="4"/>
  <c r="AC209" i="4"/>
  <c r="AE209" i="4"/>
  <c r="T81" i="4"/>
  <c r="U81" i="4"/>
  <c r="V81" i="4"/>
  <c r="W81" i="4"/>
  <c r="X81" i="4"/>
  <c r="Y81" i="4"/>
  <c r="Z81" i="4"/>
  <c r="AA81" i="4"/>
  <c r="AB81" i="4"/>
  <c r="AC81" i="4"/>
  <c r="AE81" i="4"/>
  <c r="T76" i="4"/>
  <c r="U76" i="4"/>
  <c r="V76" i="4"/>
  <c r="W76" i="4"/>
  <c r="X76" i="4"/>
  <c r="Y76" i="4"/>
  <c r="Z76" i="4"/>
  <c r="AA76" i="4"/>
  <c r="AB76" i="4"/>
  <c r="AC76" i="4"/>
  <c r="AE76" i="4"/>
  <c r="T132" i="4"/>
  <c r="U132" i="4"/>
  <c r="V132" i="4"/>
  <c r="W132" i="4"/>
  <c r="X132" i="4"/>
  <c r="Y132" i="4"/>
  <c r="Z132" i="4"/>
  <c r="AA132" i="4"/>
  <c r="AB132" i="4"/>
  <c r="AC132" i="4"/>
  <c r="AE132" i="4"/>
  <c r="T242" i="4"/>
  <c r="U242" i="4"/>
  <c r="V242" i="4"/>
  <c r="W242" i="4"/>
  <c r="X242" i="4"/>
  <c r="Y242" i="4"/>
  <c r="Z242" i="4"/>
  <c r="AA242" i="4"/>
  <c r="AB242" i="4"/>
  <c r="AC242" i="4"/>
  <c r="AE242" i="4"/>
  <c r="T73" i="4"/>
  <c r="U73" i="4"/>
  <c r="V73" i="4"/>
  <c r="W73" i="4"/>
  <c r="X73" i="4"/>
  <c r="Y73" i="4"/>
  <c r="Z73" i="4"/>
  <c r="AA73" i="4"/>
  <c r="AB73" i="4"/>
  <c r="AC73" i="4"/>
  <c r="AE73" i="4"/>
  <c r="T233" i="4"/>
  <c r="U233" i="4"/>
  <c r="V233" i="4"/>
  <c r="W233" i="4"/>
  <c r="X233" i="4"/>
  <c r="Y233" i="4"/>
  <c r="Z233" i="4"/>
  <c r="AA233" i="4"/>
  <c r="AB233" i="4"/>
  <c r="AC233" i="4"/>
  <c r="AE233" i="4"/>
  <c r="T215" i="4"/>
  <c r="U215" i="4"/>
  <c r="V215" i="4"/>
  <c r="W215" i="4"/>
  <c r="X215" i="4"/>
  <c r="Y215" i="4"/>
  <c r="Z215" i="4"/>
  <c r="AA215" i="4"/>
  <c r="AB215" i="4"/>
  <c r="AC215" i="4"/>
  <c r="AE215" i="4"/>
  <c r="T172" i="4"/>
  <c r="U172" i="4"/>
  <c r="V172" i="4"/>
  <c r="W172" i="4"/>
  <c r="X172" i="4"/>
  <c r="Y172" i="4"/>
  <c r="Z172" i="4"/>
  <c r="AA172" i="4"/>
  <c r="AB172" i="4"/>
  <c r="AC172" i="4"/>
  <c r="AE172" i="4"/>
  <c r="T107" i="4"/>
  <c r="U107" i="4"/>
  <c r="V107" i="4"/>
  <c r="W107" i="4"/>
  <c r="X107" i="4"/>
  <c r="Y107" i="4"/>
  <c r="Z107" i="4"/>
  <c r="AA107" i="4"/>
  <c r="AB107" i="4"/>
  <c r="AC107" i="4"/>
  <c r="AE107" i="4"/>
  <c r="T176" i="4"/>
  <c r="U176" i="4"/>
  <c r="V176" i="4"/>
  <c r="W176" i="4"/>
  <c r="X176" i="4"/>
  <c r="Y176" i="4"/>
  <c r="Z176" i="4"/>
  <c r="AA176" i="4"/>
  <c r="AB176" i="4"/>
  <c r="AC176" i="4"/>
  <c r="AE176" i="4"/>
  <c r="T22" i="4"/>
  <c r="U22" i="4"/>
  <c r="V22" i="4"/>
  <c r="W22" i="4"/>
  <c r="X22" i="4"/>
  <c r="Y22" i="4"/>
  <c r="Z22" i="4"/>
  <c r="AA22" i="4"/>
  <c r="AB22" i="4"/>
  <c r="AC22" i="4"/>
  <c r="AE22" i="4"/>
  <c r="T182" i="4"/>
  <c r="U182" i="4"/>
  <c r="V182" i="4"/>
  <c r="W182" i="4"/>
  <c r="X182" i="4"/>
  <c r="Y182" i="4"/>
  <c r="Z182" i="4"/>
  <c r="AA182" i="4"/>
  <c r="AB182" i="4"/>
  <c r="AC182" i="4"/>
  <c r="AE182" i="4"/>
  <c r="T193" i="4"/>
  <c r="U193" i="4"/>
  <c r="V193" i="4"/>
  <c r="W193" i="4"/>
  <c r="X193" i="4"/>
  <c r="Y193" i="4"/>
  <c r="Z193" i="4"/>
  <c r="AA193" i="4"/>
  <c r="AB193" i="4"/>
  <c r="AC193" i="4"/>
  <c r="AE193" i="4"/>
  <c r="T100" i="4"/>
  <c r="U100" i="4"/>
  <c r="V100" i="4"/>
  <c r="W100" i="4"/>
  <c r="X100" i="4"/>
  <c r="Y100" i="4"/>
  <c r="Z100" i="4"/>
  <c r="AA100" i="4"/>
  <c r="AB100" i="4"/>
  <c r="AC100" i="4"/>
  <c r="AE100" i="4"/>
  <c r="T95" i="4"/>
  <c r="U95" i="4"/>
  <c r="V95" i="4"/>
  <c r="W95" i="4"/>
  <c r="X95" i="4"/>
  <c r="Y95" i="4"/>
  <c r="Z95" i="4"/>
  <c r="AA95" i="4"/>
  <c r="AB95" i="4"/>
  <c r="AC95" i="4"/>
  <c r="AE95" i="4"/>
  <c r="T198" i="4"/>
  <c r="U198" i="4"/>
  <c r="V198" i="4"/>
  <c r="W198" i="4"/>
  <c r="X198" i="4"/>
  <c r="Y198" i="4"/>
  <c r="Z198" i="4"/>
  <c r="AA198" i="4"/>
  <c r="AB198" i="4"/>
  <c r="AC198" i="4"/>
  <c r="AE198" i="4"/>
  <c r="T252" i="4"/>
  <c r="U252" i="4"/>
  <c r="V252" i="4"/>
  <c r="W252" i="4"/>
  <c r="X252" i="4"/>
  <c r="Y252" i="4"/>
  <c r="Z252" i="4"/>
  <c r="AA252" i="4"/>
  <c r="AB252" i="4"/>
  <c r="AC252" i="4"/>
  <c r="AE252" i="4"/>
  <c r="G123" i="10"/>
  <c r="H123" i="10"/>
  <c r="I123" i="10"/>
  <c r="J123" i="10"/>
  <c r="K123" i="10"/>
  <c r="L123" i="10"/>
  <c r="M123" i="10"/>
  <c r="N123" i="10"/>
  <c r="O123" i="10"/>
  <c r="P123" i="10"/>
  <c r="Q123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7" i="10"/>
  <c r="G58" i="10"/>
  <c r="G59" i="10"/>
  <c r="G60" i="10"/>
  <c r="G62" i="10"/>
  <c r="G63" i="10"/>
  <c r="G64" i="10"/>
  <c r="G66" i="10"/>
  <c r="G67" i="10"/>
  <c r="G68" i="10"/>
  <c r="G69" i="10"/>
  <c r="G75" i="10"/>
  <c r="G76" i="10"/>
  <c r="G83" i="10"/>
  <c r="G84" i="10"/>
  <c r="G86" i="10"/>
  <c r="G87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9" i="10"/>
  <c r="G130" i="10"/>
  <c r="G131" i="10"/>
  <c r="G132" i="10"/>
  <c r="G134" i="10"/>
  <c r="G135" i="10"/>
  <c r="G136" i="10"/>
  <c r="G137" i="10"/>
  <c r="G138" i="10"/>
  <c r="G139" i="10"/>
  <c r="G140" i="10"/>
  <c r="G141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83" i="10"/>
  <c r="G193" i="10"/>
  <c r="G194" i="10"/>
  <c r="G195" i="10"/>
  <c r="G201" i="10"/>
  <c r="G203" i="10"/>
  <c r="G204" i="10"/>
  <c r="G205" i="10"/>
  <c r="G206" i="10"/>
  <c r="G207" i="10"/>
  <c r="G208" i="10"/>
  <c r="G209" i="10"/>
  <c r="G210" i="10"/>
  <c r="G211" i="10"/>
  <c r="G212" i="10"/>
  <c r="G213" i="10"/>
  <c r="G219" i="10"/>
  <c r="G220" i="10"/>
  <c r="G221" i="10"/>
  <c r="G222" i="10"/>
  <c r="G224" i="10"/>
  <c r="G225" i="10"/>
  <c r="G226" i="10"/>
  <c r="G227" i="10"/>
  <c r="G228" i="10"/>
  <c r="G229" i="10"/>
  <c r="G230" i="10"/>
  <c r="G231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H3" i="10"/>
  <c r="I119" i="10"/>
  <c r="J119" i="10"/>
  <c r="K119" i="10"/>
  <c r="L119" i="10"/>
  <c r="M119" i="10"/>
  <c r="N119" i="10"/>
  <c r="O119" i="10"/>
  <c r="P119" i="10"/>
  <c r="Q119" i="10"/>
  <c r="H119" i="10"/>
  <c r="Q111" i="10"/>
  <c r="P111" i="10"/>
  <c r="O111" i="10"/>
  <c r="N111" i="10"/>
  <c r="M111" i="10"/>
  <c r="L111" i="10"/>
  <c r="K111" i="10"/>
  <c r="J111" i="10"/>
  <c r="I111" i="10"/>
  <c r="H111" i="10"/>
  <c r="J203" i="10"/>
  <c r="K203" i="10"/>
  <c r="L203" i="10"/>
  <c r="M203" i="10"/>
  <c r="N203" i="10"/>
  <c r="O203" i="10"/>
  <c r="P203" i="10"/>
  <c r="Q203" i="10"/>
  <c r="I203" i="10"/>
  <c r="H203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Q219" i="10"/>
  <c r="Q220" i="10"/>
  <c r="Q221" i="10"/>
  <c r="Q222" i="10"/>
  <c r="Q224" i="10"/>
  <c r="Q225" i="10"/>
  <c r="Q226" i="10"/>
  <c r="Q227" i="10"/>
  <c r="Q228" i="10"/>
  <c r="Q229" i="10"/>
  <c r="Q230" i="10"/>
  <c r="Q231" i="10"/>
  <c r="Q232" i="10"/>
  <c r="Q233" i="10"/>
  <c r="P219" i="10"/>
  <c r="P220" i="10"/>
  <c r="P221" i="10"/>
  <c r="P222" i="10"/>
  <c r="P224" i="10"/>
  <c r="P225" i="10"/>
  <c r="P226" i="10"/>
  <c r="P227" i="10"/>
  <c r="P228" i="10"/>
  <c r="P229" i="10"/>
  <c r="P230" i="10"/>
  <c r="P231" i="10"/>
  <c r="P232" i="10"/>
  <c r="P233" i="10"/>
  <c r="O219" i="10"/>
  <c r="O220" i="10"/>
  <c r="O221" i="10"/>
  <c r="O222" i="10"/>
  <c r="O224" i="10"/>
  <c r="O225" i="10"/>
  <c r="O226" i="10"/>
  <c r="O227" i="10"/>
  <c r="O228" i="10"/>
  <c r="O229" i="10"/>
  <c r="O230" i="10"/>
  <c r="O231" i="10"/>
  <c r="O232" i="10"/>
  <c r="O233" i="10"/>
  <c r="N219" i="10"/>
  <c r="N220" i="10"/>
  <c r="N221" i="10"/>
  <c r="N222" i="10"/>
  <c r="N224" i="10"/>
  <c r="N225" i="10"/>
  <c r="N226" i="10"/>
  <c r="N227" i="10"/>
  <c r="N228" i="10"/>
  <c r="N229" i="10"/>
  <c r="N230" i="10"/>
  <c r="N231" i="10"/>
  <c r="N232" i="10"/>
  <c r="N233" i="10"/>
  <c r="M219" i="10"/>
  <c r="M220" i="10"/>
  <c r="M221" i="10"/>
  <c r="M222" i="10"/>
  <c r="M224" i="10"/>
  <c r="M225" i="10"/>
  <c r="M226" i="10"/>
  <c r="M227" i="10"/>
  <c r="M228" i="10"/>
  <c r="M229" i="10"/>
  <c r="M230" i="10"/>
  <c r="M231" i="10"/>
  <c r="M232" i="10"/>
  <c r="M233" i="10"/>
  <c r="L219" i="10"/>
  <c r="L220" i="10"/>
  <c r="L221" i="10"/>
  <c r="L222" i="10"/>
  <c r="L224" i="10"/>
  <c r="L225" i="10"/>
  <c r="L226" i="10"/>
  <c r="L227" i="10"/>
  <c r="L228" i="10"/>
  <c r="L229" i="10"/>
  <c r="L230" i="10"/>
  <c r="L231" i="10"/>
  <c r="L232" i="10"/>
  <c r="L233" i="10"/>
  <c r="K219" i="10"/>
  <c r="K220" i="10"/>
  <c r="K221" i="10"/>
  <c r="K222" i="10"/>
  <c r="K224" i="10"/>
  <c r="K225" i="10"/>
  <c r="K226" i="10"/>
  <c r="K227" i="10"/>
  <c r="K228" i="10"/>
  <c r="K229" i="10"/>
  <c r="K230" i="10"/>
  <c r="K231" i="10"/>
  <c r="K232" i="10"/>
  <c r="K233" i="10"/>
  <c r="J219" i="10"/>
  <c r="J220" i="10"/>
  <c r="J221" i="10"/>
  <c r="J222" i="10"/>
  <c r="J224" i="10"/>
  <c r="J225" i="10"/>
  <c r="J226" i="10"/>
  <c r="J227" i="10"/>
  <c r="J228" i="10"/>
  <c r="J229" i="10"/>
  <c r="J230" i="10"/>
  <c r="J231" i="10"/>
  <c r="J232" i="10"/>
  <c r="J233" i="10"/>
  <c r="I219" i="10"/>
  <c r="I220" i="10"/>
  <c r="I221" i="10"/>
  <c r="I222" i="10"/>
  <c r="I224" i="10"/>
  <c r="I225" i="10"/>
  <c r="I226" i="10"/>
  <c r="I227" i="10"/>
  <c r="I228" i="10"/>
  <c r="I229" i="10"/>
  <c r="I230" i="10"/>
  <c r="I231" i="10"/>
  <c r="I232" i="10"/>
  <c r="I233" i="10"/>
  <c r="H219" i="10"/>
  <c r="H220" i="10"/>
  <c r="H221" i="10"/>
  <c r="H222" i="10"/>
  <c r="H224" i="10"/>
  <c r="H225" i="10"/>
  <c r="H226" i="10"/>
  <c r="H227" i="10"/>
  <c r="H228" i="10"/>
  <c r="H229" i="10"/>
  <c r="H230" i="10"/>
  <c r="H231" i="10"/>
  <c r="H232" i="10"/>
  <c r="H233" i="10"/>
  <c r="Q207" i="10"/>
  <c r="Q201" i="10"/>
  <c r="Q204" i="10"/>
  <c r="Q205" i="10"/>
  <c r="Q206" i="10"/>
  <c r="Q208" i="10"/>
  <c r="Q209" i="10"/>
  <c r="Q210" i="10"/>
  <c r="Q211" i="10"/>
  <c r="Q212" i="10"/>
  <c r="Q213" i="10"/>
  <c r="Q214" i="10"/>
  <c r="Q215" i="10"/>
  <c r="P207" i="10"/>
  <c r="P201" i="10"/>
  <c r="P204" i="10"/>
  <c r="P205" i="10"/>
  <c r="P206" i="10"/>
  <c r="P208" i="10"/>
  <c r="P209" i="10"/>
  <c r="P210" i="10"/>
  <c r="P211" i="10"/>
  <c r="P212" i="10"/>
  <c r="P213" i="10"/>
  <c r="P214" i="10"/>
  <c r="P215" i="10"/>
  <c r="O207" i="10"/>
  <c r="O201" i="10"/>
  <c r="O204" i="10"/>
  <c r="O205" i="10"/>
  <c r="O206" i="10"/>
  <c r="O208" i="10"/>
  <c r="O209" i="10"/>
  <c r="O210" i="10"/>
  <c r="O211" i="10"/>
  <c r="O212" i="10"/>
  <c r="O213" i="10"/>
  <c r="O214" i="10"/>
  <c r="O215" i="10"/>
  <c r="N207" i="10"/>
  <c r="N201" i="10"/>
  <c r="N204" i="10"/>
  <c r="N205" i="10"/>
  <c r="N206" i="10"/>
  <c r="N208" i="10"/>
  <c r="N209" i="10"/>
  <c r="N210" i="10"/>
  <c r="N211" i="10"/>
  <c r="N212" i="10"/>
  <c r="N213" i="10"/>
  <c r="N214" i="10"/>
  <c r="N215" i="10"/>
  <c r="M207" i="10"/>
  <c r="M201" i="10"/>
  <c r="M204" i="10"/>
  <c r="M205" i="10"/>
  <c r="M206" i="10"/>
  <c r="M208" i="10"/>
  <c r="M209" i="10"/>
  <c r="M210" i="10"/>
  <c r="M211" i="10"/>
  <c r="M212" i="10"/>
  <c r="M213" i="10"/>
  <c r="M214" i="10"/>
  <c r="M215" i="10"/>
  <c r="L207" i="10"/>
  <c r="L201" i="10"/>
  <c r="L204" i="10"/>
  <c r="L205" i="10"/>
  <c r="L206" i="10"/>
  <c r="L208" i="10"/>
  <c r="L209" i="10"/>
  <c r="L210" i="10"/>
  <c r="L211" i="10"/>
  <c r="L212" i="10"/>
  <c r="L213" i="10"/>
  <c r="L214" i="10"/>
  <c r="L215" i="10"/>
  <c r="K207" i="10"/>
  <c r="K201" i="10"/>
  <c r="K204" i="10"/>
  <c r="K205" i="10"/>
  <c r="K206" i="10"/>
  <c r="K208" i="10"/>
  <c r="K209" i="10"/>
  <c r="K210" i="10"/>
  <c r="K211" i="10"/>
  <c r="K212" i="10"/>
  <c r="K213" i="10"/>
  <c r="K214" i="10"/>
  <c r="K215" i="10"/>
  <c r="J207" i="10"/>
  <c r="J201" i="10"/>
  <c r="J204" i="10"/>
  <c r="J205" i="10"/>
  <c r="J206" i="10"/>
  <c r="J208" i="10"/>
  <c r="J209" i="10"/>
  <c r="J210" i="10"/>
  <c r="J211" i="10"/>
  <c r="J212" i="10"/>
  <c r="J213" i="10"/>
  <c r="J214" i="10"/>
  <c r="J215" i="10"/>
  <c r="I207" i="10"/>
  <c r="I201" i="10"/>
  <c r="I204" i="10"/>
  <c r="I205" i="10"/>
  <c r="I206" i="10"/>
  <c r="I208" i="10"/>
  <c r="I209" i="10"/>
  <c r="I210" i="10"/>
  <c r="I211" i="10"/>
  <c r="I212" i="10"/>
  <c r="I213" i="10"/>
  <c r="I214" i="10"/>
  <c r="I215" i="10"/>
  <c r="H207" i="10"/>
  <c r="H201" i="10"/>
  <c r="H204" i="10"/>
  <c r="H205" i="10"/>
  <c r="H206" i="10"/>
  <c r="H208" i="10"/>
  <c r="H209" i="10"/>
  <c r="H210" i="10"/>
  <c r="H211" i="10"/>
  <c r="H212" i="10"/>
  <c r="H213" i="10"/>
  <c r="H214" i="10"/>
  <c r="H215" i="10"/>
  <c r="Q183" i="10"/>
  <c r="Q193" i="10"/>
  <c r="Q194" i="10"/>
  <c r="Q195" i="10"/>
  <c r="Q196" i="10"/>
  <c r="Q197" i="10"/>
  <c r="P183" i="10"/>
  <c r="P193" i="10"/>
  <c r="P194" i="10"/>
  <c r="P195" i="10"/>
  <c r="P196" i="10"/>
  <c r="P197" i="10"/>
  <c r="O183" i="10"/>
  <c r="O193" i="10"/>
  <c r="O194" i="10"/>
  <c r="O195" i="10"/>
  <c r="O196" i="10"/>
  <c r="O197" i="10"/>
  <c r="N183" i="10"/>
  <c r="N193" i="10"/>
  <c r="N194" i="10"/>
  <c r="N195" i="10"/>
  <c r="N196" i="10"/>
  <c r="N197" i="10"/>
  <c r="M183" i="10"/>
  <c r="M193" i="10"/>
  <c r="M194" i="10"/>
  <c r="M195" i="10"/>
  <c r="M196" i="10"/>
  <c r="M197" i="10"/>
  <c r="L183" i="10"/>
  <c r="L193" i="10"/>
  <c r="L194" i="10"/>
  <c r="L195" i="10"/>
  <c r="L196" i="10"/>
  <c r="L197" i="10"/>
  <c r="K183" i="10"/>
  <c r="K193" i="10"/>
  <c r="K194" i="10"/>
  <c r="K195" i="10"/>
  <c r="K196" i="10"/>
  <c r="K197" i="10"/>
  <c r="J183" i="10"/>
  <c r="J193" i="10"/>
  <c r="J194" i="10"/>
  <c r="J195" i="10"/>
  <c r="J196" i="10"/>
  <c r="J197" i="10"/>
  <c r="I183" i="10"/>
  <c r="I193" i="10"/>
  <c r="I194" i="10"/>
  <c r="I195" i="10"/>
  <c r="I196" i="10"/>
  <c r="I197" i="10"/>
  <c r="H183" i="10"/>
  <c r="H193" i="10"/>
  <c r="H194" i="10"/>
  <c r="H195" i="10"/>
  <c r="H196" i="10"/>
  <c r="H197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8" i="10"/>
  <c r="Q179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8" i="10"/>
  <c r="P179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8" i="10"/>
  <c r="O179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8" i="10"/>
  <c r="N179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8" i="10"/>
  <c r="M179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8" i="10"/>
  <c r="L179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8" i="10"/>
  <c r="K179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8" i="10"/>
  <c r="J179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8" i="10"/>
  <c r="I179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8" i="10"/>
  <c r="H179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60" i="10"/>
  <c r="Q161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60" i="10"/>
  <c r="P161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60" i="10"/>
  <c r="O161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60" i="10"/>
  <c r="N161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60" i="10"/>
  <c r="M161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60" i="10"/>
  <c r="L161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60" i="10"/>
  <c r="K161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60" i="10"/>
  <c r="J161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60" i="10"/>
  <c r="I161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60" i="10"/>
  <c r="H161" i="10"/>
  <c r="Q129" i="10"/>
  <c r="Q130" i="10"/>
  <c r="Q131" i="10"/>
  <c r="Q132" i="10"/>
  <c r="Q134" i="10"/>
  <c r="Q135" i="10"/>
  <c r="Q136" i="10"/>
  <c r="Q137" i="10"/>
  <c r="Q138" i="10"/>
  <c r="Q139" i="10"/>
  <c r="Q140" i="10"/>
  <c r="Q141" i="10"/>
  <c r="Q142" i="10"/>
  <c r="Q143" i="10"/>
  <c r="P129" i="10"/>
  <c r="P130" i="10"/>
  <c r="P131" i="10"/>
  <c r="P132" i="10"/>
  <c r="P134" i="10"/>
  <c r="P135" i="10"/>
  <c r="P136" i="10"/>
  <c r="P137" i="10"/>
  <c r="P138" i="10"/>
  <c r="P139" i="10"/>
  <c r="P140" i="10"/>
  <c r="P141" i="10"/>
  <c r="P142" i="10"/>
  <c r="P143" i="10"/>
  <c r="O129" i="10"/>
  <c r="O130" i="10"/>
  <c r="O131" i="10"/>
  <c r="O132" i="10"/>
  <c r="O134" i="10"/>
  <c r="O135" i="10"/>
  <c r="O136" i="10"/>
  <c r="O137" i="10"/>
  <c r="O138" i="10"/>
  <c r="O139" i="10"/>
  <c r="O140" i="10"/>
  <c r="O141" i="10"/>
  <c r="O142" i="10"/>
  <c r="O143" i="10"/>
  <c r="N129" i="10"/>
  <c r="N130" i="10"/>
  <c r="N131" i="10"/>
  <c r="N132" i="10"/>
  <c r="N134" i="10"/>
  <c r="N135" i="10"/>
  <c r="N136" i="10"/>
  <c r="N137" i="10"/>
  <c r="N138" i="10"/>
  <c r="N139" i="10"/>
  <c r="N140" i="10"/>
  <c r="N141" i="10"/>
  <c r="N142" i="10"/>
  <c r="N143" i="10"/>
  <c r="M129" i="10"/>
  <c r="M130" i="10"/>
  <c r="M131" i="10"/>
  <c r="M132" i="10"/>
  <c r="M134" i="10"/>
  <c r="M135" i="10"/>
  <c r="M136" i="10"/>
  <c r="M137" i="10"/>
  <c r="M138" i="10"/>
  <c r="M139" i="10"/>
  <c r="M140" i="10"/>
  <c r="M141" i="10"/>
  <c r="M142" i="10"/>
  <c r="M143" i="10"/>
  <c r="L129" i="10"/>
  <c r="L130" i="10"/>
  <c r="L131" i="10"/>
  <c r="L132" i="10"/>
  <c r="L134" i="10"/>
  <c r="L135" i="10"/>
  <c r="L136" i="10"/>
  <c r="L137" i="10"/>
  <c r="L138" i="10"/>
  <c r="L139" i="10"/>
  <c r="L140" i="10"/>
  <c r="L141" i="10"/>
  <c r="L142" i="10"/>
  <c r="L143" i="10"/>
  <c r="K129" i="10"/>
  <c r="K130" i="10"/>
  <c r="K131" i="10"/>
  <c r="K132" i="10"/>
  <c r="K134" i="10"/>
  <c r="K135" i="10"/>
  <c r="K136" i="10"/>
  <c r="K137" i="10"/>
  <c r="K138" i="10"/>
  <c r="K139" i="10"/>
  <c r="K140" i="10"/>
  <c r="K141" i="10"/>
  <c r="K142" i="10"/>
  <c r="K143" i="10"/>
  <c r="J129" i="10"/>
  <c r="J130" i="10"/>
  <c r="J131" i="10"/>
  <c r="J132" i="10"/>
  <c r="J134" i="10"/>
  <c r="J135" i="10"/>
  <c r="J136" i="10"/>
  <c r="J137" i="10"/>
  <c r="J138" i="10"/>
  <c r="J139" i="10"/>
  <c r="J140" i="10"/>
  <c r="J141" i="10"/>
  <c r="J142" i="10"/>
  <c r="J143" i="10"/>
  <c r="I129" i="10"/>
  <c r="I130" i="10"/>
  <c r="I131" i="10"/>
  <c r="I132" i="10"/>
  <c r="I134" i="10"/>
  <c r="I135" i="10"/>
  <c r="I136" i="10"/>
  <c r="I137" i="10"/>
  <c r="I138" i="10"/>
  <c r="I139" i="10"/>
  <c r="I140" i="10"/>
  <c r="I141" i="10"/>
  <c r="I142" i="10"/>
  <c r="I143" i="10"/>
  <c r="H129" i="10"/>
  <c r="H130" i="10"/>
  <c r="H131" i="10"/>
  <c r="H132" i="10"/>
  <c r="H134" i="10"/>
  <c r="H135" i="10"/>
  <c r="H136" i="10"/>
  <c r="H137" i="10"/>
  <c r="H138" i="10"/>
  <c r="H139" i="10"/>
  <c r="H140" i="10"/>
  <c r="H141" i="10"/>
  <c r="H142" i="10"/>
  <c r="H143" i="10"/>
  <c r="Q112" i="10"/>
  <c r="Q113" i="10"/>
  <c r="Q114" i="10"/>
  <c r="Q115" i="10"/>
  <c r="Q116" i="10"/>
  <c r="Q117" i="10"/>
  <c r="Q118" i="10"/>
  <c r="Q120" i="10"/>
  <c r="Q121" i="10"/>
  <c r="Q122" i="10"/>
  <c r="Q124" i="10"/>
  <c r="Q125" i="10"/>
  <c r="P112" i="10"/>
  <c r="P113" i="10"/>
  <c r="P114" i="10"/>
  <c r="P115" i="10"/>
  <c r="P116" i="10"/>
  <c r="P117" i="10"/>
  <c r="P118" i="10"/>
  <c r="P120" i="10"/>
  <c r="P121" i="10"/>
  <c r="P122" i="10"/>
  <c r="P124" i="10"/>
  <c r="P125" i="10"/>
  <c r="O112" i="10"/>
  <c r="O113" i="10"/>
  <c r="O114" i="10"/>
  <c r="O115" i="10"/>
  <c r="O116" i="10"/>
  <c r="O117" i="10"/>
  <c r="O118" i="10"/>
  <c r="O120" i="10"/>
  <c r="O121" i="10"/>
  <c r="O122" i="10"/>
  <c r="O124" i="10"/>
  <c r="O125" i="10"/>
  <c r="N112" i="10"/>
  <c r="N113" i="10"/>
  <c r="N114" i="10"/>
  <c r="N115" i="10"/>
  <c r="N116" i="10"/>
  <c r="N117" i="10"/>
  <c r="N118" i="10"/>
  <c r="N120" i="10"/>
  <c r="N121" i="10"/>
  <c r="N122" i="10"/>
  <c r="N124" i="10"/>
  <c r="N125" i="10"/>
  <c r="M112" i="10"/>
  <c r="M113" i="10"/>
  <c r="M114" i="10"/>
  <c r="M115" i="10"/>
  <c r="M116" i="10"/>
  <c r="M117" i="10"/>
  <c r="M118" i="10"/>
  <c r="M120" i="10"/>
  <c r="M121" i="10"/>
  <c r="M122" i="10"/>
  <c r="M124" i="10"/>
  <c r="M125" i="10"/>
  <c r="L112" i="10"/>
  <c r="L113" i="10"/>
  <c r="L114" i="10"/>
  <c r="L115" i="10"/>
  <c r="L116" i="10"/>
  <c r="L117" i="10"/>
  <c r="L118" i="10"/>
  <c r="L120" i="10"/>
  <c r="L121" i="10"/>
  <c r="L122" i="10"/>
  <c r="L124" i="10"/>
  <c r="L125" i="10"/>
  <c r="K112" i="10"/>
  <c r="K113" i="10"/>
  <c r="K114" i="10"/>
  <c r="K115" i="10"/>
  <c r="K116" i="10"/>
  <c r="K117" i="10"/>
  <c r="K118" i="10"/>
  <c r="K120" i="10"/>
  <c r="K121" i="10"/>
  <c r="K122" i="10"/>
  <c r="K124" i="10"/>
  <c r="K125" i="10"/>
  <c r="J112" i="10"/>
  <c r="J113" i="10"/>
  <c r="J114" i="10"/>
  <c r="J115" i="10"/>
  <c r="J116" i="10"/>
  <c r="J117" i="10"/>
  <c r="J118" i="10"/>
  <c r="J120" i="10"/>
  <c r="J121" i="10"/>
  <c r="J122" i="10"/>
  <c r="J124" i="10"/>
  <c r="J125" i="10"/>
  <c r="I112" i="10"/>
  <c r="I113" i="10"/>
  <c r="I114" i="10"/>
  <c r="I115" i="10"/>
  <c r="I116" i="10"/>
  <c r="I117" i="10"/>
  <c r="I118" i="10"/>
  <c r="I120" i="10"/>
  <c r="I121" i="10"/>
  <c r="I122" i="10"/>
  <c r="I124" i="10"/>
  <c r="I125" i="10"/>
  <c r="H112" i="10"/>
  <c r="H113" i="10"/>
  <c r="H114" i="10"/>
  <c r="H115" i="10"/>
  <c r="H116" i="10"/>
  <c r="H117" i="10"/>
  <c r="H118" i="10"/>
  <c r="H120" i="10"/>
  <c r="H121" i="10"/>
  <c r="H122" i="10"/>
  <c r="H124" i="10"/>
  <c r="H125" i="10"/>
  <c r="Q104" i="10"/>
  <c r="Q93" i="10"/>
  <c r="Q94" i="10"/>
  <c r="Q95" i="10"/>
  <c r="Q96" i="10"/>
  <c r="Q97" i="10"/>
  <c r="Q98" i="10"/>
  <c r="Q99" i="10"/>
  <c r="Q100" i="10"/>
  <c r="Q101" i="10"/>
  <c r="Q102" i="10"/>
  <c r="Q103" i="10"/>
  <c r="Q105" i="10"/>
  <c r="Q106" i="10"/>
  <c r="Q107" i="10"/>
  <c r="P104" i="10"/>
  <c r="P93" i="10"/>
  <c r="P94" i="10"/>
  <c r="P95" i="10"/>
  <c r="P96" i="10"/>
  <c r="P97" i="10"/>
  <c r="P98" i="10"/>
  <c r="P99" i="10"/>
  <c r="P100" i="10"/>
  <c r="P101" i="10"/>
  <c r="P102" i="10"/>
  <c r="P103" i="10"/>
  <c r="P105" i="10"/>
  <c r="P106" i="10"/>
  <c r="P107" i="10"/>
  <c r="O104" i="10"/>
  <c r="O93" i="10"/>
  <c r="O94" i="10"/>
  <c r="O95" i="10"/>
  <c r="O96" i="10"/>
  <c r="O97" i="10"/>
  <c r="O98" i="10"/>
  <c r="O99" i="10"/>
  <c r="O100" i="10"/>
  <c r="O101" i="10"/>
  <c r="O102" i="10"/>
  <c r="O103" i="10"/>
  <c r="O105" i="10"/>
  <c r="O106" i="10"/>
  <c r="O107" i="10"/>
  <c r="N104" i="10"/>
  <c r="N93" i="10"/>
  <c r="N94" i="10"/>
  <c r="N95" i="10"/>
  <c r="N96" i="10"/>
  <c r="N97" i="10"/>
  <c r="N98" i="10"/>
  <c r="N99" i="10"/>
  <c r="N100" i="10"/>
  <c r="N101" i="10"/>
  <c r="N102" i="10"/>
  <c r="N103" i="10"/>
  <c r="N105" i="10"/>
  <c r="N106" i="10"/>
  <c r="N107" i="10"/>
  <c r="M104" i="10"/>
  <c r="M93" i="10"/>
  <c r="M94" i="10"/>
  <c r="M95" i="10"/>
  <c r="M96" i="10"/>
  <c r="M97" i="10"/>
  <c r="M98" i="10"/>
  <c r="M99" i="10"/>
  <c r="M100" i="10"/>
  <c r="M101" i="10"/>
  <c r="M102" i="10"/>
  <c r="M103" i="10"/>
  <c r="M105" i="10"/>
  <c r="M106" i="10"/>
  <c r="M107" i="10"/>
  <c r="L104" i="10"/>
  <c r="L93" i="10"/>
  <c r="L94" i="10"/>
  <c r="L95" i="10"/>
  <c r="L96" i="10"/>
  <c r="L97" i="10"/>
  <c r="L98" i="10"/>
  <c r="L99" i="10"/>
  <c r="L100" i="10"/>
  <c r="L101" i="10"/>
  <c r="L102" i="10"/>
  <c r="L103" i="10"/>
  <c r="L105" i="10"/>
  <c r="L106" i="10"/>
  <c r="L107" i="10"/>
  <c r="K104" i="10"/>
  <c r="K93" i="10"/>
  <c r="K94" i="10"/>
  <c r="K95" i="10"/>
  <c r="K96" i="10"/>
  <c r="K97" i="10"/>
  <c r="K98" i="10"/>
  <c r="K99" i="10"/>
  <c r="K100" i="10"/>
  <c r="K101" i="10"/>
  <c r="K102" i="10"/>
  <c r="K103" i="10"/>
  <c r="K105" i="10"/>
  <c r="K106" i="10"/>
  <c r="K107" i="10"/>
  <c r="J104" i="10"/>
  <c r="J93" i="10"/>
  <c r="J94" i="10"/>
  <c r="J95" i="10"/>
  <c r="J96" i="10"/>
  <c r="J97" i="10"/>
  <c r="J98" i="10"/>
  <c r="J99" i="10"/>
  <c r="J100" i="10"/>
  <c r="J101" i="10"/>
  <c r="J102" i="10"/>
  <c r="J103" i="10"/>
  <c r="J105" i="10"/>
  <c r="J106" i="10"/>
  <c r="J107" i="10"/>
  <c r="I104" i="10"/>
  <c r="I93" i="10"/>
  <c r="I94" i="10"/>
  <c r="I95" i="10"/>
  <c r="I96" i="10"/>
  <c r="I97" i="10"/>
  <c r="I98" i="10"/>
  <c r="I99" i="10"/>
  <c r="I100" i="10"/>
  <c r="I101" i="10"/>
  <c r="I102" i="10"/>
  <c r="I103" i="10"/>
  <c r="I105" i="10"/>
  <c r="I106" i="10"/>
  <c r="I107" i="10"/>
  <c r="H104" i="10"/>
  <c r="H93" i="10"/>
  <c r="H94" i="10"/>
  <c r="H95" i="10"/>
  <c r="H96" i="10"/>
  <c r="H97" i="10"/>
  <c r="H98" i="10"/>
  <c r="H99" i="10"/>
  <c r="H100" i="10"/>
  <c r="H101" i="10"/>
  <c r="H102" i="10"/>
  <c r="H103" i="10"/>
  <c r="H105" i="10"/>
  <c r="H106" i="10"/>
  <c r="H107" i="10"/>
  <c r="Q75" i="10"/>
  <c r="Q88" i="10"/>
  <c r="Q89" i="10"/>
  <c r="P75" i="10"/>
  <c r="P88" i="10"/>
  <c r="P89" i="10"/>
  <c r="O75" i="10"/>
  <c r="O88" i="10"/>
  <c r="O89" i="10"/>
  <c r="N75" i="10"/>
  <c r="N88" i="10"/>
  <c r="N89" i="10"/>
  <c r="M75" i="10"/>
  <c r="M88" i="10"/>
  <c r="M89" i="10"/>
  <c r="L75" i="10"/>
  <c r="L88" i="10"/>
  <c r="L89" i="10"/>
  <c r="K75" i="10"/>
  <c r="K88" i="10"/>
  <c r="K89" i="10"/>
  <c r="J75" i="10"/>
  <c r="J88" i="10"/>
  <c r="J89" i="10"/>
  <c r="I75" i="10"/>
  <c r="I88" i="10"/>
  <c r="I89" i="10"/>
  <c r="H75" i="10"/>
  <c r="H88" i="10"/>
  <c r="H89" i="10"/>
  <c r="Q57" i="10"/>
  <c r="Q58" i="10"/>
  <c r="Q59" i="10"/>
  <c r="Q60" i="10"/>
  <c r="Q62" i="10"/>
  <c r="Q63" i="10"/>
  <c r="Q64" i="10"/>
  <c r="Q66" i="10"/>
  <c r="Q67" i="10"/>
  <c r="Q68" i="10"/>
  <c r="Q69" i="10"/>
  <c r="Q70" i="10"/>
  <c r="Q71" i="10"/>
  <c r="P57" i="10"/>
  <c r="P58" i="10"/>
  <c r="P59" i="10"/>
  <c r="P60" i="10"/>
  <c r="P62" i="10"/>
  <c r="P63" i="10"/>
  <c r="P64" i="10"/>
  <c r="P66" i="10"/>
  <c r="P67" i="10"/>
  <c r="P68" i="10"/>
  <c r="P69" i="10"/>
  <c r="P70" i="10"/>
  <c r="P71" i="10"/>
  <c r="O57" i="10"/>
  <c r="O58" i="10"/>
  <c r="O59" i="10"/>
  <c r="O60" i="10"/>
  <c r="O62" i="10"/>
  <c r="O63" i="10"/>
  <c r="O64" i="10"/>
  <c r="O66" i="10"/>
  <c r="O67" i="10"/>
  <c r="O68" i="10"/>
  <c r="O69" i="10"/>
  <c r="O70" i="10"/>
  <c r="O71" i="10"/>
  <c r="N57" i="10"/>
  <c r="N58" i="10"/>
  <c r="N59" i="10"/>
  <c r="N60" i="10"/>
  <c r="N62" i="10"/>
  <c r="N63" i="10"/>
  <c r="N64" i="10"/>
  <c r="N66" i="10"/>
  <c r="N67" i="10"/>
  <c r="N68" i="10"/>
  <c r="N69" i="10"/>
  <c r="N70" i="10"/>
  <c r="N71" i="10"/>
  <c r="M57" i="10"/>
  <c r="M58" i="10"/>
  <c r="M59" i="10"/>
  <c r="M60" i="10"/>
  <c r="M62" i="10"/>
  <c r="M63" i="10"/>
  <c r="M64" i="10"/>
  <c r="M66" i="10"/>
  <c r="M67" i="10"/>
  <c r="M68" i="10"/>
  <c r="M69" i="10"/>
  <c r="M70" i="10"/>
  <c r="M71" i="10"/>
  <c r="L57" i="10"/>
  <c r="L58" i="10"/>
  <c r="L59" i="10"/>
  <c r="L60" i="10"/>
  <c r="L62" i="10"/>
  <c r="L63" i="10"/>
  <c r="L64" i="10"/>
  <c r="L66" i="10"/>
  <c r="L67" i="10"/>
  <c r="L68" i="10"/>
  <c r="L69" i="10"/>
  <c r="L70" i="10"/>
  <c r="L71" i="10"/>
  <c r="K57" i="10"/>
  <c r="K58" i="10"/>
  <c r="K59" i="10"/>
  <c r="K60" i="10"/>
  <c r="K62" i="10"/>
  <c r="K63" i="10"/>
  <c r="K64" i="10"/>
  <c r="K66" i="10"/>
  <c r="K67" i="10"/>
  <c r="K68" i="10"/>
  <c r="K69" i="10"/>
  <c r="K70" i="10"/>
  <c r="K71" i="10"/>
  <c r="J57" i="10"/>
  <c r="J58" i="10"/>
  <c r="J59" i="10"/>
  <c r="J60" i="10"/>
  <c r="J62" i="10"/>
  <c r="J63" i="10"/>
  <c r="J64" i="10"/>
  <c r="J66" i="10"/>
  <c r="J67" i="10"/>
  <c r="J68" i="10"/>
  <c r="J69" i="10"/>
  <c r="J70" i="10"/>
  <c r="J71" i="10"/>
  <c r="I57" i="10"/>
  <c r="I58" i="10"/>
  <c r="I59" i="10"/>
  <c r="I60" i="10"/>
  <c r="I62" i="10"/>
  <c r="I63" i="10"/>
  <c r="I64" i="10"/>
  <c r="I66" i="10"/>
  <c r="I67" i="10"/>
  <c r="I68" i="10"/>
  <c r="I69" i="10"/>
  <c r="I70" i="10"/>
  <c r="I71" i="10"/>
  <c r="H57" i="10"/>
  <c r="H58" i="10"/>
  <c r="H59" i="10"/>
  <c r="H60" i="10"/>
  <c r="H62" i="10"/>
  <c r="H63" i="10"/>
  <c r="H64" i="10"/>
  <c r="H66" i="10"/>
  <c r="H67" i="10"/>
  <c r="H68" i="10"/>
  <c r="H69" i="10"/>
  <c r="H70" i="10"/>
  <c r="H71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3" i="7"/>
  <c r="Q4" i="10"/>
  <c r="Q5" i="10"/>
  <c r="Q6" i="10"/>
  <c r="Q7" i="10"/>
  <c r="Q8" i="10"/>
  <c r="Q9" i="10"/>
  <c r="Q10" i="10"/>
  <c r="Q11" i="10"/>
  <c r="Q12" i="10"/>
  <c r="Q13" i="10"/>
  <c r="Q14" i="10"/>
  <c r="Q15" i="10"/>
  <c r="Q3" i="10"/>
  <c r="P4" i="10"/>
  <c r="P5" i="10"/>
  <c r="P6" i="10"/>
  <c r="P7" i="10"/>
  <c r="P8" i="10"/>
  <c r="P9" i="10"/>
  <c r="P10" i="10"/>
  <c r="P11" i="10"/>
  <c r="P12" i="10"/>
  <c r="P13" i="10"/>
  <c r="P14" i="10"/>
  <c r="P15" i="10"/>
  <c r="P3" i="10"/>
  <c r="O4" i="10"/>
  <c r="O5" i="10"/>
  <c r="O6" i="10"/>
  <c r="O7" i="10"/>
  <c r="O8" i="10"/>
  <c r="O9" i="10"/>
  <c r="O10" i="10"/>
  <c r="O11" i="10"/>
  <c r="O12" i="10"/>
  <c r="O13" i="10"/>
  <c r="O14" i="10"/>
  <c r="O15" i="10"/>
  <c r="O3" i="10"/>
  <c r="N4" i="10"/>
  <c r="N5" i="10"/>
  <c r="N6" i="10"/>
  <c r="N7" i="10"/>
  <c r="N8" i="10"/>
  <c r="N9" i="10"/>
  <c r="N10" i="10"/>
  <c r="N11" i="10"/>
  <c r="N12" i="10"/>
  <c r="N13" i="10"/>
  <c r="N14" i="10"/>
  <c r="N15" i="10"/>
  <c r="N3" i="10"/>
  <c r="M4" i="10"/>
  <c r="M5" i="10"/>
  <c r="M6" i="10"/>
  <c r="M7" i="10"/>
  <c r="M8" i="10"/>
  <c r="M9" i="10"/>
  <c r="M10" i="10"/>
  <c r="M11" i="10"/>
  <c r="M12" i="10"/>
  <c r="M13" i="10"/>
  <c r="M14" i="10"/>
  <c r="M15" i="10"/>
  <c r="M3" i="10"/>
  <c r="L4" i="10"/>
  <c r="L5" i="10"/>
  <c r="L6" i="10"/>
  <c r="L7" i="10"/>
  <c r="L8" i="10"/>
  <c r="L9" i="10"/>
  <c r="L10" i="10"/>
  <c r="L11" i="10"/>
  <c r="L12" i="10"/>
  <c r="L13" i="10"/>
  <c r="L14" i="10"/>
  <c r="L15" i="10"/>
  <c r="L3" i="10"/>
  <c r="K4" i="10"/>
  <c r="K5" i="10"/>
  <c r="K6" i="10"/>
  <c r="K7" i="10"/>
  <c r="K8" i="10"/>
  <c r="K9" i="10"/>
  <c r="K10" i="10"/>
  <c r="K11" i="10"/>
  <c r="K12" i="10"/>
  <c r="K13" i="10"/>
  <c r="K14" i="10"/>
  <c r="K15" i="10"/>
  <c r="K3" i="10"/>
  <c r="J4" i="10"/>
  <c r="J5" i="10"/>
  <c r="J6" i="10"/>
  <c r="J7" i="10"/>
  <c r="J8" i="10"/>
  <c r="J9" i="10"/>
  <c r="J10" i="10"/>
  <c r="J11" i="10"/>
  <c r="J12" i="10"/>
  <c r="J13" i="10"/>
  <c r="J14" i="10"/>
  <c r="J15" i="10"/>
  <c r="J3" i="10"/>
  <c r="I4" i="10"/>
  <c r="I5" i="10"/>
  <c r="I6" i="10"/>
  <c r="I7" i="10"/>
  <c r="I8" i="10"/>
  <c r="I9" i="10"/>
  <c r="I10" i="10"/>
  <c r="I11" i="10"/>
  <c r="I12" i="10"/>
  <c r="I13" i="10"/>
  <c r="I14" i="10"/>
  <c r="I15" i="10"/>
  <c r="I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T8" i="10"/>
  <c r="T7" i="10"/>
  <c r="T6" i="10"/>
  <c r="T5" i="10"/>
  <c r="T4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S2" i="10"/>
  <c r="F145" i="10"/>
  <c r="U31" i="10"/>
  <c r="V31" i="10"/>
  <c r="W31" i="10"/>
  <c r="X31" i="10"/>
  <c r="Y31" i="10"/>
  <c r="Z31" i="10"/>
  <c r="AA31" i="10"/>
  <c r="AB31" i="10"/>
  <c r="AC31" i="10"/>
  <c r="T31" i="10"/>
  <c r="U30" i="10"/>
  <c r="V30" i="10"/>
  <c r="W30" i="10"/>
  <c r="X30" i="10"/>
  <c r="Y30" i="10"/>
  <c r="Z30" i="10"/>
  <c r="AA30" i="10"/>
  <c r="AB30" i="10"/>
  <c r="T30" i="10"/>
  <c r="U29" i="10"/>
  <c r="V29" i="10"/>
  <c r="W29" i="10"/>
  <c r="X29" i="10"/>
  <c r="Y29" i="10"/>
  <c r="Z29" i="10"/>
  <c r="AA29" i="10"/>
  <c r="AB29" i="10"/>
  <c r="T29" i="10"/>
  <c r="U28" i="10"/>
  <c r="V28" i="10"/>
  <c r="W28" i="10"/>
  <c r="X28" i="10"/>
  <c r="Y28" i="10"/>
  <c r="Z28" i="10"/>
  <c r="AA28" i="10"/>
  <c r="AB28" i="10"/>
  <c r="AC28" i="10"/>
  <c r="T28" i="10"/>
  <c r="U27" i="10"/>
  <c r="V27" i="10"/>
  <c r="W27" i="10"/>
  <c r="X27" i="10"/>
  <c r="Y27" i="10"/>
  <c r="Z27" i="10"/>
  <c r="AA27" i="10"/>
  <c r="AB27" i="10"/>
  <c r="T27" i="10"/>
  <c r="U26" i="10"/>
  <c r="V26" i="10"/>
  <c r="W26" i="10"/>
  <c r="X26" i="10"/>
  <c r="Y26" i="10"/>
  <c r="Z26" i="10"/>
  <c r="AA26" i="10"/>
  <c r="AB26" i="10"/>
  <c r="AC26" i="10"/>
  <c r="T26" i="10"/>
  <c r="U25" i="10"/>
  <c r="V25" i="10"/>
  <c r="W25" i="10"/>
  <c r="X25" i="10"/>
  <c r="Y25" i="10"/>
  <c r="Z25" i="10"/>
  <c r="AA25" i="10"/>
  <c r="AB25" i="10"/>
  <c r="T25" i="10"/>
  <c r="U24" i="10"/>
  <c r="V24" i="10"/>
  <c r="W24" i="10"/>
  <c r="X24" i="10"/>
  <c r="Y24" i="10"/>
  <c r="Z24" i="10"/>
  <c r="AA24" i="10"/>
  <c r="AB24" i="10"/>
  <c r="T24" i="10"/>
  <c r="U23" i="10"/>
  <c r="V23" i="10"/>
  <c r="W23" i="10"/>
  <c r="X23" i="10"/>
  <c r="Y23" i="10"/>
  <c r="Z23" i="10"/>
  <c r="AA23" i="10"/>
  <c r="AB23" i="10"/>
  <c r="T23" i="10"/>
  <c r="U22" i="10"/>
  <c r="V22" i="10"/>
  <c r="W22" i="10"/>
  <c r="X22" i="10"/>
  <c r="Y22" i="10"/>
  <c r="Z22" i="10"/>
  <c r="AA22" i="10"/>
  <c r="AB22" i="10"/>
  <c r="T22" i="10"/>
  <c r="U21" i="10"/>
  <c r="V21" i="10"/>
  <c r="W21" i="10"/>
  <c r="X21" i="10"/>
  <c r="Y21" i="10"/>
  <c r="Z21" i="10"/>
  <c r="AA21" i="10"/>
  <c r="AB21" i="10"/>
  <c r="T21" i="10"/>
  <c r="U20" i="10"/>
  <c r="V20" i="10"/>
  <c r="W20" i="10"/>
  <c r="X20" i="10"/>
  <c r="Y20" i="10"/>
  <c r="Z20" i="10"/>
  <c r="AA20" i="10"/>
  <c r="AB20" i="10"/>
  <c r="T20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18" i="10"/>
  <c r="U6" i="10"/>
  <c r="V6" i="10"/>
  <c r="W6" i="10"/>
  <c r="X6" i="10"/>
  <c r="Y6" i="10"/>
  <c r="Z6" i="10"/>
  <c r="AA6" i="10"/>
  <c r="AB6" i="10"/>
  <c r="T11" i="10"/>
  <c r="T15" i="10"/>
  <c r="U11" i="10"/>
  <c r="U15" i="10"/>
  <c r="V11" i="10"/>
  <c r="V15" i="10"/>
  <c r="W11" i="10"/>
  <c r="W15" i="10"/>
  <c r="X11" i="10"/>
  <c r="X15" i="10"/>
  <c r="Y11" i="10"/>
  <c r="Y15" i="10"/>
  <c r="Z11" i="10"/>
  <c r="Z15" i="10"/>
  <c r="AA11" i="10"/>
  <c r="AA15" i="10"/>
  <c r="AB11" i="10"/>
  <c r="AB15" i="10"/>
  <c r="U8" i="10"/>
  <c r="V8" i="10"/>
  <c r="W8" i="10"/>
  <c r="X8" i="10"/>
  <c r="Y8" i="10"/>
  <c r="Z8" i="10"/>
  <c r="AA8" i="10"/>
  <c r="AB8" i="10"/>
  <c r="U7" i="10"/>
  <c r="V7" i="10"/>
  <c r="W7" i="10"/>
  <c r="X7" i="10"/>
  <c r="Y7" i="10"/>
  <c r="Z7" i="10"/>
  <c r="AA7" i="10"/>
  <c r="AB7" i="10"/>
  <c r="U4" i="10"/>
  <c r="V4" i="10"/>
  <c r="W4" i="10"/>
  <c r="X4" i="10"/>
  <c r="Y4" i="10"/>
  <c r="Z4" i="10"/>
  <c r="AA4" i="10"/>
  <c r="AB4" i="10"/>
  <c r="T13" i="10"/>
  <c r="U13" i="10"/>
  <c r="V13" i="10"/>
  <c r="W13" i="10"/>
  <c r="X13" i="10"/>
  <c r="Y13" i="10"/>
  <c r="Z13" i="10"/>
  <c r="AA13" i="10"/>
  <c r="AB13" i="10"/>
  <c r="U5" i="10"/>
  <c r="V5" i="10"/>
  <c r="W5" i="10"/>
  <c r="X5" i="10"/>
  <c r="Y5" i="10"/>
  <c r="Z5" i="10"/>
  <c r="AA5" i="10"/>
  <c r="AB5" i="10"/>
  <c r="T10" i="10"/>
  <c r="U10" i="10"/>
  <c r="V10" i="10"/>
  <c r="W10" i="10"/>
  <c r="X10" i="10"/>
  <c r="Y10" i="10"/>
  <c r="Z10" i="10"/>
  <c r="AA10" i="10"/>
  <c r="AB10" i="10"/>
  <c r="AG6" i="10"/>
  <c r="AI4" i="10"/>
  <c r="T14" i="10"/>
  <c r="U14" i="10"/>
  <c r="V14" i="10"/>
  <c r="W14" i="10"/>
  <c r="X14" i="10"/>
  <c r="Y14" i="10"/>
  <c r="Z14" i="10"/>
  <c r="AA14" i="10"/>
  <c r="AB14" i="10"/>
  <c r="T12" i="10"/>
  <c r="U12" i="10"/>
  <c r="V12" i="10"/>
  <c r="W12" i="10"/>
  <c r="X12" i="10"/>
  <c r="Y12" i="10"/>
  <c r="Z12" i="10"/>
  <c r="AA12" i="10"/>
  <c r="AB12" i="10"/>
  <c r="AH6" i="10"/>
  <c r="AI5" i="10"/>
  <c r="AI7" i="10"/>
  <c r="T9" i="10"/>
  <c r="U9" i="10"/>
  <c r="V9" i="10"/>
  <c r="W9" i="10"/>
  <c r="X9" i="10"/>
  <c r="Y9" i="10"/>
  <c r="Z9" i="10"/>
  <c r="AA9" i="10"/>
  <c r="AB9" i="10"/>
  <c r="AI8" i="10"/>
  <c r="AI9" i="10"/>
  <c r="AI10" i="10"/>
  <c r="AI11" i="10"/>
  <c r="AI12" i="10"/>
  <c r="AI13" i="10"/>
  <c r="AI14" i="10"/>
  <c r="AI15" i="10"/>
  <c r="AG5" i="10"/>
  <c r="AH4" i="10"/>
  <c r="AH7" i="10"/>
  <c r="AH8" i="10"/>
  <c r="AH9" i="10"/>
  <c r="AH10" i="10"/>
  <c r="AH11" i="10"/>
  <c r="AH12" i="10"/>
  <c r="AH13" i="10"/>
  <c r="AH14" i="10"/>
  <c r="AH15" i="10"/>
  <c r="AG7" i="10"/>
  <c r="AJ4" i="10"/>
  <c r="AJ5" i="10"/>
  <c r="AJ6" i="10"/>
  <c r="AJ8" i="10"/>
  <c r="AJ9" i="10"/>
  <c r="AJ10" i="10"/>
  <c r="AJ11" i="10"/>
  <c r="AJ12" i="10"/>
  <c r="AJ13" i="10"/>
  <c r="AJ14" i="10"/>
  <c r="AJ15" i="10"/>
  <c r="AG8" i="10"/>
  <c r="AG9" i="10"/>
  <c r="AG10" i="10"/>
  <c r="AG11" i="10"/>
  <c r="AG12" i="10"/>
  <c r="AG13" i="10"/>
  <c r="AG14" i="10"/>
  <c r="AG15" i="10"/>
  <c r="AO4" i="10"/>
  <c r="AO5" i="10"/>
  <c r="AO6" i="10"/>
  <c r="AO7" i="10"/>
  <c r="AK12" i="10"/>
  <c r="AO8" i="10"/>
  <c r="AL12" i="10"/>
  <c r="AO9" i="10"/>
  <c r="AM12" i="10"/>
  <c r="AO10" i="10"/>
  <c r="AN12" i="10"/>
  <c r="AO11" i="10"/>
  <c r="AO13" i="10"/>
  <c r="AO14" i="10"/>
  <c r="AO15" i="10"/>
  <c r="AP4" i="10"/>
  <c r="AP5" i="10"/>
  <c r="AP6" i="10"/>
  <c r="AP7" i="10"/>
  <c r="AK13" i="10"/>
  <c r="AP8" i="10"/>
  <c r="AL13" i="10"/>
  <c r="AP9" i="10"/>
  <c r="AM13" i="10"/>
  <c r="AP10" i="10"/>
  <c r="AN13" i="10"/>
  <c r="AP11" i="10"/>
  <c r="AP12" i="10"/>
  <c r="AP14" i="10"/>
  <c r="AP15" i="10"/>
  <c r="AR4" i="10"/>
  <c r="AR5" i="10"/>
  <c r="AR6" i="10"/>
  <c r="AR7" i="10"/>
  <c r="AK15" i="10"/>
  <c r="AR8" i="10"/>
  <c r="AL15" i="10"/>
  <c r="AR9" i="10"/>
  <c r="AM15" i="10"/>
  <c r="AR10" i="10"/>
  <c r="AN15" i="10"/>
  <c r="AR11" i="10"/>
  <c r="AR12" i="10"/>
  <c r="AR13" i="10"/>
  <c r="AQ15" i="10"/>
  <c r="AR14" i="10"/>
  <c r="AM4" i="10"/>
  <c r="AM5" i="10"/>
  <c r="AM6" i="10"/>
  <c r="AM7" i="10"/>
  <c r="AK10" i="10"/>
  <c r="AM8" i="10"/>
  <c r="AL10" i="10"/>
  <c r="AM9" i="10"/>
  <c r="AM11" i="10"/>
  <c r="AM14" i="10"/>
  <c r="AN4" i="10"/>
  <c r="AN5" i="10"/>
  <c r="AN6" i="10"/>
  <c r="AN7" i="10"/>
  <c r="AK11" i="10"/>
  <c r="AN8" i="10"/>
  <c r="AL11" i="10"/>
  <c r="AN9" i="10"/>
  <c r="AN10" i="10"/>
  <c r="AN14" i="10"/>
  <c r="AK4" i="10"/>
  <c r="AK5" i="10"/>
  <c r="AK6" i="10"/>
  <c r="AK7" i="10"/>
  <c r="AK9" i="10"/>
  <c r="AK14" i="10"/>
  <c r="AL4" i="10"/>
  <c r="AL5" i="10"/>
  <c r="AL6" i="10"/>
  <c r="AL7" i="10"/>
  <c r="AL8" i="10"/>
  <c r="AL14" i="10"/>
  <c r="AQ4" i="10"/>
  <c r="AQ5" i="10"/>
  <c r="AQ6" i="10"/>
  <c r="AQ7" i="10"/>
  <c r="AQ8" i="10"/>
  <c r="AQ9" i="10"/>
  <c r="AQ10" i="10"/>
  <c r="AQ11" i="10"/>
  <c r="AQ12" i="10"/>
  <c r="AQ13" i="10"/>
  <c r="AD32" i="10"/>
  <c r="AD25" i="10"/>
  <c r="AD31" i="10"/>
  <c r="AD27" i="10"/>
  <c r="AD20" i="10"/>
  <c r="AD22" i="10"/>
  <c r="AD30" i="10"/>
  <c r="AD21" i="10"/>
  <c r="AD23" i="10"/>
  <c r="AD28" i="10"/>
  <c r="AD24" i="10"/>
  <c r="AD26" i="10"/>
  <c r="AD19" i="10"/>
  <c r="AD29" i="10"/>
  <c r="AD2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H2" i="7" a="1"/>
  <c r="H2" i="7"/>
  <c r="F1" i="10"/>
  <c r="F235" i="10"/>
  <c r="F217" i="10"/>
  <c r="F199" i="10"/>
  <c r="F181" i="10"/>
  <c r="F163" i="10"/>
  <c r="F127" i="10"/>
  <c r="F109" i="10"/>
  <c r="F91" i="10"/>
  <c r="F73" i="10"/>
  <c r="F55" i="10"/>
  <c r="F37" i="10"/>
  <c r="F19" i="10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" i="7"/>
  <c r="Z19" i="10"/>
  <c r="T3" i="10"/>
  <c r="U3" i="10"/>
  <c r="V3" i="10"/>
  <c r="W3" i="10"/>
  <c r="X3" i="10"/>
  <c r="Y3" i="10"/>
  <c r="Z3" i="10"/>
  <c r="AA3" i="10"/>
  <c r="AB3" i="10"/>
  <c r="AF4" i="10"/>
  <c r="AG3" i="10"/>
  <c r="AA19" i="10"/>
  <c r="AF6" i="10"/>
  <c r="AI3" i="10"/>
  <c r="AF5" i="10"/>
  <c r="AF7" i="10"/>
  <c r="AF8" i="10"/>
  <c r="AF9" i="10"/>
  <c r="AF10" i="10"/>
  <c r="AF11" i="10"/>
  <c r="AF12" i="10"/>
  <c r="AF13" i="10"/>
  <c r="AF14" i="10"/>
  <c r="AF15" i="10"/>
  <c r="AH3" i="10"/>
  <c r="AJ3" i="10"/>
  <c r="AO3" i="10"/>
  <c r="AP3" i="10"/>
  <c r="AR3" i="10"/>
  <c r="AM3" i="10"/>
  <c r="AN3" i="10"/>
  <c r="AK3" i="10"/>
  <c r="AL3" i="10"/>
  <c r="AQ3" i="10"/>
  <c r="T19" i="10"/>
  <c r="AB19" i="10"/>
  <c r="Y19" i="10"/>
  <c r="X19" i="10"/>
  <c r="W19" i="10"/>
  <c r="V19" i="10"/>
  <c r="U19" i="10"/>
  <c r="T2" i="10"/>
  <c r="I16" i="10"/>
  <c r="U2" i="10"/>
  <c r="J16" i="10"/>
  <c r="V2" i="10"/>
  <c r="K16" i="10"/>
  <c r="W2" i="10"/>
  <c r="L16" i="10"/>
  <c r="X2" i="10"/>
  <c r="M16" i="10"/>
  <c r="Y2" i="10"/>
  <c r="N16" i="10"/>
  <c r="Z2" i="10"/>
  <c r="O16" i="10"/>
  <c r="AA2" i="10"/>
  <c r="P16" i="10"/>
  <c r="AB2" i="10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29" i="10"/>
  <c r="AF29" i="10"/>
  <c r="AQ2" i="10"/>
  <c r="AQ16" i="10"/>
  <c r="AE25" i="10"/>
  <c r="AF25" i="10"/>
  <c r="AL2" i="10"/>
  <c r="AL16" i="10"/>
  <c r="AE30" i="10"/>
  <c r="AF30" i="10"/>
  <c r="AK2" i="10"/>
  <c r="AK16" i="10"/>
  <c r="AE21" i="10"/>
  <c r="AF21" i="10"/>
  <c r="AN2" i="10"/>
  <c r="AN16" i="10"/>
  <c r="AE20" i="10"/>
  <c r="AF20" i="10"/>
  <c r="AM2" i="10"/>
  <c r="AM16" i="10"/>
  <c r="AE22" i="10"/>
  <c r="AF22" i="10"/>
  <c r="AR2" i="10"/>
  <c r="AR16" i="10"/>
  <c r="AE32" i="10"/>
  <c r="AF32" i="10"/>
  <c r="AP2" i="10"/>
  <c r="AP16" i="10"/>
  <c r="AE31" i="10"/>
  <c r="AF31" i="10"/>
  <c r="AO2" i="10"/>
  <c r="AO16" i="10"/>
  <c r="AE27" i="10"/>
  <c r="AF27" i="10"/>
  <c r="AJ2" i="10"/>
  <c r="AJ16" i="10"/>
  <c r="AE23" i="10"/>
  <c r="AF23" i="10"/>
  <c r="AH2" i="10"/>
  <c r="AH16" i="10"/>
  <c r="AE24" i="10"/>
  <c r="AF24" i="10"/>
  <c r="AF2" i="10"/>
  <c r="AF16" i="10"/>
  <c r="AE19" i="10"/>
  <c r="AF19" i="10"/>
  <c r="AI2" i="10"/>
  <c r="AI16" i="10"/>
  <c r="AE28" i="10"/>
  <c r="AF28" i="10"/>
  <c r="AG2" i="10"/>
  <c r="AG16" i="10"/>
  <c r="AE26" i="10"/>
  <c r="AF26" i="10"/>
  <c r="H17" i="10"/>
  <c r="T18" i="10"/>
  <c r="Q16" i="10"/>
  <c r="Q17" i="10"/>
  <c r="AC18" i="10"/>
  <c r="P17" i="10"/>
  <c r="AB18" i="10"/>
  <c r="O17" i="10"/>
  <c r="AA18" i="10"/>
  <c r="N17" i="10"/>
  <c r="Z18" i="10"/>
  <c r="M17" i="10"/>
  <c r="Y18" i="10"/>
  <c r="L17" i="10"/>
  <c r="X18" i="10"/>
  <c r="K17" i="10"/>
  <c r="W18" i="10"/>
  <c r="J17" i="10"/>
  <c r="V18" i="10"/>
  <c r="I17" i="10"/>
  <c r="U18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B32046-138F-4546-8A9F-9CAC12978545}" keepAlive="1" name="Query - 2020-2021 NBA Players" description="Connection to the '2020-2021 NBA Players' query in the workbook." type="5" refreshedVersion="6" background="1" saveData="1">
    <dbPr connection="Provider=Microsoft.Mashup.OleDb.1;Data Source=$Workbook$;Location=&quot;2020-2021 NBA Players&quot;;Extended Properties=&quot;&quot;" command="SELECT * FROM [2020-2021 NBA Players]"/>
  </connection>
  <connection id="2" xr16:uid="{2AC3FDBB-B198-4B83-A37E-0A3A959AE3B8}" keepAlive="1" name="Query - Player Per Game Table" description="Connection to the 'Player Per Game Table' query in the workbook." type="5" refreshedVersion="6" refreshOnLoad="1" saveData="1">
    <dbPr connection="Provider=Microsoft.Mashup.OleDb.1;Data Source=$Workbook$;Location=&quot;Player Per Game Table&quot;;Extended Properties=&quot;&quot;" command="SELECT * FROM [Player Per Game 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<sst xmlns="http://schemas.openxmlformats.org/spreadsheetml/2006/main" count="5565" uniqueCount="781">
  <si>
    <t>Player</t>
  </si>
  <si>
    <t>Pos</t>
  </si>
  <si>
    <t>Tm</t>
  </si>
  <si>
    <t>G</t>
  </si>
  <si>
    <t>MP</t>
  </si>
  <si>
    <t>FGA</t>
  </si>
  <si>
    <t>FG%</t>
  </si>
  <si>
    <t>3P</t>
  </si>
  <si>
    <t>FTA</t>
  </si>
  <si>
    <t>FT%</t>
  </si>
  <si>
    <t>TRB</t>
  </si>
  <si>
    <t>AST</t>
  </si>
  <si>
    <t>STL</t>
  </si>
  <si>
    <t>BLK</t>
  </si>
  <si>
    <t>TOV</t>
  </si>
  <si>
    <t>PF</t>
  </si>
  <si>
    <t>PTS</t>
  </si>
  <si>
    <t>Steven Adams</t>
  </si>
  <si>
    <t>C</t>
  </si>
  <si>
    <t>OKC</t>
  </si>
  <si>
    <t>Bam Adebayo</t>
  </si>
  <si>
    <t>MIA</t>
  </si>
  <si>
    <t>LaMarcus Aldridge</t>
  </si>
  <si>
    <t>SAS</t>
  </si>
  <si>
    <t>Nickeil Alexander-Walker</t>
  </si>
  <si>
    <t>SG</t>
  </si>
  <si>
    <t>NOP</t>
  </si>
  <si>
    <t>Grayson Allen</t>
  </si>
  <si>
    <t>MEM</t>
  </si>
  <si>
    <t>Jarrett Allen</t>
  </si>
  <si>
    <t>BRK</t>
  </si>
  <si>
    <t>NYK</t>
  </si>
  <si>
    <t>Al-Farouq Aminu</t>
  </si>
  <si>
    <t>ORL</t>
  </si>
  <si>
    <t>SF</t>
  </si>
  <si>
    <t>Kyle Anderson</t>
  </si>
  <si>
    <t>HOU</t>
  </si>
  <si>
    <t>Giannis Antetokounmpo</t>
  </si>
  <si>
    <t>MIL</t>
  </si>
  <si>
    <t>Kostas Antetokounmpo</t>
  </si>
  <si>
    <t>LAL</t>
  </si>
  <si>
    <t>Thanasis Antetokounmpo</t>
  </si>
  <si>
    <t>Carmelo Anthony</t>
  </si>
  <si>
    <t>POR</t>
  </si>
  <si>
    <t>TOR</t>
  </si>
  <si>
    <t>Ryan Arcidiacono</t>
  </si>
  <si>
    <t>PG</t>
  </si>
  <si>
    <t>CHI</t>
  </si>
  <si>
    <t>Trevor Ariza</t>
  </si>
  <si>
    <t>SAC</t>
  </si>
  <si>
    <t>D.J. Augustin</t>
  </si>
  <si>
    <t>Deandre Ayton</t>
  </si>
  <si>
    <t>PHO</t>
  </si>
  <si>
    <t>Dwayne Bacon</t>
  </si>
  <si>
    <t>CHO</t>
  </si>
  <si>
    <t>Lonzo Ball</t>
  </si>
  <si>
    <t>DAL</t>
  </si>
  <si>
    <t>Harrison Barnes</t>
  </si>
  <si>
    <t>Will Barton</t>
  </si>
  <si>
    <t>DEN</t>
  </si>
  <si>
    <t>Keita Bates-Diop</t>
  </si>
  <si>
    <t>MIN</t>
  </si>
  <si>
    <t>Nicolas Batum</t>
  </si>
  <si>
    <t>Aron Baynes</t>
  </si>
  <si>
    <t>Kent Bazemore</t>
  </si>
  <si>
    <t>Darius Bazley</t>
  </si>
  <si>
    <t>Bradley Beal</t>
  </si>
  <si>
    <t>WAS</t>
  </si>
  <si>
    <t>Malik Beasley</t>
  </si>
  <si>
    <t>DeAndre' Bembry</t>
  </si>
  <si>
    <t>ATL</t>
  </si>
  <si>
    <t>Patrick Beverley</t>
  </si>
  <si>
    <t>LAC</t>
  </si>
  <si>
    <t>Khem Birch</t>
  </si>
  <si>
    <t>Goga Bitadze</t>
  </si>
  <si>
    <t>IND</t>
  </si>
  <si>
    <t>Bismack Biyombo</t>
  </si>
  <si>
    <t>Nemanja Bjelica</t>
  </si>
  <si>
    <t>Eric Bledsoe</t>
  </si>
  <si>
    <t>UTA</t>
  </si>
  <si>
    <t>PHI</t>
  </si>
  <si>
    <t>Jordan Bone</t>
  </si>
  <si>
    <t>DET</t>
  </si>
  <si>
    <t>Isaac Bonga</t>
  </si>
  <si>
    <t>Devin Booker</t>
  </si>
  <si>
    <t>Chris Boucher</t>
  </si>
  <si>
    <t>Brian Bowen</t>
  </si>
  <si>
    <t>GSW</t>
  </si>
  <si>
    <t>Avery Bradley</t>
  </si>
  <si>
    <t>Tony Bradley</t>
  </si>
  <si>
    <t>Jarrell Brantley</t>
  </si>
  <si>
    <t>Ignas Brazdeikis</t>
  </si>
  <si>
    <t>Mikal Bridges</t>
  </si>
  <si>
    <t>Miles Bridges</t>
  </si>
  <si>
    <t>Malcolm Brogdon</t>
  </si>
  <si>
    <t>Dillon Brooks</t>
  </si>
  <si>
    <t>Bruce Brown</t>
  </si>
  <si>
    <t>Jaylen Brown</t>
  </si>
  <si>
    <t>BOS</t>
  </si>
  <si>
    <t>Moses Brown</t>
  </si>
  <si>
    <t>Sterling Brown</t>
  </si>
  <si>
    <t>Jalen Brunson</t>
  </si>
  <si>
    <t>Thomas Bryant</t>
  </si>
  <si>
    <t>Reggie Bullock</t>
  </si>
  <si>
    <t>Alec Burks</t>
  </si>
  <si>
    <t>Jimmy Butler</t>
  </si>
  <si>
    <t>Bruno Caboclo</t>
  </si>
  <si>
    <t>Kentavious Caldwell-Pope</t>
  </si>
  <si>
    <t>Clint Capela</t>
  </si>
  <si>
    <t>Jevon Carter</t>
  </si>
  <si>
    <t>Michael Carter-Williams</t>
  </si>
  <si>
    <t>Alex Caruso</t>
  </si>
  <si>
    <t>Willie Cauley-Stein</t>
  </si>
  <si>
    <t>Chris Chiozza</t>
  </si>
  <si>
    <t>Marquese Chriss</t>
  </si>
  <si>
    <t>Gary Clark</t>
  </si>
  <si>
    <t>Brandon Clarke</t>
  </si>
  <si>
    <t>Jordan Clarkson</t>
  </si>
  <si>
    <t>CLE</t>
  </si>
  <si>
    <t>Nicolas Claxton</t>
  </si>
  <si>
    <t>Chris Clemons</t>
  </si>
  <si>
    <t>Amir Coffey</t>
  </si>
  <si>
    <t>John Collins</t>
  </si>
  <si>
    <t>Zach Collins</t>
  </si>
  <si>
    <t>Mike Conley</t>
  </si>
  <si>
    <t>Pat Connaughton</t>
  </si>
  <si>
    <t>Quinn Cook</t>
  </si>
  <si>
    <t>Robert Covington</t>
  </si>
  <si>
    <t>Torrey Craig</t>
  </si>
  <si>
    <t>Jae Crowder</t>
  </si>
  <si>
    <t>Jarrett Culver</t>
  </si>
  <si>
    <t>Seth Curry</t>
  </si>
  <si>
    <t>Stephen Curry</t>
  </si>
  <si>
    <t>Anthony Davis</t>
  </si>
  <si>
    <t>Ed Davis</t>
  </si>
  <si>
    <t>Terence Davis</t>
  </si>
  <si>
    <t>DeMar DeRozan</t>
  </si>
  <si>
    <t>Hamidou Diallo</t>
  </si>
  <si>
    <t>Gorgui Dieng</t>
  </si>
  <si>
    <t>Spencer Dinwiddie</t>
  </si>
  <si>
    <t>Donte DiVincenzo</t>
  </si>
  <si>
    <t>Luguentz Dort</t>
  </si>
  <si>
    <t>Damyean Dotson</t>
  </si>
  <si>
    <t>Sekou Doumbouya</t>
  </si>
  <si>
    <t>Andre Drummond</t>
  </si>
  <si>
    <t>Jared Dudley</t>
  </si>
  <si>
    <t>Kris Dunn</t>
  </si>
  <si>
    <t>Carsen Edwards</t>
  </si>
  <si>
    <t>Wayne Ellington</t>
  </si>
  <si>
    <t>Joel Embiid</t>
  </si>
  <si>
    <t>James Ennis</t>
  </si>
  <si>
    <t>Drew Eubanks</t>
  </si>
  <si>
    <t>Dante Exum</t>
  </si>
  <si>
    <t>Tacko Fall</t>
  </si>
  <si>
    <t>Derrick Favors</t>
  </si>
  <si>
    <t>Terrance Ferguson</t>
  </si>
  <si>
    <t>Bruno Fernando</t>
  </si>
  <si>
    <t>Dorian Finney-Smith</t>
  </si>
  <si>
    <t>Bryn Forbes</t>
  </si>
  <si>
    <t>Evan Fournier</t>
  </si>
  <si>
    <t>De'Aaron Fox</t>
  </si>
  <si>
    <t>Melvin Frazier</t>
  </si>
  <si>
    <t>Michael Frazier</t>
  </si>
  <si>
    <t>Markelle Fultz</t>
  </si>
  <si>
    <t>Wenyen Gabriel</t>
  </si>
  <si>
    <t>Daniel Gafford</t>
  </si>
  <si>
    <t>Danilo Gallinari</t>
  </si>
  <si>
    <t>Langston Galloway</t>
  </si>
  <si>
    <t>Darius Garland</t>
  </si>
  <si>
    <t>Marc Gasol</t>
  </si>
  <si>
    <t>Rudy Gay</t>
  </si>
  <si>
    <t>Paul George</t>
  </si>
  <si>
    <t>Taj Gibson</t>
  </si>
  <si>
    <t>Harry Giles</t>
  </si>
  <si>
    <t>Shai Gilgeous-Alexander</t>
  </si>
  <si>
    <t>Rudy Gobert</t>
  </si>
  <si>
    <t>Brandon Goodwin</t>
  </si>
  <si>
    <t>Aaron Gordon</t>
  </si>
  <si>
    <t>Eric Gordon</t>
  </si>
  <si>
    <t>Devonte' Graham</t>
  </si>
  <si>
    <t>Treveon Graham</t>
  </si>
  <si>
    <t>Jerami Grant</t>
  </si>
  <si>
    <t>Danny Green</t>
  </si>
  <si>
    <t>Draymond Green</t>
  </si>
  <si>
    <t>JaMychal Green</t>
  </si>
  <si>
    <t>Javonte Green</t>
  </si>
  <si>
    <t>Jeff Green</t>
  </si>
  <si>
    <t>Blake Griffin</t>
  </si>
  <si>
    <t>Marko Guduric</t>
  </si>
  <si>
    <t>Kyle Guy</t>
  </si>
  <si>
    <t>Rui Hachimura</t>
  </si>
  <si>
    <t>Tim Hardaway</t>
  </si>
  <si>
    <t>James Harden</t>
  </si>
  <si>
    <t>Maurice Harkless</t>
  </si>
  <si>
    <t>Jared Harper</t>
  </si>
  <si>
    <t>Montrezl Harrell</t>
  </si>
  <si>
    <t>Gary Harris</t>
  </si>
  <si>
    <t>Joe Harris</t>
  </si>
  <si>
    <t>Tobias Harris</t>
  </si>
  <si>
    <t>Shaquille Harrison</t>
  </si>
  <si>
    <t>Josh Hart</t>
  </si>
  <si>
    <t>Isaiah Hartenstein</t>
  </si>
  <si>
    <t>Udonis Haslem</t>
  </si>
  <si>
    <t>Jaxson Hayes</t>
  </si>
  <si>
    <t>Gordon Hayward</t>
  </si>
  <si>
    <t>John Henson</t>
  </si>
  <si>
    <t>Dewan Hernandez</t>
  </si>
  <si>
    <t>Tyler Herro</t>
  </si>
  <si>
    <t>Kevin Hervey</t>
  </si>
  <si>
    <t>Mario Hezonja</t>
  </si>
  <si>
    <t>Buddy Hield</t>
  </si>
  <si>
    <t>George Hill</t>
  </si>
  <si>
    <t>Solomon Hill</t>
  </si>
  <si>
    <t>Jaylen Hoard</t>
  </si>
  <si>
    <t>Aaron Holiday</t>
  </si>
  <si>
    <t>Jrue Holiday</t>
  </si>
  <si>
    <t>Justin Holiday</t>
  </si>
  <si>
    <t>Rondae Hollis-Jefferson</t>
  </si>
  <si>
    <t>Richaun Holmes</t>
  </si>
  <si>
    <t>Rodney Hood</t>
  </si>
  <si>
    <t>Al Horford</t>
  </si>
  <si>
    <t>Talen Horton-Tucker</t>
  </si>
  <si>
    <t>Danuel House</t>
  </si>
  <si>
    <t>Dwight Howard</t>
  </si>
  <si>
    <t>Kevin Huerter</t>
  </si>
  <si>
    <t>De'Andre Hunter</t>
  </si>
  <si>
    <t>Chandler Hutchison</t>
  </si>
  <si>
    <t>Serge Ibaka</t>
  </si>
  <si>
    <t>Joe Ingles</t>
  </si>
  <si>
    <t>Brandon Ingram</t>
  </si>
  <si>
    <t>Kyrie Irving</t>
  </si>
  <si>
    <t>Jonathan Isaac</t>
  </si>
  <si>
    <t>Wesley Iwundu</t>
  </si>
  <si>
    <t>Frank Jackson</t>
  </si>
  <si>
    <t>Jaren Jackson</t>
  </si>
  <si>
    <t>Justin Jackson</t>
  </si>
  <si>
    <t>Reggie Jackson</t>
  </si>
  <si>
    <t>Justin James</t>
  </si>
  <si>
    <t>LeBron James</t>
  </si>
  <si>
    <t>DaQuan Jeffries</t>
  </si>
  <si>
    <t>Ty Jerome</t>
  </si>
  <si>
    <t>Alize Johnson</t>
  </si>
  <si>
    <t>B.J. Johnson</t>
  </si>
  <si>
    <t>Cameron Johnson</t>
  </si>
  <si>
    <t>James Johnson</t>
  </si>
  <si>
    <t>Keldon Johnson</t>
  </si>
  <si>
    <t>Stanley Johnson</t>
  </si>
  <si>
    <t>Damian Jones</t>
  </si>
  <si>
    <t>Derrick Jones</t>
  </si>
  <si>
    <t>Tyus Jones</t>
  </si>
  <si>
    <t>DeAndre Jordan</t>
  </si>
  <si>
    <t>Cory Joseph</t>
  </si>
  <si>
    <t>Mfiondu Kabengele</t>
  </si>
  <si>
    <t>Frank Kaminsky</t>
  </si>
  <si>
    <t>Enes Kanter</t>
  </si>
  <si>
    <t>Luke Kennard</t>
  </si>
  <si>
    <t>Michael Kidd-Gilchrist</t>
  </si>
  <si>
    <t>Louis King</t>
  </si>
  <si>
    <t>Maxi Kleber</t>
  </si>
  <si>
    <t>Brandon Knight</t>
  </si>
  <si>
    <t>Kevin Knox</t>
  </si>
  <si>
    <t>John Konchar</t>
  </si>
  <si>
    <t>Furkan Korkmaz</t>
  </si>
  <si>
    <t>Luke Kornet</t>
  </si>
  <si>
    <t>Kyle Korver</t>
  </si>
  <si>
    <t>Rodions Kurucs</t>
  </si>
  <si>
    <t>Kyle Kuzma</t>
  </si>
  <si>
    <t>Jeremy Lamb</t>
  </si>
  <si>
    <t>Romeo Langford</t>
  </si>
  <si>
    <t>Zach LaVine</t>
  </si>
  <si>
    <t>Jake Layman</t>
  </si>
  <si>
    <t>T.J. Leaf</t>
  </si>
  <si>
    <t>Jalen Lecque</t>
  </si>
  <si>
    <t>Courtney Lee</t>
  </si>
  <si>
    <t>Damion Lee</t>
  </si>
  <si>
    <t>Alex Len</t>
  </si>
  <si>
    <t>Kawhi Leonard</t>
  </si>
  <si>
    <t>Meyers Leonard</t>
  </si>
  <si>
    <t>Caris LeVert</t>
  </si>
  <si>
    <t>Damian Lillard</t>
  </si>
  <si>
    <t>Nassir Little</t>
  </si>
  <si>
    <t>Kevon Looney</t>
  </si>
  <si>
    <t>Brook Lopez</t>
  </si>
  <si>
    <t>Robin Lopez</t>
  </si>
  <si>
    <t>Kevin Love</t>
  </si>
  <si>
    <t>Kyle Lowry</t>
  </si>
  <si>
    <t>Trey Lyles</t>
  </si>
  <si>
    <t>Ian Mahinmi</t>
  </si>
  <si>
    <t>Thon Maker</t>
  </si>
  <si>
    <t>Terance Mann</t>
  </si>
  <si>
    <t>Lauri Markkanen</t>
  </si>
  <si>
    <t>Caleb Martin</t>
  </si>
  <si>
    <t>Cody Martin</t>
  </si>
  <si>
    <t>Kelan Martin</t>
  </si>
  <si>
    <t>Frank Mason</t>
  </si>
  <si>
    <t>Garrison Mathews</t>
  </si>
  <si>
    <t>Wesley Matthews</t>
  </si>
  <si>
    <t>Patrick McCaw</t>
  </si>
  <si>
    <t>T.J. McConnell</t>
  </si>
  <si>
    <t>Jalen McDaniels</t>
  </si>
  <si>
    <t>Doug McDermott</t>
  </si>
  <si>
    <t>JaVale McGee</t>
  </si>
  <si>
    <t>Rodney McGruder</t>
  </si>
  <si>
    <t>Alfonzo McKinnie</t>
  </si>
  <si>
    <t>Jordan McLaughlin</t>
  </si>
  <si>
    <t>Ben McLemore</t>
  </si>
  <si>
    <t>De'Anthony Melton</t>
  </si>
  <si>
    <t>Chimezie Metu</t>
  </si>
  <si>
    <t>Khris Middleton</t>
  </si>
  <si>
    <t>Malcolm Miller</t>
  </si>
  <si>
    <t>Patty Mills</t>
  </si>
  <si>
    <t>Paul Millsap</t>
  </si>
  <si>
    <t>Shake Milton</t>
  </si>
  <si>
    <t>Donovan Mitchell</t>
  </si>
  <si>
    <t>Adam Mokoka</t>
  </si>
  <si>
    <t>Malik Monk</t>
  </si>
  <si>
    <t>Matt Mooney</t>
  </si>
  <si>
    <t>E'Twaun Moore</t>
  </si>
  <si>
    <t>Ja Morant</t>
  </si>
  <si>
    <t>Juwan Morgan</t>
  </si>
  <si>
    <t>Marcus Morris</t>
  </si>
  <si>
    <t>Markieff Morris</t>
  </si>
  <si>
    <t>Monte Morris</t>
  </si>
  <si>
    <t>Johnathan Motley</t>
  </si>
  <si>
    <t>Emmanuel Mudiay</t>
  </si>
  <si>
    <t>Dejounte Murray</t>
  </si>
  <si>
    <t>Jamal Murray</t>
  </si>
  <si>
    <t>Mike Muscala</t>
  </si>
  <si>
    <t>Abdel Nader</t>
  </si>
  <si>
    <t>Larry Nance</t>
  </si>
  <si>
    <t>Shabazz Napier</t>
  </si>
  <si>
    <t>Georges Niang</t>
  </si>
  <si>
    <t>Nerlens Noel</t>
  </si>
  <si>
    <t>Jaylen Nowell</t>
  </si>
  <si>
    <t>Frank Ntilikina</t>
  </si>
  <si>
    <t>Kendrick Nunn</t>
  </si>
  <si>
    <t>Royce O'Neale</t>
  </si>
  <si>
    <t>Kyle O'Quinn</t>
  </si>
  <si>
    <t>Semi Ojeleye</t>
  </si>
  <si>
    <t>Jahlil Okafor</t>
  </si>
  <si>
    <t>Elie Okobo</t>
  </si>
  <si>
    <t>Josh Okogie</t>
  </si>
  <si>
    <t>KZ Okpala</t>
  </si>
  <si>
    <t>Kelly Olynyk</t>
  </si>
  <si>
    <t>Miye Oni</t>
  </si>
  <si>
    <t>Cedi Osman</t>
  </si>
  <si>
    <t>Kelly Oubre</t>
  </si>
  <si>
    <t>Jabari Parker</t>
  </si>
  <si>
    <t>Eric Paschall</t>
  </si>
  <si>
    <t>Patrick Patterson</t>
  </si>
  <si>
    <t>Chris Paul</t>
  </si>
  <si>
    <t>Elfrid Payton</t>
  </si>
  <si>
    <t>Gary Payton</t>
  </si>
  <si>
    <t>Norvel Pelle</t>
  </si>
  <si>
    <t>Theo Pinson</t>
  </si>
  <si>
    <t>Mason Plumlee</t>
  </si>
  <si>
    <t>Vincent Poirier</t>
  </si>
  <si>
    <t>Jordan Poole</t>
  </si>
  <si>
    <t>Kevin Porter</t>
  </si>
  <si>
    <t>Michael Porter</t>
  </si>
  <si>
    <t>Otto Porter</t>
  </si>
  <si>
    <t>Bobby Portis</t>
  </si>
  <si>
    <t>Dwight Powell</t>
  </si>
  <si>
    <t>Norman Powell</t>
  </si>
  <si>
    <t>Julius Randle</t>
  </si>
  <si>
    <t>Josh Reaves</t>
  </si>
  <si>
    <t>Cam Reddish</t>
  </si>
  <si>
    <t>J.J. Redick</t>
  </si>
  <si>
    <t>Naz Reid</t>
  </si>
  <si>
    <t>Josh Richardson</t>
  </si>
  <si>
    <t>Austin Rivers</t>
  </si>
  <si>
    <t>Duncan Robinson</t>
  </si>
  <si>
    <t>Glenn Robinson</t>
  </si>
  <si>
    <t>Jerome Robinson</t>
  </si>
  <si>
    <t>Mitchell Robinson</t>
  </si>
  <si>
    <t>Rajon Rondo</t>
  </si>
  <si>
    <t>Derrick Rose</t>
  </si>
  <si>
    <t>Terrence Ross</t>
  </si>
  <si>
    <t>Terry Rozier</t>
  </si>
  <si>
    <t>Ricky Rubio</t>
  </si>
  <si>
    <t>D'Angelo Russell</t>
  </si>
  <si>
    <t>Domantas Sabonis</t>
  </si>
  <si>
    <t>JaKarr Sampson</t>
  </si>
  <si>
    <t>Admiral Schofield</t>
  </si>
  <si>
    <t>Mike Scott</t>
  </si>
  <si>
    <t>Thabo Sefolosha</t>
  </si>
  <si>
    <t>Collin Sexton</t>
  </si>
  <si>
    <t>Landry Shamet</t>
  </si>
  <si>
    <t>Pascal Siakam</t>
  </si>
  <si>
    <t>Chris Silva</t>
  </si>
  <si>
    <t>Ben Simmons</t>
  </si>
  <si>
    <t>Anfernee Simons</t>
  </si>
  <si>
    <t>Marcus Smart</t>
  </si>
  <si>
    <t>Dennis Smith</t>
  </si>
  <si>
    <t>Ish Smith</t>
  </si>
  <si>
    <t>Tony Snell</t>
  </si>
  <si>
    <t>Omari Spellman</t>
  </si>
  <si>
    <t>Max Strus</t>
  </si>
  <si>
    <t>Edmond Sumner</t>
  </si>
  <si>
    <t>Caleb Swanigan</t>
  </si>
  <si>
    <t>Jayson Tatum</t>
  </si>
  <si>
    <t>Jeff Teague</t>
  </si>
  <si>
    <t>Garrett Temple</t>
  </si>
  <si>
    <t>Daniel Theis</t>
  </si>
  <si>
    <t>Khyri Thomas</t>
  </si>
  <si>
    <t>Matt Thomas</t>
  </si>
  <si>
    <t>Tristan Thompson</t>
  </si>
  <si>
    <t>Matisse Thybulle</t>
  </si>
  <si>
    <t>Karl-Anthony Towns</t>
  </si>
  <si>
    <t>Gary Trent</t>
  </si>
  <si>
    <t>Allonzo Trier</t>
  </si>
  <si>
    <t>P.J. Tucker</t>
  </si>
  <si>
    <t>Rayjon Tucker</t>
  </si>
  <si>
    <t>Evan Turner</t>
  </si>
  <si>
    <t>Myles Turner</t>
  </si>
  <si>
    <t>Denzel Valentine</t>
  </si>
  <si>
    <t>Jarred Vanderbilt</t>
  </si>
  <si>
    <t>Fred VanVleet</t>
  </si>
  <si>
    <t>Noah Vonleh</t>
  </si>
  <si>
    <t>Dean Wade</t>
  </si>
  <si>
    <t>Kemba Walker</t>
  </si>
  <si>
    <t>Lonnie Walker</t>
  </si>
  <si>
    <t>Brad Wanamaker</t>
  </si>
  <si>
    <t>T.J. Warren</t>
  </si>
  <si>
    <t>Yuta Watanabe</t>
  </si>
  <si>
    <t>Tremont Waters</t>
  </si>
  <si>
    <t>Paul Watson</t>
  </si>
  <si>
    <t>Russell Westbrook</t>
  </si>
  <si>
    <t>Coby White</t>
  </si>
  <si>
    <t>Derrick White</t>
  </si>
  <si>
    <t>Hassan Whiteside</t>
  </si>
  <si>
    <t>Andrew Wiggins</t>
  </si>
  <si>
    <t>Grant Williams</t>
  </si>
  <si>
    <t>Johnathan Williams</t>
  </si>
  <si>
    <t>Kenrich Williams</t>
  </si>
  <si>
    <t>Lou Williams</t>
  </si>
  <si>
    <t>Marvin Williams</t>
  </si>
  <si>
    <t>Robert Williams</t>
  </si>
  <si>
    <t>Nigel Williams-Goss</t>
  </si>
  <si>
    <t>Zion Williamson</t>
  </si>
  <si>
    <t>D.J. Wilson</t>
  </si>
  <si>
    <t>Justise Winslow</t>
  </si>
  <si>
    <t>Christian Wood</t>
  </si>
  <si>
    <t>Delon Wright</t>
  </si>
  <si>
    <t>Thaddeus Young</t>
  </si>
  <si>
    <t>Trae Young</t>
  </si>
  <si>
    <t>Cody Zeller</t>
  </si>
  <si>
    <t>Ivica Zubac</t>
  </si>
  <si>
    <t>Zhaire Smith</t>
  </si>
  <si>
    <t>Vic Law</t>
  </si>
  <si>
    <t>William Howard</t>
  </si>
  <si>
    <t>Andre Iguodala</t>
  </si>
  <si>
    <t>Josh Jackson</t>
  </si>
  <si>
    <t>Jeremiah Martin</t>
  </si>
  <si>
    <t>Victor Oladipo</t>
  </si>
  <si>
    <t>Tariq Owens</t>
  </si>
  <si>
    <t>Isaiah Roby</t>
  </si>
  <si>
    <t>Marial Shayok</t>
  </si>
  <si>
    <t>Juan Toscano-Anderson</t>
  </si>
  <si>
    <t>Gabe Vincent</t>
  </si>
  <si>
    <t>P.J. Washington</t>
  </si>
  <si>
    <t>Quinndary Weatherspoon</t>
  </si>
  <si>
    <t>Justin Wright-Foreman</t>
  </si>
  <si>
    <t>Donta Hall</t>
  </si>
  <si>
    <t>Mychal Mulder</t>
  </si>
  <si>
    <t>Current Team</t>
  </si>
  <si>
    <t>Oklahoma City Thunder</t>
  </si>
  <si>
    <t>Miami Heat</t>
  </si>
  <si>
    <t>San Antonio Spurs</t>
  </si>
  <si>
    <t>New Orleans Pelicans</t>
  </si>
  <si>
    <t>Memphis Grizzlies</t>
  </si>
  <si>
    <t>Brooklyn Nets</t>
  </si>
  <si>
    <t>New York Knicks</t>
  </si>
  <si>
    <t>Orlando Magic</t>
  </si>
  <si>
    <t>Milwaukee Bucks</t>
  </si>
  <si>
    <t>Los Angeles Lakers</t>
  </si>
  <si>
    <t>Portland Trail Blazers</t>
  </si>
  <si>
    <t>Ogugua Anunoby</t>
  </si>
  <si>
    <t>Toronto Raptors</t>
  </si>
  <si>
    <t>Chicago Bulls</t>
  </si>
  <si>
    <t>Phoenix Suns</t>
  </si>
  <si>
    <t>Charlotte Hornets</t>
  </si>
  <si>
    <t>Sacramento Kings</t>
  </si>
  <si>
    <t>Mohamed Bamba</t>
  </si>
  <si>
    <t>Dallas Mavericks</t>
  </si>
  <si>
    <t>R.J. Barrett</t>
  </si>
  <si>
    <t>Denver Nuggets</t>
  </si>
  <si>
    <t>Washington Wizards</t>
  </si>
  <si>
    <t>Minnesota Timberwolves</t>
  </si>
  <si>
    <t>Atlanta Hawks</t>
  </si>
  <si>
    <t>Golden State Warriors</t>
  </si>
  <si>
    <t>Davis Bertans</t>
  </si>
  <si>
    <t>Los Angeles Clippers</t>
  </si>
  <si>
    <t>Indiana Pacers</t>
  </si>
  <si>
    <t>Bogdan Bogdanovic</t>
  </si>
  <si>
    <t>Bojan Bogdanovic</t>
  </si>
  <si>
    <t>Utah Jazz</t>
  </si>
  <si>
    <t>Bol Bol</t>
  </si>
  <si>
    <t>Detroit Pistons</t>
  </si>
  <si>
    <t>Boston Celtics</t>
  </si>
  <si>
    <t>Philadelphia Sixers</t>
  </si>
  <si>
    <t>Houston Rockets</t>
  </si>
  <si>
    <t>Devontae Cacok</t>
  </si>
  <si>
    <t>Vlatko Cancar</t>
  </si>
  <si>
    <t>Cleveland Cavaliers</t>
  </si>
  <si>
    <t>Luka Doncic</t>
  </si>
  <si>
    <t>P.J. Dozier</t>
  </si>
  <si>
    <t>Goran Dragic</t>
  </si>
  <si>
    <t>Kevin Durant</t>
  </si>
  <si>
    <t>Cristiano Felicio</t>
  </si>
  <si>
    <t>Juancho Hernangomez</t>
  </si>
  <si>
    <t>Willy Hernangomez</t>
  </si>
  <si>
    <t>Nikola Jokic</t>
  </si>
  <si>
    <t>Timothe Luwawu-Cabarrot</t>
  </si>
  <si>
    <t>Boban Marjanovic</t>
  </si>
  <si>
    <t>C.J. McCollum</t>
  </si>
  <si>
    <t>Nicolo Melli</t>
  </si>
  <si>
    <t>Darius Miller</t>
  </si>
  <si>
    <t>Jusuf Nurkic</t>
  </si>
  <si>
    <t>Anzejs Pasecniks</t>
  </si>
  <si>
    <t>Jakob Poeltl</t>
  </si>
  <si>
    <t>Kristaps Porzingis</t>
  </si>
  <si>
    <t>Taurean Prince</t>
  </si>
  <si>
    <t>Luka Samanic</t>
  </si>
  <si>
    <t>Dario Saric</t>
  </si>
  <si>
    <t>Tomas Satoransky</t>
  </si>
  <si>
    <t>Dennis Schroder</t>
  </si>
  <si>
    <t>Alen Smailagic</t>
  </si>
  <si>
    <t>Klay Thompson</t>
  </si>
  <si>
    <t>Jarrod Uthoff</t>
  </si>
  <si>
    <t>Jonas Valanciunas</t>
  </si>
  <si>
    <t>Nikola Vucevic</t>
  </si>
  <si>
    <t>John Wall</t>
  </si>
  <si>
    <t>Dylan Windler</t>
  </si>
  <si>
    <t>Team</t>
  </si>
  <si>
    <t>ABR</t>
  </si>
  <si>
    <t>ZAST</t>
  </si>
  <si>
    <t>ZPTS</t>
  </si>
  <si>
    <t>ZSTL</t>
  </si>
  <si>
    <t>ZBLK</t>
  </si>
  <si>
    <t>Z3</t>
  </si>
  <si>
    <t>ZREB</t>
  </si>
  <si>
    <t>ZTO</t>
  </si>
  <si>
    <t>Marques Bolden</t>
  </si>
  <si>
    <t>Trey Burke</t>
  </si>
  <si>
    <t>Matthew Dellavedova</t>
  </si>
  <si>
    <t>Tim Frazier</t>
  </si>
  <si>
    <t>Josh Gray</t>
  </si>
  <si>
    <t>Devon Hall</t>
  </si>
  <si>
    <t>Dusty Hannahs</t>
  </si>
  <si>
    <t>Amile Jefferson</t>
  </si>
  <si>
    <t>Tyler Johnson</t>
  </si>
  <si>
    <t>Stanton Kidd</t>
  </si>
  <si>
    <t>Daryl Macon</t>
  </si>
  <si>
    <t>J.P. Macura</t>
  </si>
  <si>
    <t>Josh Magette</t>
  </si>
  <si>
    <t>Jordan McRae</t>
  </si>
  <si>
    <t>Eric Mika</t>
  </si>
  <si>
    <t>C.J. Miles</t>
  </si>
  <si>
    <t>Naz Mitrou-Long</t>
  </si>
  <si>
    <t>Sviatoslav Mykhailiuk</t>
  </si>
  <si>
    <t>Raul Neto</t>
  </si>
  <si>
    <t>Malik Newman</t>
  </si>
  <si>
    <t>Zach Norvell</t>
  </si>
  <si>
    <t>David Nwaba</t>
  </si>
  <si>
    <t>Jeremy Pargo</t>
  </si>
  <si>
    <t>Chandler Parsons</t>
  </si>
  <si>
    <t>Justin Patton</t>
  </si>
  <si>
    <t>Shamorie Ponds</t>
  </si>
  <si>
    <t>Chasson Randle</t>
  </si>
  <si>
    <t>Justin Robinson</t>
  </si>
  <si>
    <t>Iman Shumpert</t>
  </si>
  <si>
    <t>Isaiah Thomas</t>
  </si>
  <si>
    <t>Anthony Tolliver</t>
  </si>
  <si>
    <t>Moritz Wagner</t>
  </si>
  <si>
    <t>Dion Waiters</t>
  </si>
  <si>
    <t>Tyrone Wallace</t>
  </si>
  <si>
    <t>Derrick Walton</t>
  </si>
  <si>
    <t>Marvin Bagley III</t>
  </si>
  <si>
    <t>Brian Bowen II</t>
  </si>
  <si>
    <t>Bruce Brown, Jr.</t>
  </si>
  <si>
    <t>Troy Brown, Jr.</t>
  </si>
  <si>
    <t>Wendell Carter, Jr.</t>
  </si>
  <si>
    <t>Matt Dellavedova</t>
  </si>
  <si>
    <t>Tim Hardaway Jr.</t>
  </si>
  <si>
    <t>Jaren Jackson, Jr.</t>
  </si>
  <si>
    <t>Svi Mykhailiuk</t>
  </si>
  <si>
    <t>Larry Nance, Jr.</t>
  </si>
  <si>
    <t>Raulzinho Neto</t>
  </si>
  <si>
    <t>Kelly Oubre, Jr.</t>
  </si>
  <si>
    <t>Kevin Porter, Jr.</t>
  </si>
  <si>
    <t>Michael Porter, Jr.</t>
  </si>
  <si>
    <t>Gary Trent, Jr.</t>
  </si>
  <si>
    <t>Moe Wagner</t>
  </si>
  <si>
    <t>OG Anunoby</t>
  </si>
  <si>
    <t>Mo Bamba</t>
  </si>
  <si>
    <t>RJ Barrett</t>
  </si>
  <si>
    <t>Dāvis Bertāns</t>
  </si>
  <si>
    <t>Bogdan Bogdanović</t>
  </si>
  <si>
    <t>Bojan Bogdanović</t>
  </si>
  <si>
    <t>Vlatko Čančar</t>
  </si>
  <si>
    <t>Luka Dončić</t>
  </si>
  <si>
    <t>PJ Dozier</t>
  </si>
  <si>
    <t>Goran Dragić</t>
  </si>
  <si>
    <t>Cristiano Felício</t>
  </si>
  <si>
    <t>Juan Hernangómez</t>
  </si>
  <si>
    <t>Willy Hernangómez</t>
  </si>
  <si>
    <t>Ersan İlyasova</t>
  </si>
  <si>
    <t>Nikola Jokić</t>
  </si>
  <si>
    <t>Skal Labissière</t>
  </si>
  <si>
    <t>Timothé Luwawu-Cabarrot</t>
  </si>
  <si>
    <t>Boban Marjanović</t>
  </si>
  <si>
    <t>CJ McCollum</t>
  </si>
  <si>
    <t>Nicolò Melli</t>
  </si>
  <si>
    <t>Džanan Musa</t>
  </si>
  <si>
    <t>Anžejs Pasečņiks</t>
  </si>
  <si>
    <t>Jakob Pöltl</t>
  </si>
  <si>
    <t>Kristaps Porziņģis</t>
  </si>
  <si>
    <t>Luka Šamanić</t>
  </si>
  <si>
    <t>Dario Šarić</t>
  </si>
  <si>
    <t>Tomáš Satoranský</t>
  </si>
  <si>
    <t>Dennis Schröder</t>
  </si>
  <si>
    <t>Alen Smailagić</t>
  </si>
  <si>
    <t>Jonas Valančiūnas</t>
  </si>
  <si>
    <t>Nikola Vučević</t>
  </si>
  <si>
    <t>Taurean Waller-Prince</t>
  </si>
  <si>
    <t>Ante Žižić</t>
  </si>
  <si>
    <t>Jusuf Nurkić</t>
  </si>
  <si>
    <t>Compare Range</t>
  </si>
  <si>
    <t>Abbreviations</t>
  </si>
  <si>
    <t>Jontay Porter</t>
  </si>
  <si>
    <t>ZFG%</t>
  </si>
  <si>
    <t>ZFT%</t>
  </si>
  <si>
    <t>Value</t>
  </si>
  <si>
    <t>Dataset</t>
  </si>
  <si>
    <t>Per Game Data</t>
  </si>
  <si>
    <t>Troy Brown Jr.</t>
  </si>
  <si>
    <t>Wendell Carter Jr.</t>
  </si>
  <si>
    <t>Jaren Jackson Jr.</t>
  </si>
  <si>
    <t>Derrick Jones Jr.</t>
  </si>
  <si>
    <t>Larry Nance Jr.</t>
  </si>
  <si>
    <t>Kelly Oubre Jr.</t>
  </si>
  <si>
    <t>Kevin Porter Jr.</t>
  </si>
  <si>
    <t>Michael Porter Jr.</t>
  </si>
  <si>
    <t>Glenn Robinson III</t>
  </si>
  <si>
    <t>Dennis Smith Jr.</t>
  </si>
  <si>
    <t>Gary Trent Jr.</t>
  </si>
  <si>
    <t>Cameron Payne</t>
  </si>
  <si>
    <t>Sindarius Thornwell</t>
  </si>
  <si>
    <t>Rank</t>
  </si>
  <si>
    <t xml:space="preserve"> Punt</t>
  </si>
  <si>
    <t>Change</t>
  </si>
  <si>
    <t>Punt Categories</t>
  </si>
  <si>
    <t>P-Rank</t>
  </si>
  <si>
    <t>Rosters</t>
  </si>
  <si>
    <t>Per Game</t>
  </si>
  <si>
    <t>Add Player</t>
  </si>
  <si>
    <t>Team:</t>
  </si>
  <si>
    <t>Player:</t>
  </si>
  <si>
    <t>Draft Players Remaining</t>
  </si>
  <si>
    <t>Row</t>
  </si>
  <si>
    <t>Players per Team:</t>
  </si>
  <si>
    <t>Name</t>
  </si>
  <si>
    <t>Totals</t>
  </si>
  <si>
    <t>Team Names:</t>
  </si>
  <si>
    <t>Demarcus Cousins</t>
  </si>
  <si>
    <t>James Wiseman</t>
  </si>
  <si>
    <t>LaMelo Ball</t>
  </si>
  <si>
    <t>Killian Hayes</t>
  </si>
  <si>
    <t>Anthony Edwards</t>
  </si>
  <si>
    <t>Obi Toppin</t>
  </si>
  <si>
    <t>Tyrese Haliburton</t>
  </si>
  <si>
    <t>Isaac Okoro</t>
  </si>
  <si>
    <t>Deni Avdija</t>
  </si>
  <si>
    <t>Win Pyramid</t>
  </si>
  <si>
    <t>WINS</t>
  </si>
  <si>
    <t>W</t>
  </si>
  <si>
    <t>L</t>
  </si>
  <si>
    <t>Team Totals</t>
  </si>
  <si>
    <t>Punting</t>
  </si>
  <si>
    <t>Precious Achiuwa</t>
  </si>
  <si>
    <t>Ty-Shon Alexander</t>
  </si>
  <si>
    <t>Cole Anthony</t>
  </si>
  <si>
    <t>Udoka Azubuike</t>
  </si>
  <si>
    <t>Desmond Bane</t>
  </si>
  <si>
    <t>Saddiq Bey</t>
  </si>
  <si>
    <t>Keljin Blevins</t>
  </si>
  <si>
    <t>Facundo Campazzo</t>
  </si>
  <si>
    <t>Vernon Carey Jr.</t>
  </si>
  <si>
    <t>DeMarcus Cousins</t>
  </si>
  <si>
    <t>Devon Dotson</t>
  </si>
  <si>
    <t>CJ Elleby</t>
  </si>
  <si>
    <t>Malachi Flynn</t>
  </si>
  <si>
    <t>Anthony Gill</t>
  </si>
  <si>
    <t>Josh Green</t>
  </si>
  <si>
    <t>Josh Hall</t>
  </si>
  <si>
    <t>R.J. Hampton</t>
  </si>
  <si>
    <t>Markus Howard</t>
  </si>
  <si>
    <t>Elijah Hughes</t>
  </si>
  <si>
    <t>Isaiah Joe</t>
  </si>
  <si>
    <t>Tre Jones</t>
  </si>
  <si>
    <t>Nathan Knight</t>
  </si>
  <si>
    <t>Kira Lewis Jr.</t>
  </si>
  <si>
    <t>Théo Maledon</t>
  </si>
  <si>
    <t>Karim Mané</t>
  </si>
  <si>
    <t>Dakota Mathias</t>
  </si>
  <si>
    <t>Tyrese Maxey</t>
  </si>
  <si>
    <t>Skylar Mays</t>
  </si>
  <si>
    <t>Jaden McDaniels</t>
  </si>
  <si>
    <t>Sean McDermott</t>
  </si>
  <si>
    <t>Sam Merrill</t>
  </si>
  <si>
    <t>Aaron Nesmith</t>
  </si>
  <si>
    <t>Zeke Nnaji</t>
  </si>
  <si>
    <t>Jordan Nwora</t>
  </si>
  <si>
    <t>Chuma Okeke</t>
  </si>
  <si>
    <t>Daniel Oturu</t>
  </si>
  <si>
    <t>Reggie Perry</t>
  </si>
  <si>
    <t>Aleksej Pokusevski</t>
  </si>
  <si>
    <t>Payton Pritchard</t>
  </si>
  <si>
    <t>Immanuel Quickley</t>
  </si>
  <si>
    <t>Jahmi'us Ramsey</t>
  </si>
  <si>
    <t>Nick Richards</t>
  </si>
  <si>
    <t>Jalen Smith</t>
  </si>
  <si>
    <t>Cassius Stanley</t>
  </si>
  <si>
    <t>Lamar Stevens</t>
  </si>
  <si>
    <t>Isaiah Stewart</t>
  </si>
  <si>
    <t>Jae'Sean Tate</t>
  </si>
  <si>
    <t>Tyrell Terry</t>
  </si>
  <si>
    <t>Brodric Thomas</t>
  </si>
  <si>
    <t>Devin Vassell</t>
  </si>
  <si>
    <t>Patrick Williams</t>
  </si>
  <si>
    <t>Robert Woodard</t>
  </si>
  <si>
    <t>Jaylen Adams</t>
  </si>
  <si>
    <t>Tyler Bey</t>
  </si>
  <si>
    <t>Vernon Carey, Jr.</t>
  </si>
  <si>
    <t>Nate Darling</t>
  </si>
  <si>
    <t>Mamadi Diakite</t>
  </si>
  <si>
    <t>C.J. Elleby</t>
  </si>
  <si>
    <t>Trent Forrest</t>
  </si>
  <si>
    <t>Ashton Hagans</t>
  </si>
  <si>
    <t>Jalen Harris</t>
  </si>
  <si>
    <t>Nate Hinton</t>
  </si>
  <si>
    <t>Mason Jones</t>
  </si>
  <si>
    <t>Saben Lee</t>
  </si>
  <si>
    <t>Kira Lewis, Jr.</t>
  </si>
  <si>
    <t>Will Magnay</t>
  </si>
  <si>
    <t>Theo Maledon</t>
  </si>
  <si>
    <t>Karim Mane</t>
  </si>
  <si>
    <t>Nico Mannion</t>
  </si>
  <si>
    <t>Naji Marshall</t>
  </si>
  <si>
    <t>K.J. Martin</t>
  </si>
  <si>
    <t>Onyeka Okongwu</t>
  </si>
  <si>
    <t>Paul Reed, Jr.</t>
  </si>
  <si>
    <t>Grant Riller</t>
  </si>
  <si>
    <t>Jayden Scrubb</t>
  </si>
  <si>
    <t>Deividas Sirvydis</t>
  </si>
  <si>
    <t>Isaiah Stewart II</t>
  </si>
  <si>
    <t>Jae'sean Tate</t>
  </si>
  <si>
    <t>Killian Tillie</t>
  </si>
  <si>
    <t>Xavier Tillman, Sr.</t>
  </si>
  <si>
    <t>Greg Whittington</t>
  </si>
  <si>
    <t>Cassius Winston</t>
  </si>
  <si>
    <t>Robert Woodard II</t>
  </si>
  <si>
    <t>Paul Reed</t>
  </si>
  <si>
    <t>Xavier Tillman Sr.</t>
  </si>
  <si>
    <t>Kenyon Martin Jr.</t>
  </si>
  <si>
    <t>Yogi Ferrell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</si>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</sst>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applyNumberFormat="1"/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5" fillId="0" borderId="0" xfId="0" applyFont="1" applyAlignment="1">
      <alignment vertical="center"/>
    </xf>
    <xf numFmtId="2" fontId="0" fillId="0" borderId="0" xfId="0" applyNumberFormat="1"/>
    <xf numFmtId="0" fontId="7" fillId="2" borderId="1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right" vertical="center"/>
    </xf>
    <xf numFmtId="0" fontId="7" fillId="2" borderId="0" xfId="0" applyFont="1" applyFill="1" applyBorder="1" applyAlignment="1">
      <alignment horizontal="right" vertical="center"/>
    </xf>
    <xf numFmtId="0" fontId="7" fillId="2" borderId="0" xfId="0" applyFont="1" applyFill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1" fillId="0" borderId="0" xfId="0" applyFont="1" applyAlignment="1"/>
    <xf numFmtId="0" fontId="10" fillId="2" borderId="0" xfId="0" applyFont="1" applyFill="1" applyBorder="1" applyAlignment="1">
      <alignment horizontal="right" vertical="center"/>
    </xf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/>
    <xf numFmtId="0" fontId="0" fillId="5" borderId="0" xfId="0" applyFont="1" applyFill="1" applyAlignment="1">
      <alignment horizontal="left"/>
    </xf>
    <xf numFmtId="0" fontId="0" fillId="0" borderId="5" xfId="0" applyBorder="1"/>
    <xf numFmtId="0" fontId="0" fillId="0" borderId="5" xfId="0" applyFill="1" applyBorder="1"/>
    <xf numFmtId="0" fontId="10" fillId="2" borderId="6" xfId="0" applyFont="1" applyFill="1" applyBorder="1" applyAlignment="1">
      <alignment horizontal="right" vertical="center"/>
    </xf>
    <xf numFmtId="0" fontId="10" fillId="2" borderId="7" xfId="0" applyFont="1" applyFill="1" applyBorder="1" applyAlignment="1">
      <alignment horizontal="right" vertical="center"/>
    </xf>
    <xf numFmtId="0" fontId="10" fillId="2" borderId="8" xfId="0" applyFont="1" applyFill="1" applyBorder="1" applyAlignment="1">
      <alignment horizontal="right" vertical="center"/>
    </xf>
    <xf numFmtId="0" fontId="10" fillId="2" borderId="9" xfId="0" applyFont="1" applyFill="1" applyBorder="1" applyAlignment="1">
      <alignment horizontal="right" vertical="center"/>
    </xf>
    <xf numFmtId="0" fontId="0" fillId="6" borderId="0" xfId="0" applyFill="1" applyBorder="1"/>
    <xf numFmtId="0" fontId="0" fillId="0" borderId="10" xfId="0" applyBorder="1"/>
    <xf numFmtId="0" fontId="10" fillId="2" borderId="11" xfId="0" applyFont="1" applyFill="1" applyBorder="1" applyAlignment="1">
      <alignment horizontal="right" vertical="center"/>
    </xf>
    <xf numFmtId="0" fontId="0" fillId="6" borderId="12" xfId="0" applyFill="1" applyBorder="1"/>
    <xf numFmtId="0" fontId="1" fillId="0" borderId="13" xfId="0" applyFont="1" applyBorder="1"/>
    <xf numFmtId="0" fontId="0" fillId="0" borderId="14" xfId="0" applyFill="1" applyBorder="1"/>
    <xf numFmtId="0" fontId="0" fillId="0" borderId="15" xfId="0" applyFill="1" applyBorder="1"/>
    <xf numFmtId="0" fontId="0" fillId="0" borderId="12" xfId="0" applyBorder="1"/>
    <xf numFmtId="2" fontId="10" fillId="2" borderId="0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2" fontId="12" fillId="0" borderId="0" xfId="0" applyNumberFormat="1" applyFont="1" applyFill="1" applyBorder="1" applyAlignment="1">
      <alignment horizontal="right" vertical="center"/>
    </xf>
    <xf numFmtId="2" fontId="1" fillId="0" borderId="0" xfId="0" applyNumberFormat="1" applyFont="1"/>
    <xf numFmtId="2" fontId="0" fillId="0" borderId="0" xfId="0" applyNumberFormat="1" applyAlignment="1">
      <alignment horizontal="right"/>
    </xf>
    <xf numFmtId="2" fontId="10" fillId="2" borderId="0" xfId="0" applyNumberFormat="1" applyFont="1" applyFill="1" applyBorder="1" applyAlignment="1">
      <alignment horizontal="center" vertical="center"/>
    </xf>
    <xf numFmtId="2" fontId="10" fillId="2" borderId="6" xfId="0" applyNumberFormat="1" applyFont="1" applyFill="1" applyBorder="1" applyAlignment="1">
      <alignment horizontal="right" vertical="center"/>
    </xf>
    <xf numFmtId="2" fontId="10" fillId="2" borderId="7" xfId="0" applyNumberFormat="1" applyFont="1" applyFill="1" applyBorder="1" applyAlignment="1">
      <alignment horizontal="right" vertical="center"/>
    </xf>
    <xf numFmtId="2" fontId="10" fillId="2" borderId="8" xfId="0" applyNumberFormat="1" applyFont="1" applyFill="1" applyBorder="1" applyAlignment="1">
      <alignment horizontal="right" vertical="center"/>
    </xf>
    <xf numFmtId="2" fontId="0" fillId="0" borderId="0" xfId="0" applyNumberFormat="1" applyBorder="1"/>
    <xf numFmtId="2" fontId="0" fillId="0" borderId="10" xfId="0" applyNumberFormat="1" applyBorder="1"/>
    <xf numFmtId="2" fontId="0" fillId="0" borderId="5" xfId="0" applyNumberFormat="1" applyBorder="1"/>
    <xf numFmtId="2" fontId="0" fillId="0" borderId="12" xfId="0" applyNumberFormat="1" applyBorder="1"/>
    <xf numFmtId="1" fontId="10" fillId="2" borderId="9" xfId="0" applyNumberFormat="1" applyFont="1" applyFill="1" applyBorder="1" applyAlignment="1">
      <alignment horizontal="right" vertical="center"/>
    </xf>
    <xf numFmtId="1" fontId="10" fillId="2" borderId="11" xfId="0" applyNumberFormat="1" applyFont="1" applyFill="1" applyBorder="1" applyAlignment="1">
      <alignment horizontal="right" vertical="center"/>
    </xf>
    <xf numFmtId="2" fontId="0" fillId="0" borderId="0" xfId="0" applyNumberFormat="1" applyFont="1" applyBorder="1"/>
    <xf numFmtId="2" fontId="0" fillId="0" borderId="10" xfId="0" applyNumberFormat="1" applyFont="1" applyBorder="1"/>
    <xf numFmtId="0" fontId="0" fillId="3" borderId="0" xfId="0" applyNumberFormat="1" applyFont="1" applyFill="1" applyBorder="1"/>
    <xf numFmtId="0" fontId="0" fillId="0" borderId="4" xfId="0" applyFont="1" applyBorder="1" applyAlignment="1">
      <alignment horizontal="left"/>
    </xf>
    <xf numFmtId="0" fontId="0" fillId="0" borderId="0" xfId="0" applyNumberFormat="1" applyFont="1" applyBorder="1"/>
    <xf numFmtId="0" fontId="0" fillId="0" borderId="4" xfId="0" applyBorder="1"/>
    <xf numFmtId="2" fontId="1" fillId="0" borderId="0" xfId="0" applyNumberFormat="1" applyFont="1" applyFill="1" applyBorder="1"/>
    <xf numFmtId="2" fontId="0" fillId="0" borderId="0" xfId="0" applyNumberFormat="1" applyFill="1" applyBorder="1"/>
    <xf numFmtId="2" fontId="1" fillId="0" borderId="0" xfId="0" applyNumberFormat="1" applyFont="1" applyBorder="1"/>
    <xf numFmtId="2" fontId="1" fillId="0" borderId="10" xfId="0" applyNumberFormat="1" applyFont="1" applyBorder="1"/>
    <xf numFmtId="10" fontId="0" fillId="0" borderId="0" xfId="1" applyNumberFormat="1" applyFont="1"/>
    <xf numFmtId="2" fontId="0" fillId="0" borderId="0" xfId="0" applyNumberFormat="1" applyFont="1" applyFill="1" applyBorder="1"/>
    <xf numFmtId="0" fontId="4" fillId="2" borderId="0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  <xf numFmtId="2" fontId="0" fillId="0" borderId="0" xfId="0" applyNumberFormat="1" applyFill="1"/>
  </cellXfs>
  <cellStyles count="2">
    <cellStyle name="Normal" xfId="0" builtinId="0"/>
    <cellStyle name="Percent" xfId="1" builtinId="5"/>
  </cellStyles>
  <dxfs count="17">
    <dxf>
      <font>
        <color rgb="FF640000"/>
      </font>
      <fill>
        <patternFill>
          <bgColor rgb="FFEE9090"/>
        </patternFill>
      </fill>
    </dxf>
    <dxf>
      <font>
        <color rgb="FF006400"/>
      </font>
      <fill>
        <patternFill>
          <bgColor rgb="FF90EE90"/>
        </patternFill>
      </fill>
    </dxf>
    <dxf>
      <font>
        <color rgb="FF640000"/>
      </font>
      <fill>
        <patternFill>
          <bgColor rgb="FFEE9090"/>
        </patternFill>
      </fill>
    </dxf>
    <dxf>
      <font>
        <color rgb="FF006400"/>
      </font>
      <fill>
        <patternFill>
          <bgColor rgb="FF90EE90"/>
        </patternFill>
      </fill>
    </dxf>
    <dxf>
      <font>
        <color rgb="FF640000"/>
      </font>
      <fill>
        <patternFill>
          <bgColor rgb="FFEE9090"/>
        </patternFill>
      </fill>
    </dxf>
    <dxf>
      <font>
        <color rgb="FF006400"/>
      </font>
      <fill>
        <patternFill>
          <bgColor rgb="FF90EE90"/>
        </patternFill>
      </fill>
    </dxf>
    <dxf>
      <font>
        <color rgb="FF640000"/>
      </font>
      <fill>
        <patternFill>
          <bgColor rgb="FFEE9090"/>
        </patternFill>
      </fill>
    </dxf>
    <dxf>
      <font>
        <color rgb="FF006400"/>
      </font>
      <fill>
        <patternFill>
          <bgColor rgb="FF90EE9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C00000"/>
        </patternFill>
      </fill>
    </dxf>
    <dxf>
      <fill>
        <patternFill>
          <bgColor theme="4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0</xdr:colOff>
          <xdr:row>1</xdr:row>
          <xdr:rowOff>38100</xdr:rowOff>
        </xdr:from>
        <xdr:to>
          <xdr:col>34</xdr:col>
          <xdr:colOff>546100</xdr:colOff>
          <xdr:row>3</xdr:row>
          <xdr:rowOff>50800</xdr:rowOff>
        </xdr:to>
        <xdr:sp macro="" textlink="">
          <xdr:nvSpPr>
            <xdr:cNvPr id="1037" name="FG_Punt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63500</xdr:colOff>
          <xdr:row>1</xdr:row>
          <xdr:rowOff>25400</xdr:rowOff>
        </xdr:from>
        <xdr:to>
          <xdr:col>37</xdr:col>
          <xdr:colOff>603250</xdr:colOff>
          <xdr:row>3</xdr:row>
          <xdr:rowOff>31750</xdr:rowOff>
        </xdr:to>
        <xdr:sp macro="" textlink="">
          <xdr:nvSpPr>
            <xdr:cNvPr id="1038" name="FT_Pun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5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6350</xdr:colOff>
          <xdr:row>3</xdr:row>
          <xdr:rowOff>120650</xdr:rowOff>
        </xdr:from>
        <xdr:to>
          <xdr:col>34</xdr:col>
          <xdr:colOff>552450</xdr:colOff>
          <xdr:row>5</xdr:row>
          <xdr:rowOff>127000</xdr:rowOff>
        </xdr:to>
        <xdr:sp macro="" textlink="">
          <xdr:nvSpPr>
            <xdr:cNvPr id="1039" name="Three_Pun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5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82550</xdr:colOff>
          <xdr:row>3</xdr:row>
          <xdr:rowOff>120650</xdr:rowOff>
        </xdr:from>
        <xdr:to>
          <xdr:col>37</xdr:col>
          <xdr:colOff>603250</xdr:colOff>
          <xdr:row>5</xdr:row>
          <xdr:rowOff>127000</xdr:rowOff>
        </xdr:to>
        <xdr:sp macro="" textlink="">
          <xdr:nvSpPr>
            <xdr:cNvPr id="1040" name="PTS_Punt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5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577850</xdr:colOff>
          <xdr:row>5</xdr:row>
          <xdr:rowOff>209550</xdr:rowOff>
        </xdr:from>
        <xdr:to>
          <xdr:col>34</xdr:col>
          <xdr:colOff>514350</xdr:colOff>
          <xdr:row>7</xdr:row>
          <xdr:rowOff>215900</xdr:rowOff>
        </xdr:to>
        <xdr:sp macro="" textlink="">
          <xdr:nvSpPr>
            <xdr:cNvPr id="1042" name="REB_Punt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5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596900</xdr:colOff>
          <xdr:row>8</xdr:row>
          <xdr:rowOff>0</xdr:rowOff>
        </xdr:from>
        <xdr:to>
          <xdr:col>34</xdr:col>
          <xdr:colOff>533400</xdr:colOff>
          <xdr:row>10</xdr:row>
          <xdr:rowOff>6350</xdr:rowOff>
        </xdr:to>
        <xdr:sp macro="" textlink="">
          <xdr:nvSpPr>
            <xdr:cNvPr id="1043" name="STL_Pun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5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381000</xdr:colOff>
          <xdr:row>10</xdr:row>
          <xdr:rowOff>101600</xdr:rowOff>
        </xdr:from>
        <xdr:to>
          <xdr:col>36</xdr:col>
          <xdr:colOff>298450</xdr:colOff>
          <xdr:row>12</xdr:row>
          <xdr:rowOff>107950</xdr:rowOff>
        </xdr:to>
        <xdr:sp macro="" textlink="">
          <xdr:nvSpPr>
            <xdr:cNvPr id="1044" name="TOV_Punt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5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101600</xdr:colOff>
          <xdr:row>8</xdr:row>
          <xdr:rowOff>0</xdr:rowOff>
        </xdr:from>
        <xdr:to>
          <xdr:col>38</xdr:col>
          <xdr:colOff>19050</xdr:colOff>
          <xdr:row>10</xdr:row>
          <xdr:rowOff>12700</xdr:rowOff>
        </xdr:to>
        <xdr:sp macro="" textlink="">
          <xdr:nvSpPr>
            <xdr:cNvPr id="1045" name="BLK_Pun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101600</xdr:colOff>
          <xdr:row>5</xdr:row>
          <xdr:rowOff>209550</xdr:rowOff>
        </xdr:from>
        <xdr:to>
          <xdr:col>38</xdr:col>
          <xdr:colOff>19050</xdr:colOff>
          <xdr:row>7</xdr:row>
          <xdr:rowOff>215900</xdr:rowOff>
        </xdr:to>
        <xdr:sp macro="" textlink="">
          <xdr:nvSpPr>
            <xdr:cNvPr id="1046" name="AST_Pun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5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146050</xdr:colOff>
          <xdr:row>13</xdr:row>
          <xdr:rowOff>247650</xdr:rowOff>
        </xdr:from>
        <xdr:to>
          <xdr:col>38</xdr:col>
          <xdr:colOff>101600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1200150</xdr:colOff>
          <xdr:row>5</xdr:row>
          <xdr:rowOff>50800</xdr:rowOff>
        </xdr:from>
        <xdr:to>
          <xdr:col>4</xdr:col>
          <xdr:colOff>44450</xdr:colOff>
          <xdr:row>7</xdr:row>
          <xdr:rowOff>82550</xdr:rowOff>
        </xdr:to>
        <xdr:sp macro="" textlink="">
          <xdr:nvSpPr>
            <xdr:cNvPr id="4106" name="AddPlayer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refreshOnLoad="1" connectionId="2" xr16:uid="{8D3C12CD-99A1-4069-BC33-FA84C545460F}" autoFormatId="16" applyNumberFormats="0" applyBorderFormats="0" applyFontFormats="0" applyPatternFormats="0" applyAlignmentFormats="0" applyWidthHeightFormats="0">
  <queryTableRefresh nextId="17">
    <queryTableFields count="16">
      <queryTableField id="1" name="Player" tableColumnId="1"/>
      <queryTableField id="2" name="Pos" tableColumnId="2"/>
      <queryTableField id="3" name="Tm" tableColumnId="3"/>
      <queryTableField id="4" name="G" tableColumnId="4"/>
      <queryTableField id="5" name="MP" tableColumnId="5"/>
      <queryTableField id="6" name="FGA" tableColumnId="6"/>
      <queryTableField id="7" name="FG%" tableColumnId="7"/>
      <queryTableField id="8" name="3P" tableColumnId="8"/>
      <queryTableField id="9" name="FTA" tableColumnId="9"/>
      <queryTableField id="10" name="FT%" tableColumnId="10"/>
      <queryTableField id="11" name="TRB" tableColumnId="11"/>
      <queryTableField id="12" name="AST" tableColumnId="12"/>
      <queryTableField id="13" name="STL" tableColumnId="13"/>
      <queryTableField id="14" name="BLK" tableColumnId="14"/>
      <queryTableField id="15" name="TOV" tableColumnId="15"/>
      <queryTableField id="16" name="PTS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312D05DC-0A01-42DE-B332-033DFD7B71AA}" autoFormatId="16" applyNumberFormats="0" applyBorderFormats="0" applyFontFormats="0" applyPatternFormats="0" applyAlignmentFormats="0" applyWidthHeightFormats="0">
  <queryTableRefresh nextId="3">
    <queryTableFields count="2">
      <queryTableField id="1" name="Player" tableColumnId="1"/>
      <queryTableField id="2" name="Current Team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ADD33D-CE05-42B4-8C1C-61F5A329F465}" name="Player_Per_Game_Table" displayName="Player_Per_Game_Table" ref="A1:P461" tableType="queryTable" totalsRowShown="0">
  <autoFilter ref="A1:P461" xr:uid="{C1AD1F15-5FEF-40C6-9FEB-912540AB0B4C}"/>
  <tableColumns count="16">
    <tableColumn id="1" xr3:uid="{9F86F511-AA7E-4E70-A42B-B0D24AA9DFD5}" uniqueName="1" name="Player" queryTableFieldId="1" dataDxfId="14"/>
    <tableColumn id="2" xr3:uid="{E18DC81E-EFBF-48E2-9DE9-85D3394B84A1}" uniqueName="2" name="Pos" queryTableFieldId="2" dataDxfId="13"/>
    <tableColumn id="3" xr3:uid="{16DA0107-4492-46B7-9682-267C1DF8EE75}" uniqueName="3" name="Tm" queryTableFieldId="3" dataDxfId="12"/>
    <tableColumn id="4" xr3:uid="{119E590B-2FA2-4549-BD38-99590588457C}" uniqueName="4" name="G" queryTableFieldId="4"/>
    <tableColumn id="5" xr3:uid="{24E0FDD5-8BD6-4AFF-8C14-8AEA1C4A78C0}" uniqueName="5" name="MP" queryTableFieldId="5"/>
    <tableColumn id="6" xr3:uid="{08C341CE-4652-49BA-8096-A0464845D396}" uniqueName="6" name="FGA" queryTableFieldId="6"/>
    <tableColumn id="7" xr3:uid="{FA3881D7-D7CE-4886-BF56-C84FE057D859}" uniqueName="7" name="FG%" queryTableFieldId="7"/>
    <tableColumn id="8" xr3:uid="{A80F21C8-AA85-44CE-ACB1-10E4AA45C4BB}" uniqueName="8" name="3P" queryTableFieldId="8"/>
    <tableColumn id="9" xr3:uid="{BB2B4560-A5E2-4D5E-9E37-25C67187CB78}" uniqueName="9" name="FTA" queryTableFieldId="9"/>
    <tableColumn id="10" xr3:uid="{799A0B3C-4055-41F4-B749-200DF1B16035}" uniqueName="10" name="FT%" queryTableFieldId="10"/>
    <tableColumn id="11" xr3:uid="{E60FC21D-AB9C-4BE7-891B-61ED3B3870FB}" uniqueName="11" name="TRB" queryTableFieldId="11"/>
    <tableColumn id="12" xr3:uid="{BB0A5194-E2FF-4614-8362-E7CC75BE6409}" uniqueName="12" name="AST" queryTableFieldId="12"/>
    <tableColumn id="13" xr3:uid="{C3BD4189-DA83-436C-BB9D-08E4B8C00231}" uniqueName="13" name="STL" queryTableFieldId="13"/>
    <tableColumn id="14" xr3:uid="{7874CF91-2FE9-4F5F-9FED-A6A06558F86A}" uniqueName="14" name="BLK" queryTableFieldId="14"/>
    <tableColumn id="15" xr3:uid="{381516C1-17E3-4231-8757-A57E984DAA1E}" uniqueName="15" name="TOV" queryTableFieldId="15"/>
    <tableColumn id="16" xr3:uid="{3F20C013-BA6D-43B2-91BA-3A98CBB2F814}" uniqueName="16" name="PTS" queryTableField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23EB2C-FC6B-4C0D-A711-FF247363F79A}" name="_2020_2021_NBA_Players" displayName="_2020_2021_NBA_Players" ref="A1:B499" tableType="queryTable" totalsRowShown="0">
  <autoFilter ref="A1:B499" xr:uid="{4B9367AA-868E-4061-8C03-83C6CB9E25DD}"/>
  <tableColumns count="2">
    <tableColumn id="1" xr3:uid="{1FF7C833-B651-4DB1-B6DB-61CD3139297D}" uniqueName="1" name="Player" queryTableFieldId="1" dataDxfId="16"/>
    <tableColumn id="2" xr3:uid="{CCDB47CB-F475-4E85-8AD9-661CD015D283}" uniqueName="2" name="Current Team" queryTableFieldId="2" dataDxf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A3877-DCD1-4AA3-8C53-A8060CAD80AD}">
  <sheetPr codeName="Sheet5"/>
  <dimension ref="A1:P461"/>
  <sheetViews>
    <sheetView topLeftCell="A342" zoomScale="64" workbookViewId="0">
      <selection activeCell="A357" sqref="A357"/>
    </sheetView>
  </sheetViews>
  <sheetFormatPr defaultRowHeight="14.5" x14ac:dyDescent="0.35"/>
  <cols>
    <col min="1" max="1" width="23.36328125" bestFit="1" customWidth="1"/>
    <col min="2" max="2" width="7.453125" bestFit="1" customWidth="1"/>
    <col min="3" max="3" width="7.08984375" bestFit="1" customWidth="1"/>
    <col min="4" max="4" width="5.81640625" bestFit="1" customWidth="1"/>
    <col min="5" max="5" width="7.1796875" bestFit="1" customWidth="1"/>
    <col min="6" max="6" width="7.7265625" bestFit="1" customWidth="1"/>
    <col min="7" max="7" width="8.08984375" bestFit="1" customWidth="1"/>
    <col min="8" max="8" width="6.453125" bestFit="1" customWidth="1"/>
    <col min="9" max="9" width="7.453125" bestFit="1" customWidth="1"/>
    <col min="10" max="11" width="7.7265625" bestFit="1" customWidth="1"/>
    <col min="12" max="12" width="7.6328125" bestFit="1" customWidth="1"/>
    <col min="13" max="13" width="7.36328125" bestFit="1" customWidth="1"/>
    <col min="14" max="14" width="7.6328125" bestFit="1" customWidth="1"/>
    <col min="15" max="15" width="7.90625" bestFit="1" customWidth="1"/>
    <col min="16" max="16" width="7.453125" bestFit="1" customWidth="1"/>
  </cols>
  <sheetData>
    <row r="1" spans="1:1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16</v>
      </c>
    </row>
    <row r="2" spans="1:16" x14ac:dyDescent="0.35">
      <c r="A2" s="1" t="s">
        <v>680</v>
      </c>
      <c r="B2" s="1" t="s">
        <v>15</v>
      </c>
      <c r="C2" s="1" t="s">
        <v>21</v>
      </c>
      <c r="D2" s="7">
        <v>9</v>
      </c>
      <c r="E2" s="7">
        <v>17.399999999999999</v>
      </c>
      <c r="F2" s="7">
        <v>5.4</v>
      </c>
      <c r="G2" s="7">
        <v>0.61199999999999999</v>
      </c>
      <c r="H2" s="7">
        <v>0</v>
      </c>
      <c r="I2" s="7">
        <v>2.9</v>
      </c>
      <c r="J2" s="7">
        <v>0.57699999999999996</v>
      </c>
      <c r="K2" s="7">
        <v>5.3</v>
      </c>
      <c r="L2" s="7">
        <v>1</v>
      </c>
      <c r="M2" s="7">
        <v>0.2</v>
      </c>
      <c r="N2" s="7">
        <v>0.4</v>
      </c>
      <c r="O2" s="7">
        <v>1.6</v>
      </c>
      <c r="P2" s="7">
        <v>8.3000000000000007</v>
      </c>
    </row>
    <row r="3" spans="1:16" x14ac:dyDescent="0.35">
      <c r="A3" s="1" t="s">
        <v>732</v>
      </c>
      <c r="B3" s="1" t="s">
        <v>46</v>
      </c>
      <c r="C3" s="1" t="s">
        <v>38</v>
      </c>
      <c r="D3" s="7">
        <v>1</v>
      </c>
      <c r="E3" s="7">
        <v>1</v>
      </c>
      <c r="F3" s="7">
        <v>1</v>
      </c>
      <c r="G3" s="7">
        <v>0</v>
      </c>
      <c r="H3" s="7">
        <v>0</v>
      </c>
      <c r="I3" s="7">
        <v>0</v>
      </c>
      <c r="J3" s="7"/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</row>
    <row r="4" spans="1:16" x14ac:dyDescent="0.35">
      <c r="A4" s="1" t="s">
        <v>17</v>
      </c>
      <c r="B4" s="1" t="s">
        <v>18</v>
      </c>
      <c r="C4" s="1" t="s">
        <v>26</v>
      </c>
      <c r="D4" s="7">
        <v>9</v>
      </c>
      <c r="E4" s="7">
        <v>31.1</v>
      </c>
      <c r="F4" s="7">
        <v>6.7</v>
      </c>
      <c r="G4" s="7">
        <v>0.66700000000000004</v>
      </c>
      <c r="H4" s="7">
        <v>0</v>
      </c>
      <c r="I4" s="7">
        <v>3</v>
      </c>
      <c r="J4" s="7">
        <v>0.48099999999999998</v>
      </c>
      <c r="K4" s="7">
        <v>8.9</v>
      </c>
      <c r="L4" s="7">
        <v>2.6</v>
      </c>
      <c r="M4" s="7">
        <v>1.6</v>
      </c>
      <c r="N4" s="7">
        <v>0.9</v>
      </c>
      <c r="O4" s="7">
        <v>2.1</v>
      </c>
      <c r="P4" s="7">
        <v>10.3</v>
      </c>
    </row>
    <row r="5" spans="1:16" x14ac:dyDescent="0.35">
      <c r="A5" s="1" t="s">
        <v>20</v>
      </c>
      <c r="B5" s="1" t="s">
        <v>18</v>
      </c>
      <c r="C5" s="1" t="s">
        <v>21</v>
      </c>
      <c r="D5" s="7">
        <v>8</v>
      </c>
      <c r="E5" s="7">
        <v>30.4</v>
      </c>
      <c r="F5" s="7">
        <v>10.1</v>
      </c>
      <c r="G5" s="7">
        <v>0.64200000000000002</v>
      </c>
      <c r="H5" s="7">
        <v>0</v>
      </c>
      <c r="I5" s="7">
        <v>5.5</v>
      </c>
      <c r="J5" s="7">
        <v>0.79500000000000004</v>
      </c>
      <c r="K5" s="7">
        <v>9</v>
      </c>
      <c r="L5" s="7">
        <v>5</v>
      </c>
      <c r="M5" s="7">
        <v>1</v>
      </c>
      <c r="N5" s="7">
        <v>1</v>
      </c>
      <c r="O5" s="7">
        <v>3.4</v>
      </c>
      <c r="P5" s="7">
        <v>17.399999999999999</v>
      </c>
    </row>
    <row r="6" spans="1:16" x14ac:dyDescent="0.35">
      <c r="A6" s="1" t="s">
        <v>22</v>
      </c>
      <c r="B6" s="1" t="s">
        <v>18</v>
      </c>
      <c r="C6" s="1" t="s">
        <v>23</v>
      </c>
      <c r="D6" s="7">
        <v>8</v>
      </c>
      <c r="E6" s="7">
        <v>29.4</v>
      </c>
      <c r="F6" s="7">
        <v>15</v>
      </c>
      <c r="G6" s="7">
        <v>0.433</v>
      </c>
      <c r="H6" s="7">
        <v>1.3</v>
      </c>
      <c r="I6" s="7">
        <v>1.1000000000000001</v>
      </c>
      <c r="J6" s="7">
        <v>0.77800000000000002</v>
      </c>
      <c r="K6" s="7">
        <v>5.8</v>
      </c>
      <c r="L6" s="7">
        <v>2.8</v>
      </c>
      <c r="M6" s="7">
        <v>0.6</v>
      </c>
      <c r="N6" s="7">
        <v>0.9</v>
      </c>
      <c r="O6" s="7">
        <v>1.3</v>
      </c>
      <c r="P6" s="7">
        <v>15.1</v>
      </c>
    </row>
    <row r="7" spans="1:16" x14ac:dyDescent="0.35">
      <c r="A7" s="1" t="s">
        <v>681</v>
      </c>
      <c r="B7" s="1" t="s">
        <v>25</v>
      </c>
      <c r="C7" s="1" t="s">
        <v>52</v>
      </c>
      <c r="D7" s="7">
        <v>3</v>
      </c>
      <c r="E7" s="7">
        <v>2.7</v>
      </c>
      <c r="F7" s="7">
        <v>1</v>
      </c>
      <c r="G7" s="7">
        <v>0</v>
      </c>
      <c r="H7" s="7">
        <v>0</v>
      </c>
      <c r="I7" s="7">
        <v>0</v>
      </c>
      <c r="J7" s="7"/>
      <c r="K7" s="7">
        <v>0.3</v>
      </c>
      <c r="L7" s="7">
        <v>0.3</v>
      </c>
      <c r="M7" s="7">
        <v>0</v>
      </c>
      <c r="N7" s="7">
        <v>0</v>
      </c>
      <c r="O7" s="7">
        <v>0</v>
      </c>
      <c r="P7" s="7">
        <v>0</v>
      </c>
    </row>
    <row r="8" spans="1:16" x14ac:dyDescent="0.35">
      <c r="A8" s="1" t="s">
        <v>24</v>
      </c>
      <c r="B8" s="1" t="s">
        <v>25</v>
      </c>
      <c r="C8" s="1" t="s">
        <v>26</v>
      </c>
      <c r="D8" s="7">
        <v>7</v>
      </c>
      <c r="E8" s="7">
        <v>14.7</v>
      </c>
      <c r="F8" s="7">
        <v>7.7</v>
      </c>
      <c r="G8" s="7">
        <v>0.38900000000000001</v>
      </c>
      <c r="H8" s="7">
        <v>1</v>
      </c>
      <c r="I8" s="7">
        <v>0.9</v>
      </c>
      <c r="J8" s="7">
        <v>1</v>
      </c>
      <c r="K8" s="7">
        <v>1.7</v>
      </c>
      <c r="L8" s="7">
        <v>1.4</v>
      </c>
      <c r="M8" s="7">
        <v>0.9</v>
      </c>
      <c r="N8" s="7">
        <v>0.1</v>
      </c>
      <c r="O8" s="7">
        <v>1.3</v>
      </c>
      <c r="P8" s="7">
        <v>7.9</v>
      </c>
    </row>
    <row r="9" spans="1:16" x14ac:dyDescent="0.35">
      <c r="A9" s="1" t="s">
        <v>27</v>
      </c>
      <c r="B9" s="1" t="s">
        <v>25</v>
      </c>
      <c r="C9" s="1" t="s">
        <v>28</v>
      </c>
      <c r="D9" s="7">
        <v>9</v>
      </c>
      <c r="E9" s="7">
        <v>19.899999999999999</v>
      </c>
      <c r="F9" s="7">
        <v>5</v>
      </c>
      <c r="G9" s="7">
        <v>0.311</v>
      </c>
      <c r="H9" s="7">
        <v>1.1000000000000001</v>
      </c>
      <c r="I9" s="7">
        <v>1.2</v>
      </c>
      <c r="J9" s="7">
        <v>0.90900000000000003</v>
      </c>
      <c r="K9" s="7">
        <v>2.4</v>
      </c>
      <c r="L9" s="7">
        <v>1.7</v>
      </c>
      <c r="M9" s="7">
        <v>1</v>
      </c>
      <c r="N9" s="7">
        <v>0.1</v>
      </c>
      <c r="O9" s="7">
        <v>0.9</v>
      </c>
      <c r="P9" s="7">
        <v>5.3</v>
      </c>
    </row>
    <row r="10" spans="1:16" x14ac:dyDescent="0.35">
      <c r="A10" s="1" t="s">
        <v>29</v>
      </c>
      <c r="B10" s="1" t="s">
        <v>18</v>
      </c>
      <c r="C10" s="1" t="s">
        <v>30</v>
      </c>
      <c r="D10" s="7">
        <v>12</v>
      </c>
      <c r="E10" s="7">
        <v>26.7</v>
      </c>
      <c r="F10" s="7">
        <v>5.4</v>
      </c>
      <c r="G10" s="7">
        <v>0.67700000000000005</v>
      </c>
      <c r="H10" s="7">
        <v>0</v>
      </c>
      <c r="I10" s="7">
        <v>5.0999999999999996</v>
      </c>
      <c r="J10" s="7">
        <v>0.754</v>
      </c>
      <c r="K10" s="7">
        <v>10.4</v>
      </c>
      <c r="L10" s="7">
        <v>1.7</v>
      </c>
      <c r="M10" s="7">
        <v>0.6</v>
      </c>
      <c r="N10" s="7">
        <v>1.6</v>
      </c>
      <c r="O10" s="7">
        <v>1.8</v>
      </c>
      <c r="P10" s="7">
        <v>11.2</v>
      </c>
    </row>
    <row r="11" spans="1:16" x14ac:dyDescent="0.35">
      <c r="A11" s="1" t="s">
        <v>35</v>
      </c>
      <c r="B11" s="1" t="s">
        <v>15</v>
      </c>
      <c r="C11" s="1" t="s">
        <v>28</v>
      </c>
      <c r="D11" s="7">
        <v>10</v>
      </c>
      <c r="E11" s="7">
        <v>30.5</v>
      </c>
      <c r="F11" s="7">
        <v>11.8</v>
      </c>
      <c r="G11" s="7">
        <v>0.41499999999999998</v>
      </c>
      <c r="H11" s="7">
        <v>1.4</v>
      </c>
      <c r="I11" s="7">
        <v>2.8</v>
      </c>
      <c r="J11" s="7">
        <v>0.82099999999999995</v>
      </c>
      <c r="K11" s="7">
        <v>7.3</v>
      </c>
      <c r="L11" s="7">
        <v>4.0999999999999996</v>
      </c>
      <c r="M11" s="7">
        <v>0.4</v>
      </c>
      <c r="N11" s="7">
        <v>0.7</v>
      </c>
      <c r="O11" s="7">
        <v>2.1</v>
      </c>
      <c r="P11" s="7">
        <v>13.5</v>
      </c>
    </row>
    <row r="12" spans="1:16" x14ac:dyDescent="0.35">
      <c r="A12" s="1" t="s">
        <v>37</v>
      </c>
      <c r="B12" s="1" t="s">
        <v>15</v>
      </c>
      <c r="C12" s="1" t="s">
        <v>38</v>
      </c>
      <c r="D12" s="7">
        <v>10</v>
      </c>
      <c r="E12" s="7">
        <v>31</v>
      </c>
      <c r="F12" s="7">
        <v>18.100000000000001</v>
      </c>
      <c r="G12" s="7">
        <v>0.52500000000000002</v>
      </c>
      <c r="H12" s="7">
        <v>1.4</v>
      </c>
      <c r="I12" s="7">
        <v>10</v>
      </c>
      <c r="J12" s="7">
        <v>0.62</v>
      </c>
      <c r="K12" s="7">
        <v>10.1</v>
      </c>
      <c r="L12" s="7">
        <v>5.0999999999999996</v>
      </c>
      <c r="M12" s="7">
        <v>1.2</v>
      </c>
      <c r="N12" s="7">
        <v>1</v>
      </c>
      <c r="O12" s="7">
        <v>3.4</v>
      </c>
      <c r="P12" s="7">
        <v>26.6</v>
      </c>
    </row>
    <row r="13" spans="1:16" x14ac:dyDescent="0.35">
      <c r="A13" s="1" t="s">
        <v>39</v>
      </c>
      <c r="B13" s="1" t="s">
        <v>15</v>
      </c>
      <c r="C13" s="1" t="s">
        <v>40</v>
      </c>
      <c r="D13" s="7">
        <v>1</v>
      </c>
      <c r="E13" s="7">
        <v>8</v>
      </c>
      <c r="F13" s="7">
        <v>2</v>
      </c>
      <c r="G13" s="7">
        <v>0</v>
      </c>
      <c r="H13" s="7">
        <v>0</v>
      </c>
      <c r="I13" s="7">
        <v>0</v>
      </c>
      <c r="J13" s="7"/>
      <c r="K13" s="7">
        <v>4</v>
      </c>
      <c r="L13" s="7">
        <v>0</v>
      </c>
      <c r="M13" s="7">
        <v>0</v>
      </c>
      <c r="N13" s="7">
        <v>2</v>
      </c>
      <c r="O13" s="7">
        <v>2</v>
      </c>
      <c r="P13" s="7">
        <v>0</v>
      </c>
    </row>
    <row r="14" spans="1:16" x14ac:dyDescent="0.35">
      <c r="A14" s="1" t="s">
        <v>41</v>
      </c>
      <c r="B14" s="1" t="s">
        <v>34</v>
      </c>
      <c r="C14" s="1" t="s">
        <v>38</v>
      </c>
      <c r="D14" s="7">
        <v>10</v>
      </c>
      <c r="E14" s="7">
        <v>11.4</v>
      </c>
      <c r="F14" s="7">
        <v>1.9</v>
      </c>
      <c r="G14" s="7">
        <v>0.63200000000000001</v>
      </c>
      <c r="H14" s="7">
        <v>0.1</v>
      </c>
      <c r="I14" s="7">
        <v>0.2</v>
      </c>
      <c r="J14" s="7">
        <v>1</v>
      </c>
      <c r="K14" s="7">
        <v>2.4</v>
      </c>
      <c r="L14" s="7">
        <v>1.2</v>
      </c>
      <c r="M14" s="7">
        <v>0.2</v>
      </c>
      <c r="N14" s="7">
        <v>0.1</v>
      </c>
      <c r="O14" s="7">
        <v>1.2</v>
      </c>
      <c r="P14" s="7">
        <v>2.7</v>
      </c>
    </row>
    <row r="15" spans="1:16" x14ac:dyDescent="0.35">
      <c r="A15" s="1" t="s">
        <v>42</v>
      </c>
      <c r="B15" s="1" t="s">
        <v>15</v>
      </c>
      <c r="C15" s="1" t="s">
        <v>43</v>
      </c>
      <c r="D15" s="7">
        <v>9</v>
      </c>
      <c r="E15" s="7">
        <v>25.2</v>
      </c>
      <c r="F15" s="7">
        <v>9.6999999999999993</v>
      </c>
      <c r="G15" s="7">
        <v>0.40200000000000002</v>
      </c>
      <c r="H15" s="7">
        <v>1.8</v>
      </c>
      <c r="I15" s="7">
        <v>3.9</v>
      </c>
      <c r="J15" s="7">
        <v>0.88600000000000001</v>
      </c>
      <c r="K15" s="7">
        <v>3.6</v>
      </c>
      <c r="L15" s="7">
        <v>1.2</v>
      </c>
      <c r="M15" s="7">
        <v>0.8</v>
      </c>
      <c r="N15" s="7">
        <v>0.4</v>
      </c>
      <c r="O15" s="7">
        <v>0.8</v>
      </c>
      <c r="P15" s="7">
        <v>13</v>
      </c>
    </row>
    <row r="16" spans="1:16" x14ac:dyDescent="0.35">
      <c r="A16" s="1" t="s">
        <v>682</v>
      </c>
      <c r="B16" s="1" t="s">
        <v>46</v>
      </c>
      <c r="C16" s="1" t="s">
        <v>33</v>
      </c>
      <c r="D16" s="7">
        <v>11</v>
      </c>
      <c r="E16" s="7">
        <v>23.3</v>
      </c>
      <c r="F16" s="7">
        <v>10.1</v>
      </c>
      <c r="G16" s="7">
        <v>0.315</v>
      </c>
      <c r="H16" s="7">
        <v>0.5</v>
      </c>
      <c r="I16" s="7">
        <v>2.8</v>
      </c>
      <c r="J16" s="7">
        <v>0.90300000000000002</v>
      </c>
      <c r="K16" s="7">
        <v>4.2</v>
      </c>
      <c r="L16" s="7">
        <v>3.1</v>
      </c>
      <c r="M16" s="7">
        <v>0.5</v>
      </c>
      <c r="N16" s="7">
        <v>0.2</v>
      </c>
      <c r="O16" s="7">
        <v>1.5</v>
      </c>
      <c r="P16" s="7">
        <v>9.5</v>
      </c>
    </row>
    <row r="17" spans="1:16" x14ac:dyDescent="0.35">
      <c r="A17" s="1" t="s">
        <v>594</v>
      </c>
      <c r="B17" s="1" t="s">
        <v>34</v>
      </c>
      <c r="C17" s="1" t="s">
        <v>44</v>
      </c>
      <c r="D17" s="7">
        <v>10</v>
      </c>
      <c r="E17" s="7">
        <v>34.9</v>
      </c>
      <c r="F17" s="7">
        <v>9.5</v>
      </c>
      <c r="G17" s="7">
        <v>0.45300000000000001</v>
      </c>
      <c r="H17" s="7">
        <v>1.8</v>
      </c>
      <c r="I17" s="7">
        <v>3.1</v>
      </c>
      <c r="J17" s="7">
        <v>0.71</v>
      </c>
      <c r="K17" s="7">
        <v>5.4</v>
      </c>
      <c r="L17" s="7">
        <v>1.7</v>
      </c>
      <c r="M17" s="7">
        <v>1.8</v>
      </c>
      <c r="N17" s="7">
        <v>0.6</v>
      </c>
      <c r="O17" s="7">
        <v>1.6</v>
      </c>
      <c r="P17" s="7">
        <v>12.6</v>
      </c>
    </row>
    <row r="18" spans="1:16" x14ac:dyDescent="0.35">
      <c r="A18" s="1" t="s">
        <v>45</v>
      </c>
      <c r="B18" s="1" t="s">
        <v>46</v>
      </c>
      <c r="C18" s="1" t="s">
        <v>47</v>
      </c>
      <c r="D18" s="7">
        <v>2</v>
      </c>
      <c r="E18" s="7">
        <v>14</v>
      </c>
      <c r="F18" s="7">
        <v>4.5</v>
      </c>
      <c r="G18" s="7">
        <v>0.33300000000000002</v>
      </c>
      <c r="H18" s="7">
        <v>0.5</v>
      </c>
      <c r="I18" s="7">
        <v>1.5</v>
      </c>
      <c r="J18" s="7">
        <v>1</v>
      </c>
      <c r="K18" s="7">
        <v>3</v>
      </c>
      <c r="L18" s="7">
        <v>2</v>
      </c>
      <c r="M18" s="7">
        <v>1</v>
      </c>
      <c r="N18" s="7">
        <v>0</v>
      </c>
      <c r="O18" s="7">
        <v>0</v>
      </c>
      <c r="P18" s="7">
        <v>5</v>
      </c>
    </row>
    <row r="19" spans="1:16" x14ac:dyDescent="0.35">
      <c r="A19" s="1" t="s">
        <v>50</v>
      </c>
      <c r="B19" s="1" t="s">
        <v>46</v>
      </c>
      <c r="C19" s="1" t="s">
        <v>38</v>
      </c>
      <c r="D19" s="7">
        <v>10</v>
      </c>
      <c r="E19" s="7">
        <v>18</v>
      </c>
      <c r="F19" s="7">
        <v>5.2</v>
      </c>
      <c r="G19" s="7">
        <v>0.34599999999999997</v>
      </c>
      <c r="H19" s="7">
        <v>1.3</v>
      </c>
      <c r="I19" s="7">
        <v>1.1000000000000001</v>
      </c>
      <c r="J19" s="7">
        <v>1</v>
      </c>
      <c r="K19" s="7">
        <v>1.3</v>
      </c>
      <c r="L19" s="7">
        <v>2.9</v>
      </c>
      <c r="M19" s="7">
        <v>0.5</v>
      </c>
      <c r="N19" s="7">
        <v>0</v>
      </c>
      <c r="O19" s="7">
        <v>1</v>
      </c>
      <c r="P19" s="7">
        <v>6</v>
      </c>
    </row>
    <row r="20" spans="1:16" x14ac:dyDescent="0.35">
      <c r="A20" s="1" t="s">
        <v>673</v>
      </c>
      <c r="B20" s="1" t="s">
        <v>34</v>
      </c>
      <c r="C20" s="1" t="s">
        <v>67</v>
      </c>
      <c r="D20" s="7">
        <v>11</v>
      </c>
      <c r="E20" s="7">
        <v>23.2</v>
      </c>
      <c r="F20" s="7">
        <v>5.6</v>
      </c>
      <c r="G20" s="7">
        <v>0.45200000000000001</v>
      </c>
      <c r="H20" s="7">
        <v>1.5</v>
      </c>
      <c r="I20" s="7">
        <v>0.7</v>
      </c>
      <c r="J20" s="7">
        <v>0.625</v>
      </c>
      <c r="K20" s="7">
        <v>4</v>
      </c>
      <c r="L20" s="7">
        <v>2.2000000000000002</v>
      </c>
      <c r="M20" s="7">
        <v>1</v>
      </c>
      <c r="N20" s="7">
        <v>0.3</v>
      </c>
      <c r="O20" s="7">
        <v>0.6</v>
      </c>
      <c r="P20" s="7">
        <v>7</v>
      </c>
    </row>
    <row r="21" spans="1:16" x14ac:dyDescent="0.35">
      <c r="A21" s="1" t="s">
        <v>51</v>
      </c>
      <c r="B21" s="1" t="s">
        <v>18</v>
      </c>
      <c r="C21" s="1" t="s">
        <v>52</v>
      </c>
      <c r="D21" s="7">
        <v>11</v>
      </c>
      <c r="E21" s="7">
        <v>30.2</v>
      </c>
      <c r="F21" s="7">
        <v>9.6</v>
      </c>
      <c r="G21" s="7">
        <v>0.56599999999999995</v>
      </c>
      <c r="H21" s="7">
        <v>0.1</v>
      </c>
      <c r="I21" s="7">
        <v>2.2999999999999998</v>
      </c>
      <c r="J21" s="7">
        <v>0.64</v>
      </c>
      <c r="K21" s="7">
        <v>11.3</v>
      </c>
      <c r="L21" s="7">
        <v>1.8</v>
      </c>
      <c r="M21" s="7">
        <v>0.4</v>
      </c>
      <c r="N21" s="7">
        <v>1</v>
      </c>
      <c r="O21" s="7">
        <v>1.8</v>
      </c>
      <c r="P21" s="7">
        <v>12.5</v>
      </c>
    </row>
    <row r="22" spans="1:16" x14ac:dyDescent="0.35">
      <c r="A22" s="1" t="s">
        <v>683</v>
      </c>
      <c r="B22" s="1" t="s">
        <v>18</v>
      </c>
      <c r="C22" s="1" t="s">
        <v>79</v>
      </c>
      <c r="D22" s="7">
        <v>5</v>
      </c>
      <c r="E22" s="7">
        <v>4.8</v>
      </c>
      <c r="F22" s="7">
        <v>0.8</v>
      </c>
      <c r="G22" s="7">
        <v>0.75</v>
      </c>
      <c r="H22" s="7">
        <v>0</v>
      </c>
      <c r="I22" s="7">
        <v>0.8</v>
      </c>
      <c r="J22" s="7">
        <v>0.5</v>
      </c>
      <c r="K22" s="7">
        <v>1</v>
      </c>
      <c r="L22" s="7">
        <v>0</v>
      </c>
      <c r="M22" s="7">
        <v>0.2</v>
      </c>
      <c r="N22" s="7">
        <v>0.2</v>
      </c>
      <c r="O22" s="7">
        <v>0</v>
      </c>
      <c r="P22" s="7">
        <v>1.6</v>
      </c>
    </row>
    <row r="23" spans="1:16" x14ac:dyDescent="0.35">
      <c r="A23" s="1" t="s">
        <v>53</v>
      </c>
      <c r="B23" s="1" t="s">
        <v>25</v>
      </c>
      <c r="C23" s="1" t="s">
        <v>33</v>
      </c>
      <c r="D23" s="7">
        <v>11</v>
      </c>
      <c r="E23" s="7">
        <v>25.3</v>
      </c>
      <c r="F23" s="7">
        <v>8.8000000000000007</v>
      </c>
      <c r="G23" s="7">
        <v>0.443</v>
      </c>
      <c r="H23" s="7">
        <v>0.6</v>
      </c>
      <c r="I23" s="7">
        <v>1.2</v>
      </c>
      <c r="J23" s="7">
        <v>0.69199999999999995</v>
      </c>
      <c r="K23" s="7">
        <v>3</v>
      </c>
      <c r="L23" s="7">
        <v>0.9</v>
      </c>
      <c r="M23" s="7">
        <v>0.4</v>
      </c>
      <c r="N23" s="7">
        <v>0.2</v>
      </c>
      <c r="O23" s="7">
        <v>0.8</v>
      </c>
      <c r="P23" s="7">
        <v>9.3000000000000007</v>
      </c>
    </row>
    <row r="24" spans="1:16" x14ac:dyDescent="0.35">
      <c r="A24" s="1" t="s">
        <v>578</v>
      </c>
      <c r="B24" s="1" t="s">
        <v>15</v>
      </c>
      <c r="C24" s="1" t="s">
        <v>49</v>
      </c>
      <c r="D24" s="7">
        <v>11</v>
      </c>
      <c r="E24" s="7">
        <v>25.5</v>
      </c>
      <c r="F24" s="7">
        <v>11.4</v>
      </c>
      <c r="G24" s="7">
        <v>0.41599999999999998</v>
      </c>
      <c r="H24" s="7">
        <v>0.8</v>
      </c>
      <c r="I24" s="7">
        <v>3.4</v>
      </c>
      <c r="J24" s="7">
        <v>0.59499999999999997</v>
      </c>
      <c r="K24" s="7">
        <v>8</v>
      </c>
      <c r="L24" s="7">
        <v>0.9</v>
      </c>
      <c r="M24" s="7">
        <v>0.4</v>
      </c>
      <c r="N24" s="7">
        <v>0.6</v>
      </c>
      <c r="O24" s="7">
        <v>2</v>
      </c>
      <c r="P24" s="7">
        <v>12.3</v>
      </c>
    </row>
    <row r="25" spans="1:16" x14ac:dyDescent="0.35">
      <c r="A25" s="1" t="s">
        <v>667</v>
      </c>
      <c r="B25" s="1" t="s">
        <v>46</v>
      </c>
      <c r="C25" s="1" t="s">
        <v>54</v>
      </c>
      <c r="D25" s="7">
        <v>11</v>
      </c>
      <c r="E25" s="7">
        <v>25.3</v>
      </c>
      <c r="F25" s="7">
        <v>11</v>
      </c>
      <c r="G25" s="7">
        <v>0.41299999999999998</v>
      </c>
      <c r="H25" s="7">
        <v>1.6</v>
      </c>
      <c r="I25" s="7">
        <v>2.2999999999999998</v>
      </c>
      <c r="J25" s="7">
        <v>0.72</v>
      </c>
      <c r="K25" s="7">
        <v>7</v>
      </c>
      <c r="L25" s="7">
        <v>6</v>
      </c>
      <c r="M25" s="7">
        <v>1.6</v>
      </c>
      <c r="N25" s="7">
        <v>0.4</v>
      </c>
      <c r="O25" s="7">
        <v>2</v>
      </c>
      <c r="P25" s="7">
        <v>12.4</v>
      </c>
    </row>
    <row r="26" spans="1:16" x14ac:dyDescent="0.35">
      <c r="A26" s="1" t="s">
        <v>55</v>
      </c>
      <c r="B26" s="1" t="s">
        <v>46</v>
      </c>
      <c r="C26" s="1" t="s">
        <v>26</v>
      </c>
      <c r="D26" s="7">
        <v>9</v>
      </c>
      <c r="E26" s="7">
        <v>33.4</v>
      </c>
      <c r="F26" s="7">
        <v>12.1</v>
      </c>
      <c r="G26" s="7">
        <v>0.39400000000000002</v>
      </c>
      <c r="H26" s="7">
        <v>2.2000000000000002</v>
      </c>
      <c r="I26" s="7">
        <v>1.1000000000000001</v>
      </c>
      <c r="J26" s="7">
        <v>0.6</v>
      </c>
      <c r="K26" s="7">
        <v>4.3</v>
      </c>
      <c r="L26" s="7">
        <v>4.4000000000000004</v>
      </c>
      <c r="M26" s="7">
        <v>1.1000000000000001</v>
      </c>
      <c r="N26" s="7">
        <v>0.7</v>
      </c>
      <c r="O26" s="7">
        <v>2.9</v>
      </c>
      <c r="P26" s="7">
        <v>12.4</v>
      </c>
    </row>
    <row r="27" spans="1:16" x14ac:dyDescent="0.35">
      <c r="A27" s="1" t="s">
        <v>595</v>
      </c>
      <c r="B27" s="1" t="s">
        <v>18</v>
      </c>
      <c r="C27" s="1" t="s">
        <v>33</v>
      </c>
      <c r="D27" s="7">
        <v>4</v>
      </c>
      <c r="E27" s="7">
        <v>8.3000000000000007</v>
      </c>
      <c r="F27" s="7">
        <v>4.5</v>
      </c>
      <c r="G27" s="7">
        <v>0.44400000000000001</v>
      </c>
      <c r="H27" s="7">
        <v>0.5</v>
      </c>
      <c r="I27" s="7">
        <v>0.8</v>
      </c>
      <c r="J27" s="7">
        <v>0.66700000000000004</v>
      </c>
      <c r="K27" s="7">
        <v>3.5</v>
      </c>
      <c r="L27" s="7">
        <v>0.5</v>
      </c>
      <c r="M27" s="7">
        <v>0</v>
      </c>
      <c r="N27" s="7">
        <v>0.5</v>
      </c>
      <c r="O27" s="7">
        <v>0.5</v>
      </c>
      <c r="P27" s="7">
        <v>5</v>
      </c>
    </row>
    <row r="28" spans="1:16" x14ac:dyDescent="0.35">
      <c r="A28" s="1" t="s">
        <v>684</v>
      </c>
      <c r="B28" s="1" t="s">
        <v>25</v>
      </c>
      <c r="C28" s="1" t="s">
        <v>28</v>
      </c>
      <c r="D28" s="7">
        <v>10</v>
      </c>
      <c r="E28" s="7">
        <v>22.8</v>
      </c>
      <c r="F28" s="7">
        <v>6.9</v>
      </c>
      <c r="G28" s="7">
        <v>0.46400000000000002</v>
      </c>
      <c r="H28" s="7">
        <v>1.9</v>
      </c>
      <c r="I28" s="7">
        <v>0.7</v>
      </c>
      <c r="J28" s="7">
        <v>0.85699999999999998</v>
      </c>
      <c r="K28" s="7">
        <v>3</v>
      </c>
      <c r="L28" s="7">
        <v>1.1000000000000001</v>
      </c>
      <c r="M28" s="7">
        <v>0.8</v>
      </c>
      <c r="N28" s="7">
        <v>0</v>
      </c>
      <c r="O28" s="7">
        <v>1.2</v>
      </c>
      <c r="P28" s="7">
        <v>8.9</v>
      </c>
    </row>
    <row r="29" spans="1:16" x14ac:dyDescent="0.35">
      <c r="A29" s="1" t="s">
        <v>57</v>
      </c>
      <c r="B29" s="1" t="s">
        <v>15</v>
      </c>
      <c r="C29" s="1" t="s">
        <v>49</v>
      </c>
      <c r="D29" s="7">
        <v>11</v>
      </c>
      <c r="E29" s="7">
        <v>34.6</v>
      </c>
      <c r="F29" s="7">
        <v>11.8</v>
      </c>
      <c r="G29" s="7">
        <v>0.53100000000000003</v>
      </c>
      <c r="H29" s="7">
        <v>1.5</v>
      </c>
      <c r="I29" s="7">
        <v>4.8</v>
      </c>
      <c r="J29" s="7">
        <v>0.79200000000000004</v>
      </c>
      <c r="K29" s="7">
        <v>6.9</v>
      </c>
      <c r="L29" s="7">
        <v>3.1</v>
      </c>
      <c r="M29" s="7">
        <v>0.7</v>
      </c>
      <c r="N29" s="7">
        <v>0.3</v>
      </c>
      <c r="O29" s="7">
        <v>1.4</v>
      </c>
      <c r="P29" s="7">
        <v>17.899999999999999</v>
      </c>
    </row>
    <row r="30" spans="1:16" x14ac:dyDescent="0.35">
      <c r="A30" s="1" t="s">
        <v>596</v>
      </c>
      <c r="B30" s="1" t="s">
        <v>25</v>
      </c>
      <c r="C30" s="1" t="s">
        <v>31</v>
      </c>
      <c r="D30" s="7">
        <v>11</v>
      </c>
      <c r="E30" s="7">
        <v>37.9</v>
      </c>
      <c r="F30" s="7">
        <v>16.5</v>
      </c>
      <c r="G30" s="7">
        <v>0.36499999999999999</v>
      </c>
      <c r="H30" s="7">
        <v>0.8</v>
      </c>
      <c r="I30" s="7">
        <v>4.5999999999999996</v>
      </c>
      <c r="J30" s="7">
        <v>0.68600000000000005</v>
      </c>
      <c r="K30" s="7">
        <v>7.6</v>
      </c>
      <c r="L30" s="7">
        <v>3.5</v>
      </c>
      <c r="M30" s="7">
        <v>0.9</v>
      </c>
      <c r="N30" s="7">
        <v>0.2</v>
      </c>
      <c r="O30" s="7">
        <v>1.6</v>
      </c>
      <c r="P30" s="7">
        <v>16</v>
      </c>
    </row>
    <row r="31" spans="1:16" x14ac:dyDescent="0.35">
      <c r="A31" s="1" t="s">
        <v>58</v>
      </c>
      <c r="B31" s="1" t="s">
        <v>34</v>
      </c>
      <c r="C31" s="1" t="s">
        <v>59</v>
      </c>
      <c r="D31" s="7">
        <v>11</v>
      </c>
      <c r="E31" s="7">
        <v>28.9</v>
      </c>
      <c r="F31" s="7">
        <v>10.5</v>
      </c>
      <c r="G31" s="7">
        <v>0.42199999999999999</v>
      </c>
      <c r="H31" s="7">
        <v>1.5</v>
      </c>
      <c r="I31" s="7">
        <v>1.9</v>
      </c>
      <c r="J31" s="7">
        <v>0.66700000000000004</v>
      </c>
      <c r="K31" s="7">
        <v>4.3</v>
      </c>
      <c r="L31" s="7">
        <v>2.8</v>
      </c>
      <c r="M31" s="7">
        <v>1.2</v>
      </c>
      <c r="N31" s="7">
        <v>0.6</v>
      </c>
      <c r="O31" s="7">
        <v>1</v>
      </c>
      <c r="P31" s="7">
        <v>11.6</v>
      </c>
    </row>
    <row r="32" spans="1:16" x14ac:dyDescent="0.35">
      <c r="A32" s="1" t="s">
        <v>60</v>
      </c>
      <c r="B32" s="1" t="s">
        <v>34</v>
      </c>
      <c r="C32" s="1" t="s">
        <v>23</v>
      </c>
      <c r="D32" s="7">
        <v>2</v>
      </c>
      <c r="E32" s="7">
        <v>1</v>
      </c>
      <c r="F32" s="7">
        <v>0.5</v>
      </c>
      <c r="G32" s="7">
        <v>0</v>
      </c>
      <c r="H32" s="7">
        <v>0</v>
      </c>
      <c r="I32" s="7">
        <v>0</v>
      </c>
      <c r="J32" s="7"/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</row>
    <row r="33" spans="1:16" x14ac:dyDescent="0.35">
      <c r="A33" s="1" t="s">
        <v>62</v>
      </c>
      <c r="B33" s="1" t="s">
        <v>34</v>
      </c>
      <c r="C33" s="1" t="s">
        <v>72</v>
      </c>
      <c r="D33" s="7">
        <v>11</v>
      </c>
      <c r="E33" s="7">
        <v>29.3</v>
      </c>
      <c r="F33" s="7">
        <v>6.8</v>
      </c>
      <c r="G33" s="7">
        <v>0.50700000000000001</v>
      </c>
      <c r="H33" s="7">
        <v>1.8</v>
      </c>
      <c r="I33" s="7">
        <v>1.7</v>
      </c>
      <c r="J33" s="7">
        <v>0.89500000000000002</v>
      </c>
      <c r="K33" s="7">
        <v>5.6</v>
      </c>
      <c r="L33" s="7">
        <v>2.9</v>
      </c>
      <c r="M33" s="7">
        <v>1.3</v>
      </c>
      <c r="N33" s="7">
        <v>0.3</v>
      </c>
      <c r="O33" s="7">
        <v>0.7</v>
      </c>
      <c r="P33" s="7">
        <v>10.3</v>
      </c>
    </row>
    <row r="34" spans="1:16" x14ac:dyDescent="0.35">
      <c r="A34" s="1" t="s">
        <v>63</v>
      </c>
      <c r="B34" s="1" t="s">
        <v>18</v>
      </c>
      <c r="C34" s="1" t="s">
        <v>44</v>
      </c>
      <c r="D34" s="7">
        <v>7</v>
      </c>
      <c r="E34" s="7">
        <v>19.3</v>
      </c>
      <c r="F34" s="7">
        <v>6.4</v>
      </c>
      <c r="G34" s="7">
        <v>0.378</v>
      </c>
      <c r="H34" s="7">
        <v>0.4</v>
      </c>
      <c r="I34" s="7">
        <v>0</v>
      </c>
      <c r="J34" s="7"/>
      <c r="K34" s="7">
        <v>5.7</v>
      </c>
      <c r="L34" s="7">
        <v>0.6</v>
      </c>
      <c r="M34" s="7">
        <v>0.1</v>
      </c>
      <c r="N34" s="7">
        <v>0</v>
      </c>
      <c r="O34" s="7">
        <v>0.9</v>
      </c>
      <c r="P34" s="7">
        <v>5.3</v>
      </c>
    </row>
    <row r="35" spans="1:16" x14ac:dyDescent="0.35">
      <c r="A35" s="1" t="s">
        <v>64</v>
      </c>
      <c r="B35" s="1" t="s">
        <v>34</v>
      </c>
      <c r="C35" s="1" t="s">
        <v>87</v>
      </c>
      <c r="D35" s="7">
        <v>9</v>
      </c>
      <c r="E35" s="7">
        <v>16.399999999999999</v>
      </c>
      <c r="F35" s="7">
        <v>4</v>
      </c>
      <c r="G35" s="7">
        <v>0.5</v>
      </c>
      <c r="H35" s="7">
        <v>0.8</v>
      </c>
      <c r="I35" s="7">
        <v>0.6</v>
      </c>
      <c r="J35" s="7">
        <v>0.6</v>
      </c>
      <c r="K35" s="7">
        <v>2.8</v>
      </c>
      <c r="L35" s="7">
        <v>2.1</v>
      </c>
      <c r="M35" s="7">
        <v>0.7</v>
      </c>
      <c r="N35" s="7">
        <v>0.6</v>
      </c>
      <c r="O35" s="7">
        <v>1</v>
      </c>
      <c r="P35" s="7">
        <v>5.0999999999999996</v>
      </c>
    </row>
    <row r="36" spans="1:16" x14ac:dyDescent="0.35">
      <c r="A36" s="1" t="s">
        <v>65</v>
      </c>
      <c r="B36" s="1" t="s">
        <v>15</v>
      </c>
      <c r="C36" s="1" t="s">
        <v>19</v>
      </c>
      <c r="D36" s="7">
        <v>10</v>
      </c>
      <c r="E36" s="7">
        <v>30.3</v>
      </c>
      <c r="F36" s="7">
        <v>10.9</v>
      </c>
      <c r="G36" s="7">
        <v>0.39400000000000002</v>
      </c>
      <c r="H36" s="7">
        <v>1.4</v>
      </c>
      <c r="I36" s="7">
        <v>1.4</v>
      </c>
      <c r="J36" s="7">
        <v>0.92900000000000005</v>
      </c>
      <c r="K36" s="7">
        <v>8.1</v>
      </c>
      <c r="L36" s="7">
        <v>1.6</v>
      </c>
      <c r="M36" s="7">
        <v>0.4</v>
      </c>
      <c r="N36" s="7">
        <v>1.2</v>
      </c>
      <c r="O36" s="7">
        <v>1.8</v>
      </c>
      <c r="P36" s="7">
        <v>11.3</v>
      </c>
    </row>
    <row r="37" spans="1:16" x14ac:dyDescent="0.35">
      <c r="A37" s="1" t="s">
        <v>66</v>
      </c>
      <c r="B37" s="1" t="s">
        <v>25</v>
      </c>
      <c r="C37" s="1" t="s">
        <v>67</v>
      </c>
      <c r="D37" s="7">
        <v>10</v>
      </c>
      <c r="E37" s="7">
        <v>35.9</v>
      </c>
      <c r="F37" s="7">
        <v>24.5</v>
      </c>
      <c r="G37" s="7">
        <v>0.49399999999999999</v>
      </c>
      <c r="H37" s="7">
        <v>2.4</v>
      </c>
      <c r="I37" s="7">
        <v>9.5</v>
      </c>
      <c r="J37" s="7">
        <v>0.874</v>
      </c>
      <c r="K37" s="7">
        <v>5.3</v>
      </c>
      <c r="L37" s="7">
        <v>5</v>
      </c>
      <c r="M37" s="7">
        <v>1.4</v>
      </c>
      <c r="N37" s="7">
        <v>0.7</v>
      </c>
      <c r="O37" s="7">
        <v>3.3</v>
      </c>
      <c r="P37" s="7">
        <v>34.9</v>
      </c>
    </row>
    <row r="38" spans="1:16" x14ac:dyDescent="0.35">
      <c r="A38" s="1" t="s">
        <v>68</v>
      </c>
      <c r="B38" s="1" t="s">
        <v>25</v>
      </c>
      <c r="C38" s="1" t="s">
        <v>61</v>
      </c>
      <c r="D38" s="7">
        <v>10</v>
      </c>
      <c r="E38" s="7">
        <v>32.299999999999997</v>
      </c>
      <c r="F38" s="7">
        <v>15.6</v>
      </c>
      <c r="G38" s="7">
        <v>0.45500000000000002</v>
      </c>
      <c r="H38" s="7">
        <v>2.5</v>
      </c>
      <c r="I38" s="7">
        <v>3</v>
      </c>
      <c r="J38" s="7">
        <v>0.9</v>
      </c>
      <c r="K38" s="7">
        <v>4.5999999999999996</v>
      </c>
      <c r="L38" s="7">
        <v>1.7</v>
      </c>
      <c r="M38" s="7">
        <v>0.5</v>
      </c>
      <c r="N38" s="7">
        <v>0.2</v>
      </c>
      <c r="O38" s="7">
        <v>1.2</v>
      </c>
      <c r="P38" s="7">
        <v>19.399999999999999</v>
      </c>
    </row>
    <row r="39" spans="1:16" x14ac:dyDescent="0.35">
      <c r="A39" s="1" t="s">
        <v>69</v>
      </c>
      <c r="B39" s="1" t="s">
        <v>34</v>
      </c>
      <c r="C39" s="1" t="s">
        <v>44</v>
      </c>
      <c r="D39" s="7">
        <v>5</v>
      </c>
      <c r="E39" s="7">
        <v>3.6</v>
      </c>
      <c r="F39" s="7">
        <v>0.8</v>
      </c>
      <c r="G39" s="7">
        <v>0.5</v>
      </c>
      <c r="H39" s="7">
        <v>0</v>
      </c>
      <c r="I39" s="7">
        <v>0</v>
      </c>
      <c r="J39" s="7"/>
      <c r="K39" s="7">
        <v>0.6</v>
      </c>
      <c r="L39" s="7">
        <v>0.4</v>
      </c>
      <c r="M39" s="7">
        <v>0.2</v>
      </c>
      <c r="N39" s="7">
        <v>0.2</v>
      </c>
      <c r="O39" s="7">
        <v>0.8</v>
      </c>
      <c r="P39" s="7">
        <v>0.8</v>
      </c>
    </row>
    <row r="40" spans="1:16" x14ac:dyDescent="0.35">
      <c r="A40" s="1" t="s">
        <v>597</v>
      </c>
      <c r="B40" s="1" t="s">
        <v>15</v>
      </c>
      <c r="C40" s="1" t="s">
        <v>67</v>
      </c>
      <c r="D40" s="7">
        <v>11</v>
      </c>
      <c r="E40" s="7">
        <v>24</v>
      </c>
      <c r="F40" s="7">
        <v>9.3000000000000007</v>
      </c>
      <c r="G40" s="7">
        <v>0.373</v>
      </c>
      <c r="H40" s="7">
        <v>2.8</v>
      </c>
      <c r="I40" s="7">
        <v>2.5</v>
      </c>
      <c r="J40" s="7">
        <v>0.82099999999999995</v>
      </c>
      <c r="K40" s="7">
        <v>3.1</v>
      </c>
      <c r="L40" s="7">
        <v>1.4</v>
      </c>
      <c r="M40" s="7">
        <v>0.5</v>
      </c>
      <c r="N40" s="7">
        <v>0.3</v>
      </c>
      <c r="O40" s="7">
        <v>0.5</v>
      </c>
      <c r="P40" s="7">
        <v>11.8</v>
      </c>
    </row>
    <row r="41" spans="1:16" x14ac:dyDescent="0.35">
      <c r="A41" s="1" t="s">
        <v>71</v>
      </c>
      <c r="B41" s="1" t="s">
        <v>46</v>
      </c>
      <c r="C41" s="1" t="s">
        <v>72</v>
      </c>
      <c r="D41" s="7">
        <v>11</v>
      </c>
      <c r="E41" s="7">
        <v>25.5</v>
      </c>
      <c r="F41" s="7">
        <v>6.8</v>
      </c>
      <c r="G41" s="7">
        <v>0.42699999999999999</v>
      </c>
      <c r="H41" s="7">
        <v>1.9</v>
      </c>
      <c r="I41" s="7">
        <v>1</v>
      </c>
      <c r="J41" s="7">
        <v>0.81799999999999995</v>
      </c>
      <c r="K41" s="7">
        <v>4.0999999999999996</v>
      </c>
      <c r="L41" s="7">
        <v>1.9</v>
      </c>
      <c r="M41" s="7">
        <v>0.7</v>
      </c>
      <c r="N41" s="7">
        <v>0.7</v>
      </c>
      <c r="O41" s="7">
        <v>0.9</v>
      </c>
      <c r="P41" s="7">
        <v>8.5</v>
      </c>
    </row>
    <row r="42" spans="1:16" x14ac:dyDescent="0.35">
      <c r="A42" s="1" t="s">
        <v>685</v>
      </c>
      <c r="B42" s="1" t="s">
        <v>34</v>
      </c>
      <c r="C42" s="1" t="s">
        <v>82</v>
      </c>
      <c r="D42" s="7">
        <v>9</v>
      </c>
      <c r="E42" s="7">
        <v>23.3</v>
      </c>
      <c r="F42" s="7">
        <v>8.6999999999999993</v>
      </c>
      <c r="G42" s="7">
        <v>0.372</v>
      </c>
      <c r="H42" s="7">
        <v>2.6</v>
      </c>
      <c r="I42" s="7">
        <v>2</v>
      </c>
      <c r="J42" s="7">
        <v>0.77800000000000002</v>
      </c>
      <c r="K42" s="7">
        <v>4.7</v>
      </c>
      <c r="L42" s="7">
        <v>0.9</v>
      </c>
      <c r="M42" s="7">
        <v>0.6</v>
      </c>
      <c r="N42" s="7">
        <v>0</v>
      </c>
      <c r="O42" s="7">
        <v>0.6</v>
      </c>
      <c r="P42" s="7">
        <v>10.6</v>
      </c>
    </row>
    <row r="43" spans="1:16" x14ac:dyDescent="0.35">
      <c r="A43" s="1" t="s">
        <v>73</v>
      </c>
      <c r="B43" s="1" t="s">
        <v>18</v>
      </c>
      <c r="C43" s="1" t="s">
        <v>33</v>
      </c>
      <c r="D43" s="7">
        <v>11</v>
      </c>
      <c r="E43" s="7">
        <v>19.8</v>
      </c>
      <c r="F43" s="7">
        <v>5.0999999999999996</v>
      </c>
      <c r="G43" s="7">
        <v>0.55400000000000005</v>
      </c>
      <c r="H43" s="7">
        <v>0.1</v>
      </c>
      <c r="I43" s="7">
        <v>1.8</v>
      </c>
      <c r="J43" s="7">
        <v>0.9</v>
      </c>
      <c r="K43" s="7">
        <v>5.7</v>
      </c>
      <c r="L43" s="7">
        <v>0.9</v>
      </c>
      <c r="M43" s="7">
        <v>0.9</v>
      </c>
      <c r="N43" s="7">
        <v>0.4</v>
      </c>
      <c r="O43" s="7">
        <v>0.5</v>
      </c>
      <c r="P43" s="7">
        <v>7.4</v>
      </c>
    </row>
    <row r="44" spans="1:16" x14ac:dyDescent="0.35">
      <c r="A44" s="1" t="s">
        <v>76</v>
      </c>
      <c r="B44" s="1" t="s">
        <v>18</v>
      </c>
      <c r="C44" s="1" t="s">
        <v>54</v>
      </c>
      <c r="D44" s="7">
        <v>11</v>
      </c>
      <c r="E44" s="7">
        <v>26.7</v>
      </c>
      <c r="F44" s="7">
        <v>5.8</v>
      </c>
      <c r="G44" s="7">
        <v>0.54700000000000004</v>
      </c>
      <c r="H44" s="7">
        <v>0</v>
      </c>
      <c r="I44" s="7">
        <v>2.7</v>
      </c>
      <c r="J44" s="7">
        <v>0.5</v>
      </c>
      <c r="K44" s="7">
        <v>6.7</v>
      </c>
      <c r="L44" s="7">
        <v>2.1</v>
      </c>
      <c r="M44" s="7">
        <v>0.1</v>
      </c>
      <c r="N44" s="7">
        <v>1.3</v>
      </c>
      <c r="O44" s="7">
        <v>1.3</v>
      </c>
      <c r="P44" s="7">
        <v>7.7</v>
      </c>
    </row>
    <row r="45" spans="1:16" x14ac:dyDescent="0.35">
      <c r="A45" s="1" t="s">
        <v>77</v>
      </c>
      <c r="B45" s="1" t="s">
        <v>15</v>
      </c>
      <c r="C45" s="1" t="s">
        <v>49</v>
      </c>
      <c r="D45" s="7">
        <v>10</v>
      </c>
      <c r="E45" s="7">
        <v>15.1</v>
      </c>
      <c r="F45" s="7">
        <v>5.0999999999999996</v>
      </c>
      <c r="G45" s="7">
        <v>0.41199999999999998</v>
      </c>
      <c r="H45" s="7">
        <v>0.5</v>
      </c>
      <c r="I45" s="7">
        <v>2.2999999999999998</v>
      </c>
      <c r="J45" s="7">
        <v>0.82599999999999996</v>
      </c>
      <c r="K45" s="7">
        <v>3.6</v>
      </c>
      <c r="L45" s="7">
        <v>1.9</v>
      </c>
      <c r="M45" s="7">
        <v>0</v>
      </c>
      <c r="N45" s="7">
        <v>0.2</v>
      </c>
      <c r="O45" s="7">
        <v>1.2</v>
      </c>
      <c r="P45" s="7">
        <v>6.6</v>
      </c>
    </row>
    <row r="46" spans="1:16" x14ac:dyDescent="0.35">
      <c r="A46" s="1" t="s">
        <v>78</v>
      </c>
      <c r="B46" s="1" t="s">
        <v>25</v>
      </c>
      <c r="C46" s="1" t="s">
        <v>26</v>
      </c>
      <c r="D46" s="7">
        <v>9</v>
      </c>
      <c r="E46" s="7">
        <v>29.9</v>
      </c>
      <c r="F46" s="7">
        <v>9.6999999999999993</v>
      </c>
      <c r="G46" s="7">
        <v>0.437</v>
      </c>
      <c r="H46" s="7">
        <v>1.9</v>
      </c>
      <c r="I46" s="7">
        <v>2</v>
      </c>
      <c r="J46" s="7">
        <v>0.72199999999999998</v>
      </c>
      <c r="K46" s="7">
        <v>3.2</v>
      </c>
      <c r="L46" s="7">
        <v>4.3</v>
      </c>
      <c r="M46" s="7">
        <v>1.1000000000000001</v>
      </c>
      <c r="N46" s="7">
        <v>0.3</v>
      </c>
      <c r="O46" s="7">
        <v>2</v>
      </c>
      <c r="P46" s="7">
        <v>11.8</v>
      </c>
    </row>
    <row r="47" spans="1:16" x14ac:dyDescent="0.35">
      <c r="A47" s="1" t="s">
        <v>686</v>
      </c>
      <c r="B47" s="1" t="s">
        <v>34</v>
      </c>
      <c r="C47" s="1" t="s">
        <v>43</v>
      </c>
      <c r="D47" s="7">
        <v>4</v>
      </c>
      <c r="E47" s="7">
        <v>5</v>
      </c>
      <c r="F47" s="7">
        <v>1.5</v>
      </c>
      <c r="G47" s="7">
        <v>0.16700000000000001</v>
      </c>
      <c r="H47" s="7">
        <v>0</v>
      </c>
      <c r="I47" s="7">
        <v>0</v>
      </c>
      <c r="J47" s="7"/>
      <c r="K47" s="7">
        <v>0</v>
      </c>
      <c r="L47" s="7">
        <v>1</v>
      </c>
      <c r="M47" s="7">
        <v>0.3</v>
      </c>
      <c r="N47" s="7">
        <v>0</v>
      </c>
      <c r="O47" s="7">
        <v>0.8</v>
      </c>
      <c r="P47" s="7">
        <v>0.5</v>
      </c>
    </row>
    <row r="48" spans="1:16" x14ac:dyDescent="0.35">
      <c r="A48" s="1" t="s">
        <v>598</v>
      </c>
      <c r="B48" s="1" t="s">
        <v>25</v>
      </c>
      <c r="C48" s="1" t="s">
        <v>70</v>
      </c>
      <c r="D48" s="7">
        <v>9</v>
      </c>
      <c r="E48" s="7">
        <v>23.7</v>
      </c>
      <c r="F48" s="7">
        <v>8.6999999999999993</v>
      </c>
      <c r="G48" s="7">
        <v>0.38500000000000001</v>
      </c>
      <c r="H48" s="7">
        <v>2.2999999999999998</v>
      </c>
      <c r="I48" s="7">
        <v>1</v>
      </c>
      <c r="J48" s="7">
        <v>0.88900000000000001</v>
      </c>
      <c r="K48" s="7">
        <v>3.8</v>
      </c>
      <c r="L48" s="7">
        <v>2.1</v>
      </c>
      <c r="M48" s="7">
        <v>0.4</v>
      </c>
      <c r="N48" s="7">
        <v>0.1</v>
      </c>
      <c r="O48" s="7">
        <v>1.2</v>
      </c>
      <c r="P48" s="7">
        <v>9.9</v>
      </c>
    </row>
    <row r="49" spans="1:16" x14ac:dyDescent="0.35">
      <c r="A49" s="1" t="s">
        <v>599</v>
      </c>
      <c r="B49" s="1" t="s">
        <v>34</v>
      </c>
      <c r="C49" s="1" t="s">
        <v>79</v>
      </c>
      <c r="D49" s="7">
        <v>11</v>
      </c>
      <c r="E49" s="7">
        <v>30.4</v>
      </c>
      <c r="F49" s="7">
        <v>11.9</v>
      </c>
      <c r="G49" s="7">
        <v>0.374</v>
      </c>
      <c r="H49" s="7">
        <v>2.2999999999999998</v>
      </c>
      <c r="I49" s="7">
        <v>2</v>
      </c>
      <c r="J49" s="7">
        <v>0.81799999999999995</v>
      </c>
      <c r="K49" s="7">
        <v>3.6</v>
      </c>
      <c r="L49" s="7">
        <v>1.6</v>
      </c>
      <c r="M49" s="7">
        <v>0.3</v>
      </c>
      <c r="N49" s="7">
        <v>0.1</v>
      </c>
      <c r="O49" s="7">
        <v>1.4</v>
      </c>
      <c r="P49" s="7">
        <v>12.8</v>
      </c>
    </row>
    <row r="50" spans="1:16" x14ac:dyDescent="0.35">
      <c r="A50" s="1" t="s">
        <v>497</v>
      </c>
      <c r="B50" s="1" t="s">
        <v>15</v>
      </c>
      <c r="C50" s="1" t="s">
        <v>59</v>
      </c>
      <c r="D50" s="7">
        <v>6</v>
      </c>
      <c r="E50" s="7">
        <v>6</v>
      </c>
      <c r="F50" s="7">
        <v>1.3</v>
      </c>
      <c r="G50" s="7">
        <v>0.375</v>
      </c>
      <c r="H50" s="7">
        <v>0.3</v>
      </c>
      <c r="I50" s="7">
        <v>0</v>
      </c>
      <c r="J50" s="7"/>
      <c r="K50" s="7">
        <v>0.7</v>
      </c>
      <c r="L50" s="7">
        <v>0.2</v>
      </c>
      <c r="M50" s="7">
        <v>0</v>
      </c>
      <c r="N50" s="7">
        <v>0.3</v>
      </c>
      <c r="O50" s="7">
        <v>0.7</v>
      </c>
      <c r="P50" s="7">
        <v>1.3</v>
      </c>
    </row>
    <row r="51" spans="1:16" x14ac:dyDescent="0.35">
      <c r="A51" s="1" t="s">
        <v>543</v>
      </c>
      <c r="B51" s="1" t="s">
        <v>18</v>
      </c>
      <c r="C51" s="1" t="s">
        <v>118</v>
      </c>
      <c r="D51" s="7">
        <v>6</v>
      </c>
      <c r="E51" s="7">
        <v>4.8</v>
      </c>
      <c r="F51" s="7">
        <v>0.5</v>
      </c>
      <c r="G51" s="7">
        <v>0.33300000000000002</v>
      </c>
      <c r="H51" s="7">
        <v>0</v>
      </c>
      <c r="I51" s="7">
        <v>1.3</v>
      </c>
      <c r="J51" s="7">
        <v>0.625</v>
      </c>
      <c r="K51" s="7">
        <v>1.2</v>
      </c>
      <c r="L51" s="7">
        <v>0</v>
      </c>
      <c r="M51" s="7">
        <v>0.3</v>
      </c>
      <c r="N51" s="7">
        <v>0.3</v>
      </c>
      <c r="O51" s="7">
        <v>0.3</v>
      </c>
      <c r="P51" s="7">
        <v>1.2</v>
      </c>
    </row>
    <row r="52" spans="1:16" x14ac:dyDescent="0.35">
      <c r="A52" s="1" t="s">
        <v>81</v>
      </c>
      <c r="B52" s="1" t="s">
        <v>46</v>
      </c>
      <c r="C52" s="1" t="s">
        <v>33</v>
      </c>
      <c r="D52" s="7">
        <v>6</v>
      </c>
      <c r="E52" s="7">
        <v>15.5</v>
      </c>
      <c r="F52" s="7">
        <v>4.2</v>
      </c>
      <c r="G52" s="7">
        <v>0.48</v>
      </c>
      <c r="H52" s="7">
        <v>0.7</v>
      </c>
      <c r="I52" s="7">
        <v>0</v>
      </c>
      <c r="J52" s="7"/>
      <c r="K52" s="7">
        <v>2.2000000000000002</v>
      </c>
      <c r="L52" s="7">
        <v>1.7</v>
      </c>
      <c r="M52" s="7">
        <v>0</v>
      </c>
      <c r="N52" s="7">
        <v>0</v>
      </c>
      <c r="O52" s="7">
        <v>0.2</v>
      </c>
      <c r="P52" s="7">
        <v>4.7</v>
      </c>
    </row>
    <row r="53" spans="1:16" x14ac:dyDescent="0.35">
      <c r="A53" s="1" t="s">
        <v>83</v>
      </c>
      <c r="B53" s="1" t="s">
        <v>34</v>
      </c>
      <c r="C53" s="1" t="s">
        <v>67</v>
      </c>
      <c r="D53" s="7">
        <v>8</v>
      </c>
      <c r="E53" s="7">
        <v>11.8</v>
      </c>
      <c r="F53" s="7">
        <v>1.8</v>
      </c>
      <c r="G53" s="7">
        <v>0.64300000000000002</v>
      </c>
      <c r="H53" s="7">
        <v>0.8</v>
      </c>
      <c r="I53" s="7">
        <v>0.1</v>
      </c>
      <c r="J53" s="7">
        <v>0</v>
      </c>
      <c r="K53" s="7">
        <v>2.2999999999999998</v>
      </c>
      <c r="L53" s="7">
        <v>0.8</v>
      </c>
      <c r="M53" s="7">
        <v>0.3</v>
      </c>
      <c r="N53" s="7">
        <v>0.4</v>
      </c>
      <c r="O53" s="7">
        <v>0.4</v>
      </c>
      <c r="P53" s="7">
        <v>3</v>
      </c>
    </row>
    <row r="54" spans="1:16" x14ac:dyDescent="0.35">
      <c r="A54" s="1" t="s">
        <v>84</v>
      </c>
      <c r="B54" s="1" t="s">
        <v>25</v>
      </c>
      <c r="C54" s="1" t="s">
        <v>52</v>
      </c>
      <c r="D54" s="7">
        <v>11</v>
      </c>
      <c r="E54" s="7">
        <v>35.5</v>
      </c>
      <c r="F54" s="7">
        <v>16.600000000000001</v>
      </c>
      <c r="G54" s="7">
        <v>0.48599999999999999</v>
      </c>
      <c r="H54" s="7">
        <v>2.1</v>
      </c>
      <c r="I54" s="7">
        <v>5.8</v>
      </c>
      <c r="J54" s="7">
        <v>0.81299999999999994</v>
      </c>
      <c r="K54" s="7">
        <v>3.3</v>
      </c>
      <c r="L54" s="7">
        <v>4.3</v>
      </c>
      <c r="M54" s="7">
        <v>1.1000000000000001</v>
      </c>
      <c r="N54" s="7">
        <v>0.4</v>
      </c>
      <c r="O54" s="7">
        <v>4</v>
      </c>
      <c r="P54" s="7">
        <v>23</v>
      </c>
    </row>
    <row r="55" spans="1:16" x14ac:dyDescent="0.35">
      <c r="A55" s="1" t="s">
        <v>85</v>
      </c>
      <c r="B55" s="1" t="s">
        <v>18</v>
      </c>
      <c r="C55" s="1" t="s">
        <v>44</v>
      </c>
      <c r="D55" s="7">
        <v>10</v>
      </c>
      <c r="E55" s="7">
        <v>22.2</v>
      </c>
      <c r="F55" s="7">
        <v>9</v>
      </c>
      <c r="G55" s="7">
        <v>0.57799999999999996</v>
      </c>
      <c r="H55" s="7">
        <v>1.7</v>
      </c>
      <c r="I55" s="7">
        <v>3</v>
      </c>
      <c r="J55" s="7">
        <v>0.73299999999999998</v>
      </c>
      <c r="K55" s="7">
        <v>6.2</v>
      </c>
      <c r="L55" s="7">
        <v>0.9</v>
      </c>
      <c r="M55" s="7">
        <v>0.6</v>
      </c>
      <c r="N55" s="7">
        <v>2.6</v>
      </c>
      <c r="O55" s="7">
        <v>0.6</v>
      </c>
      <c r="P55" s="7">
        <v>14.3</v>
      </c>
    </row>
    <row r="56" spans="1:16" x14ac:dyDescent="0.35">
      <c r="A56" s="1" t="s">
        <v>88</v>
      </c>
      <c r="B56" s="1" t="s">
        <v>25</v>
      </c>
      <c r="C56" s="1" t="s">
        <v>21</v>
      </c>
      <c r="D56" s="7">
        <v>7</v>
      </c>
      <c r="E56" s="7">
        <v>22.9</v>
      </c>
      <c r="F56" s="7">
        <v>7.3</v>
      </c>
      <c r="G56" s="7">
        <v>0.49</v>
      </c>
      <c r="H56" s="7">
        <v>1.9</v>
      </c>
      <c r="I56" s="7">
        <v>1.3</v>
      </c>
      <c r="J56" s="7">
        <v>0.77800000000000002</v>
      </c>
      <c r="K56" s="7">
        <v>1.9</v>
      </c>
      <c r="L56" s="7">
        <v>1.7</v>
      </c>
      <c r="M56" s="7">
        <v>0.9</v>
      </c>
      <c r="N56" s="7">
        <v>0.1</v>
      </c>
      <c r="O56" s="7">
        <v>0.7</v>
      </c>
      <c r="P56" s="7">
        <v>10</v>
      </c>
    </row>
    <row r="57" spans="1:16" x14ac:dyDescent="0.35">
      <c r="A57" s="1" t="s">
        <v>89</v>
      </c>
      <c r="B57" s="1" t="s">
        <v>18</v>
      </c>
      <c r="C57" s="1" t="s">
        <v>80</v>
      </c>
      <c r="D57" s="7">
        <v>3</v>
      </c>
      <c r="E57" s="7">
        <v>18.3</v>
      </c>
      <c r="F57" s="7">
        <v>6.7</v>
      </c>
      <c r="G57" s="7">
        <v>0.5</v>
      </c>
      <c r="H57" s="7">
        <v>0</v>
      </c>
      <c r="I57" s="7">
        <v>1</v>
      </c>
      <c r="J57" s="7">
        <v>0.33300000000000002</v>
      </c>
      <c r="K57" s="7">
        <v>10.3</v>
      </c>
      <c r="L57" s="7">
        <v>1</v>
      </c>
      <c r="M57" s="7">
        <v>0.3</v>
      </c>
      <c r="N57" s="7">
        <v>1.7</v>
      </c>
      <c r="O57" s="7">
        <v>0.3</v>
      </c>
      <c r="P57" s="7">
        <v>7</v>
      </c>
    </row>
    <row r="58" spans="1:16" x14ac:dyDescent="0.35">
      <c r="A58" s="1" t="s">
        <v>90</v>
      </c>
      <c r="B58" s="1" t="s">
        <v>15</v>
      </c>
      <c r="C58" s="1" t="s">
        <v>79</v>
      </c>
      <c r="D58" s="7">
        <v>1</v>
      </c>
      <c r="E58" s="7">
        <v>6</v>
      </c>
      <c r="F58" s="7">
        <v>1</v>
      </c>
      <c r="G58" s="7">
        <v>0</v>
      </c>
      <c r="H58" s="7">
        <v>0</v>
      </c>
      <c r="I58" s="7">
        <v>0</v>
      </c>
      <c r="J58" s="7"/>
      <c r="K58" s="7">
        <v>1</v>
      </c>
      <c r="L58" s="7">
        <v>0</v>
      </c>
      <c r="M58" s="7">
        <v>0</v>
      </c>
      <c r="N58" s="7">
        <v>1</v>
      </c>
      <c r="O58" s="7">
        <v>0</v>
      </c>
      <c r="P58" s="7">
        <v>0</v>
      </c>
    </row>
    <row r="59" spans="1:16" x14ac:dyDescent="0.35">
      <c r="A59" s="1" t="s">
        <v>91</v>
      </c>
      <c r="B59" s="1" t="s">
        <v>34</v>
      </c>
      <c r="C59" s="1" t="s">
        <v>31</v>
      </c>
      <c r="D59" s="7">
        <v>3</v>
      </c>
      <c r="E59" s="7">
        <v>1.3</v>
      </c>
      <c r="F59" s="7">
        <v>0.3</v>
      </c>
      <c r="G59" s="7">
        <v>0</v>
      </c>
      <c r="H59" s="7">
        <v>0</v>
      </c>
      <c r="I59" s="7">
        <v>0.7</v>
      </c>
      <c r="J59" s="7">
        <v>1</v>
      </c>
      <c r="K59" s="7">
        <v>0.7</v>
      </c>
      <c r="L59" s="7">
        <v>0</v>
      </c>
      <c r="M59" s="7">
        <v>0</v>
      </c>
      <c r="N59" s="7">
        <v>0</v>
      </c>
      <c r="O59" s="7">
        <v>0</v>
      </c>
      <c r="P59" s="7">
        <v>0.7</v>
      </c>
    </row>
    <row r="60" spans="1:16" x14ac:dyDescent="0.35">
      <c r="A60" s="1" t="s">
        <v>92</v>
      </c>
      <c r="B60" s="1" t="s">
        <v>34</v>
      </c>
      <c r="C60" s="1" t="s">
        <v>52</v>
      </c>
      <c r="D60" s="7">
        <v>11</v>
      </c>
      <c r="E60" s="7">
        <v>32.700000000000003</v>
      </c>
      <c r="F60" s="7">
        <v>10.3</v>
      </c>
      <c r="G60" s="7">
        <v>0.504</v>
      </c>
      <c r="H60" s="7">
        <v>2.6</v>
      </c>
      <c r="I60" s="7">
        <v>2.4</v>
      </c>
      <c r="J60" s="7">
        <v>0.88500000000000001</v>
      </c>
      <c r="K60" s="7">
        <v>5.4</v>
      </c>
      <c r="L60" s="7">
        <v>1.3</v>
      </c>
      <c r="M60" s="7">
        <v>0.5</v>
      </c>
      <c r="N60" s="7">
        <v>1.2</v>
      </c>
      <c r="O60" s="7">
        <v>0.3</v>
      </c>
      <c r="P60" s="7">
        <v>15.1</v>
      </c>
    </row>
    <row r="61" spans="1:16" x14ac:dyDescent="0.35">
      <c r="A61" s="1" t="s">
        <v>93</v>
      </c>
      <c r="B61" s="1" t="s">
        <v>15</v>
      </c>
      <c r="C61" s="1" t="s">
        <v>54</v>
      </c>
      <c r="D61" s="7">
        <v>11</v>
      </c>
      <c r="E61" s="7">
        <v>25.5</v>
      </c>
      <c r="F61" s="7">
        <v>7.6</v>
      </c>
      <c r="G61" s="7">
        <v>0.46400000000000002</v>
      </c>
      <c r="H61" s="7">
        <v>1.5</v>
      </c>
      <c r="I61" s="7">
        <v>0.8</v>
      </c>
      <c r="J61" s="7">
        <v>1</v>
      </c>
      <c r="K61" s="7">
        <v>5.6</v>
      </c>
      <c r="L61" s="7">
        <v>1.5</v>
      </c>
      <c r="M61" s="7">
        <v>0.7</v>
      </c>
      <c r="N61" s="7">
        <v>1.2</v>
      </c>
      <c r="O61" s="7">
        <v>1.7</v>
      </c>
      <c r="P61" s="7">
        <v>9.5</v>
      </c>
    </row>
    <row r="62" spans="1:16" x14ac:dyDescent="0.35">
      <c r="A62" s="1" t="s">
        <v>94</v>
      </c>
      <c r="B62" s="1" t="s">
        <v>46</v>
      </c>
      <c r="C62" s="1" t="s">
        <v>75</v>
      </c>
      <c r="D62" s="7">
        <v>11</v>
      </c>
      <c r="E62" s="7">
        <v>37.1</v>
      </c>
      <c r="F62" s="7">
        <v>17.8</v>
      </c>
      <c r="G62" s="7">
        <v>0.47399999999999998</v>
      </c>
      <c r="H62" s="7">
        <v>3.1</v>
      </c>
      <c r="I62" s="7">
        <v>2.9</v>
      </c>
      <c r="J62" s="7">
        <v>0.875</v>
      </c>
      <c r="K62" s="7">
        <v>4.0999999999999996</v>
      </c>
      <c r="L62" s="7">
        <v>7.5</v>
      </c>
      <c r="M62" s="7">
        <v>1.7</v>
      </c>
      <c r="N62" s="7">
        <v>0.2</v>
      </c>
      <c r="O62" s="7">
        <v>1.6</v>
      </c>
      <c r="P62" s="7">
        <v>22.5</v>
      </c>
    </row>
    <row r="63" spans="1:16" x14ac:dyDescent="0.35">
      <c r="A63" s="1" t="s">
        <v>95</v>
      </c>
      <c r="B63" s="1" t="s">
        <v>34</v>
      </c>
      <c r="C63" s="1" t="s">
        <v>28</v>
      </c>
      <c r="D63" s="7">
        <v>10</v>
      </c>
      <c r="E63" s="7">
        <v>30.4</v>
      </c>
      <c r="F63" s="7">
        <v>16.600000000000001</v>
      </c>
      <c r="G63" s="7">
        <v>0.39800000000000002</v>
      </c>
      <c r="H63" s="7">
        <v>2.2999999999999998</v>
      </c>
      <c r="I63" s="7">
        <v>2.2999999999999998</v>
      </c>
      <c r="J63" s="7">
        <v>0.82599999999999996</v>
      </c>
      <c r="K63" s="7">
        <v>4.4000000000000004</v>
      </c>
      <c r="L63" s="7">
        <v>3</v>
      </c>
      <c r="M63" s="7">
        <v>1.6</v>
      </c>
      <c r="N63" s="7">
        <v>0.5</v>
      </c>
      <c r="O63" s="7">
        <v>2.7</v>
      </c>
      <c r="P63" s="7">
        <v>17.399999999999999</v>
      </c>
    </row>
    <row r="64" spans="1:16" x14ac:dyDescent="0.35">
      <c r="A64" s="1" t="s">
        <v>96</v>
      </c>
      <c r="B64" s="1" t="s">
        <v>46</v>
      </c>
      <c r="C64" s="1" t="s">
        <v>30</v>
      </c>
      <c r="D64" s="7">
        <v>8</v>
      </c>
      <c r="E64" s="7">
        <v>13.4</v>
      </c>
      <c r="F64" s="7">
        <v>3.4</v>
      </c>
      <c r="G64" s="7">
        <v>0.59299999999999997</v>
      </c>
      <c r="H64" s="7">
        <v>0.1</v>
      </c>
      <c r="I64" s="7">
        <v>0.1</v>
      </c>
      <c r="J64" s="7">
        <v>0</v>
      </c>
      <c r="K64" s="7">
        <v>2.9</v>
      </c>
      <c r="L64" s="7">
        <v>1.1000000000000001</v>
      </c>
      <c r="M64" s="7">
        <v>0.1</v>
      </c>
      <c r="N64" s="7">
        <v>0.5</v>
      </c>
      <c r="O64" s="7">
        <v>1.4</v>
      </c>
      <c r="P64" s="7">
        <v>4.0999999999999996</v>
      </c>
    </row>
    <row r="65" spans="1:16" x14ac:dyDescent="0.35">
      <c r="A65" s="1" t="s">
        <v>97</v>
      </c>
      <c r="B65" s="1" t="s">
        <v>25</v>
      </c>
      <c r="C65" s="1" t="s">
        <v>98</v>
      </c>
      <c r="D65" s="7">
        <v>10</v>
      </c>
      <c r="E65" s="7">
        <v>34.6</v>
      </c>
      <c r="F65" s="7">
        <v>19.100000000000001</v>
      </c>
      <c r="G65" s="7">
        <v>0.53900000000000003</v>
      </c>
      <c r="H65" s="7">
        <v>2.4</v>
      </c>
      <c r="I65" s="7">
        <v>4.3</v>
      </c>
      <c r="J65" s="7">
        <v>0.76700000000000002</v>
      </c>
      <c r="K65" s="7">
        <v>6.2</v>
      </c>
      <c r="L65" s="7">
        <v>3.5</v>
      </c>
      <c r="M65" s="7">
        <v>1.7</v>
      </c>
      <c r="N65" s="7">
        <v>0.7</v>
      </c>
      <c r="O65" s="7">
        <v>2.9</v>
      </c>
      <c r="P65" s="7">
        <v>26.3</v>
      </c>
    </row>
    <row r="66" spans="1:16" x14ac:dyDescent="0.35">
      <c r="A66" s="1" t="s">
        <v>99</v>
      </c>
      <c r="B66" s="1" t="s">
        <v>18</v>
      </c>
      <c r="C66" s="1" t="s">
        <v>19</v>
      </c>
      <c r="D66" s="7">
        <v>3</v>
      </c>
      <c r="E66" s="7">
        <v>3.3</v>
      </c>
      <c r="F66" s="7">
        <v>0.7</v>
      </c>
      <c r="G66" s="7">
        <v>0.5</v>
      </c>
      <c r="H66" s="7">
        <v>0</v>
      </c>
      <c r="I66" s="7">
        <v>3.3</v>
      </c>
      <c r="J66" s="7">
        <v>0.3</v>
      </c>
      <c r="K66" s="7">
        <v>1.7</v>
      </c>
      <c r="L66" s="7">
        <v>0</v>
      </c>
      <c r="M66" s="7">
        <v>0.3</v>
      </c>
      <c r="N66" s="7">
        <v>0.3</v>
      </c>
      <c r="O66" s="7">
        <v>0</v>
      </c>
      <c r="P66" s="7">
        <v>1.7</v>
      </c>
    </row>
    <row r="67" spans="1:16" x14ac:dyDescent="0.35">
      <c r="A67" s="1" t="s">
        <v>100</v>
      </c>
      <c r="B67" s="1" t="s">
        <v>25</v>
      </c>
      <c r="C67" s="1" t="s">
        <v>36</v>
      </c>
      <c r="D67" s="7">
        <v>9</v>
      </c>
      <c r="E67" s="7">
        <v>18.7</v>
      </c>
      <c r="F67" s="7">
        <v>5</v>
      </c>
      <c r="G67" s="7">
        <v>0.51100000000000001</v>
      </c>
      <c r="H67" s="7">
        <v>1.6</v>
      </c>
      <c r="I67" s="7">
        <v>0.2</v>
      </c>
      <c r="J67" s="7">
        <v>1</v>
      </c>
      <c r="K67" s="7">
        <v>2.8</v>
      </c>
      <c r="L67" s="7">
        <v>0.8</v>
      </c>
      <c r="M67" s="7">
        <v>0.9</v>
      </c>
      <c r="N67" s="7">
        <v>0</v>
      </c>
      <c r="O67" s="7">
        <v>0.3</v>
      </c>
      <c r="P67" s="7">
        <v>6.9</v>
      </c>
    </row>
    <row r="68" spans="1:16" x14ac:dyDescent="0.35">
      <c r="A68" s="1" t="s">
        <v>636</v>
      </c>
      <c r="B68" s="1" t="s">
        <v>34</v>
      </c>
      <c r="C68" s="1" t="s">
        <v>67</v>
      </c>
      <c r="D68" s="7">
        <v>7</v>
      </c>
      <c r="E68" s="7">
        <v>17.600000000000001</v>
      </c>
      <c r="F68" s="7">
        <v>4.3</v>
      </c>
      <c r="G68" s="7">
        <v>0.433</v>
      </c>
      <c r="H68" s="7">
        <v>0.9</v>
      </c>
      <c r="I68" s="7">
        <v>0.4</v>
      </c>
      <c r="J68" s="7">
        <v>0</v>
      </c>
      <c r="K68" s="7">
        <v>3.1</v>
      </c>
      <c r="L68" s="7">
        <v>1.1000000000000001</v>
      </c>
      <c r="M68" s="7">
        <v>0.3</v>
      </c>
      <c r="N68" s="7">
        <v>0.1</v>
      </c>
      <c r="O68" s="7">
        <v>0.7</v>
      </c>
      <c r="P68" s="7">
        <v>4.5999999999999996</v>
      </c>
    </row>
    <row r="69" spans="1:16" x14ac:dyDescent="0.35">
      <c r="A69" s="1" t="s">
        <v>101</v>
      </c>
      <c r="B69" s="1" t="s">
        <v>46</v>
      </c>
      <c r="C69" s="1" t="s">
        <v>56</v>
      </c>
      <c r="D69" s="7">
        <v>8</v>
      </c>
      <c r="E69" s="7">
        <v>19.100000000000001</v>
      </c>
      <c r="F69" s="7">
        <v>8.1</v>
      </c>
      <c r="G69" s="7">
        <v>0.49199999999999999</v>
      </c>
      <c r="H69" s="7">
        <v>0.9</v>
      </c>
      <c r="I69" s="7">
        <v>2.5</v>
      </c>
      <c r="J69" s="7">
        <v>0.9</v>
      </c>
      <c r="K69" s="7">
        <v>2.5</v>
      </c>
      <c r="L69" s="7">
        <v>3.5</v>
      </c>
      <c r="M69" s="7">
        <v>0.5</v>
      </c>
      <c r="N69" s="7">
        <v>0</v>
      </c>
      <c r="O69" s="7">
        <v>1.8</v>
      </c>
      <c r="P69" s="7">
        <v>11.1</v>
      </c>
    </row>
    <row r="70" spans="1:16" x14ac:dyDescent="0.35">
      <c r="A70" s="1" t="s">
        <v>102</v>
      </c>
      <c r="B70" s="1" t="s">
        <v>18</v>
      </c>
      <c r="C70" s="1" t="s">
        <v>67</v>
      </c>
      <c r="D70" s="7">
        <v>10</v>
      </c>
      <c r="E70" s="7">
        <v>27.1</v>
      </c>
      <c r="F70" s="7">
        <v>9.1</v>
      </c>
      <c r="G70" s="7">
        <v>0.64800000000000002</v>
      </c>
      <c r="H70" s="7">
        <v>0.9</v>
      </c>
      <c r="I70" s="7">
        <v>2.4</v>
      </c>
      <c r="J70" s="7">
        <v>0.66700000000000004</v>
      </c>
      <c r="K70" s="7">
        <v>6.1</v>
      </c>
      <c r="L70" s="7">
        <v>1.5</v>
      </c>
      <c r="M70" s="7">
        <v>0.4</v>
      </c>
      <c r="N70" s="7">
        <v>0.8</v>
      </c>
      <c r="O70" s="7">
        <v>1.1000000000000001</v>
      </c>
      <c r="P70" s="7">
        <v>14.3</v>
      </c>
    </row>
    <row r="71" spans="1:16" x14ac:dyDescent="0.35">
      <c r="A71" s="1" t="s">
        <v>103</v>
      </c>
      <c r="B71" s="1" t="s">
        <v>34</v>
      </c>
      <c r="C71" s="1" t="s">
        <v>31</v>
      </c>
      <c r="D71" s="7">
        <v>10</v>
      </c>
      <c r="E71" s="7">
        <v>28.7</v>
      </c>
      <c r="F71" s="7">
        <v>8.6</v>
      </c>
      <c r="G71" s="7">
        <v>0.38400000000000001</v>
      </c>
      <c r="H71" s="7">
        <v>1.5</v>
      </c>
      <c r="I71" s="7">
        <v>0.7</v>
      </c>
      <c r="J71" s="7">
        <v>0.57099999999999995</v>
      </c>
      <c r="K71" s="7">
        <v>4.5999999999999996</v>
      </c>
      <c r="L71" s="7">
        <v>1.3</v>
      </c>
      <c r="M71" s="7">
        <v>0.6</v>
      </c>
      <c r="N71" s="7">
        <v>0.2</v>
      </c>
      <c r="O71" s="7">
        <v>0.9</v>
      </c>
      <c r="P71" s="7">
        <v>8.5</v>
      </c>
    </row>
    <row r="72" spans="1:16" x14ac:dyDescent="0.35">
      <c r="A72" s="1" t="s">
        <v>544</v>
      </c>
      <c r="B72" s="1" t="s">
        <v>46</v>
      </c>
      <c r="C72" s="1" t="s">
        <v>56</v>
      </c>
      <c r="D72" s="7">
        <v>8</v>
      </c>
      <c r="E72" s="7">
        <v>18.3</v>
      </c>
      <c r="F72" s="7">
        <v>7.5</v>
      </c>
      <c r="G72" s="7">
        <v>0.46700000000000003</v>
      </c>
      <c r="H72" s="7">
        <v>1.9</v>
      </c>
      <c r="I72" s="7">
        <v>1.1000000000000001</v>
      </c>
      <c r="J72" s="7">
        <v>0.88900000000000001</v>
      </c>
      <c r="K72" s="7">
        <v>1.3</v>
      </c>
      <c r="L72" s="7">
        <v>1.8</v>
      </c>
      <c r="M72" s="7">
        <v>0.5</v>
      </c>
      <c r="N72" s="7">
        <v>0.3</v>
      </c>
      <c r="O72" s="7">
        <v>0.9</v>
      </c>
      <c r="P72" s="7">
        <v>9.9</v>
      </c>
    </row>
    <row r="73" spans="1:16" x14ac:dyDescent="0.35">
      <c r="A73" s="1" t="s">
        <v>104</v>
      </c>
      <c r="B73" s="1" t="s">
        <v>25</v>
      </c>
      <c r="C73" s="1" t="s">
        <v>31</v>
      </c>
      <c r="D73" s="7">
        <v>3</v>
      </c>
      <c r="E73" s="7">
        <v>27.7</v>
      </c>
      <c r="F73" s="7">
        <v>10.7</v>
      </c>
      <c r="G73" s="7">
        <v>0.53100000000000003</v>
      </c>
      <c r="H73" s="7">
        <v>3.3</v>
      </c>
      <c r="I73" s="7">
        <v>6.7</v>
      </c>
      <c r="J73" s="7">
        <v>0.9</v>
      </c>
      <c r="K73" s="7">
        <v>3.7</v>
      </c>
      <c r="L73" s="7">
        <v>3.7</v>
      </c>
      <c r="M73" s="7">
        <v>1</v>
      </c>
      <c r="N73" s="7">
        <v>0.7</v>
      </c>
      <c r="O73" s="7">
        <v>2.2999999999999998</v>
      </c>
      <c r="P73" s="7">
        <v>20.7</v>
      </c>
    </row>
    <row r="74" spans="1:16" x14ac:dyDescent="0.35">
      <c r="A74" s="1" t="s">
        <v>105</v>
      </c>
      <c r="B74" s="1" t="s">
        <v>34</v>
      </c>
      <c r="C74" s="1" t="s">
        <v>21</v>
      </c>
      <c r="D74" s="7">
        <v>6</v>
      </c>
      <c r="E74" s="7">
        <v>29</v>
      </c>
      <c r="F74" s="7">
        <v>12.8</v>
      </c>
      <c r="G74" s="7">
        <v>0.442</v>
      </c>
      <c r="H74" s="7">
        <v>0</v>
      </c>
      <c r="I74" s="7">
        <v>4.8</v>
      </c>
      <c r="J74" s="7">
        <v>0.93100000000000005</v>
      </c>
      <c r="K74" s="7">
        <v>5.5</v>
      </c>
      <c r="L74" s="7">
        <v>5.3</v>
      </c>
      <c r="M74" s="7">
        <v>2.2000000000000002</v>
      </c>
      <c r="N74" s="7">
        <v>0.7</v>
      </c>
      <c r="O74" s="7">
        <v>1.8</v>
      </c>
      <c r="P74" s="7">
        <v>15.8</v>
      </c>
    </row>
    <row r="75" spans="1:16" x14ac:dyDescent="0.35">
      <c r="A75" s="1" t="s">
        <v>106</v>
      </c>
      <c r="B75" s="1" t="s">
        <v>15</v>
      </c>
      <c r="C75" s="1" t="s">
        <v>36</v>
      </c>
      <c r="D75" s="7">
        <v>6</v>
      </c>
      <c r="E75" s="7">
        <v>6</v>
      </c>
      <c r="F75" s="7">
        <v>2.8</v>
      </c>
      <c r="G75" s="7">
        <v>0.47099999999999997</v>
      </c>
      <c r="H75" s="7">
        <v>0</v>
      </c>
      <c r="I75" s="7">
        <v>0.3</v>
      </c>
      <c r="J75" s="7">
        <v>0.5</v>
      </c>
      <c r="K75" s="7">
        <v>2.2999999999999998</v>
      </c>
      <c r="L75" s="7">
        <v>0.2</v>
      </c>
      <c r="M75" s="7">
        <v>0</v>
      </c>
      <c r="N75" s="7">
        <v>0.3</v>
      </c>
      <c r="O75" s="7">
        <v>0.7</v>
      </c>
      <c r="P75" s="7">
        <v>2.8</v>
      </c>
    </row>
    <row r="76" spans="1:16" x14ac:dyDescent="0.35">
      <c r="A76" s="1" t="s">
        <v>107</v>
      </c>
      <c r="B76" s="1" t="s">
        <v>25</v>
      </c>
      <c r="C76" s="1" t="s">
        <v>40</v>
      </c>
      <c r="D76" s="7">
        <v>8</v>
      </c>
      <c r="E76" s="7">
        <v>23.1</v>
      </c>
      <c r="F76" s="7">
        <v>6.8</v>
      </c>
      <c r="G76" s="7">
        <v>0.51900000000000002</v>
      </c>
      <c r="H76" s="7">
        <v>1.9</v>
      </c>
      <c r="I76" s="7">
        <v>1.4</v>
      </c>
      <c r="J76" s="7">
        <v>0.90900000000000003</v>
      </c>
      <c r="K76" s="7">
        <v>2</v>
      </c>
      <c r="L76" s="7">
        <v>1.5</v>
      </c>
      <c r="M76" s="7">
        <v>1.3</v>
      </c>
      <c r="N76" s="7">
        <v>0.4</v>
      </c>
      <c r="O76" s="7">
        <v>0.9</v>
      </c>
      <c r="P76" s="7">
        <v>10.1</v>
      </c>
    </row>
    <row r="77" spans="1:16" x14ac:dyDescent="0.35">
      <c r="A77" s="1" t="s">
        <v>687</v>
      </c>
      <c r="B77" s="1" t="s">
        <v>46</v>
      </c>
      <c r="C77" s="1" t="s">
        <v>59</v>
      </c>
      <c r="D77" s="7">
        <v>10</v>
      </c>
      <c r="E77" s="7">
        <v>12.3</v>
      </c>
      <c r="F77" s="7">
        <v>3.4</v>
      </c>
      <c r="G77" s="7">
        <v>0.41199999999999998</v>
      </c>
      <c r="H77" s="7">
        <v>1</v>
      </c>
      <c r="I77" s="7">
        <v>1.3</v>
      </c>
      <c r="J77" s="7">
        <v>0.76900000000000002</v>
      </c>
      <c r="K77" s="7">
        <v>1</v>
      </c>
      <c r="L77" s="7">
        <v>1.4</v>
      </c>
      <c r="M77" s="7">
        <v>0.7</v>
      </c>
      <c r="N77" s="7">
        <v>0.1</v>
      </c>
      <c r="O77" s="7">
        <v>0.8</v>
      </c>
      <c r="P77" s="7">
        <v>4.8</v>
      </c>
    </row>
    <row r="78" spans="1:16" x14ac:dyDescent="0.35">
      <c r="A78" s="1" t="s">
        <v>600</v>
      </c>
      <c r="B78" s="1" t="s">
        <v>15</v>
      </c>
      <c r="C78" s="1" t="s">
        <v>59</v>
      </c>
      <c r="D78" s="7">
        <v>4</v>
      </c>
      <c r="E78" s="7">
        <v>2.5</v>
      </c>
      <c r="F78" s="7">
        <v>0.5</v>
      </c>
      <c r="G78" s="7">
        <v>0</v>
      </c>
      <c r="H78" s="7">
        <v>0</v>
      </c>
      <c r="I78" s="7">
        <v>0</v>
      </c>
      <c r="J78" s="7"/>
      <c r="K78" s="7">
        <v>0.3</v>
      </c>
      <c r="L78" s="7">
        <v>0</v>
      </c>
      <c r="M78" s="7">
        <v>0.3</v>
      </c>
      <c r="N78" s="7">
        <v>0.3</v>
      </c>
      <c r="O78" s="7">
        <v>0.5</v>
      </c>
      <c r="P78" s="7">
        <v>0</v>
      </c>
    </row>
    <row r="79" spans="1:16" x14ac:dyDescent="0.35">
      <c r="A79" s="1" t="s">
        <v>108</v>
      </c>
      <c r="B79" s="1" t="s">
        <v>18</v>
      </c>
      <c r="C79" s="1" t="s">
        <v>70</v>
      </c>
      <c r="D79" s="7">
        <v>8</v>
      </c>
      <c r="E79" s="7">
        <v>26.4</v>
      </c>
      <c r="F79" s="7">
        <v>8.4</v>
      </c>
      <c r="G79" s="7">
        <v>0.50700000000000001</v>
      </c>
      <c r="H79" s="7">
        <v>0</v>
      </c>
      <c r="I79" s="7">
        <v>3.1</v>
      </c>
      <c r="J79" s="7">
        <v>0.48</v>
      </c>
      <c r="K79" s="7">
        <v>12.9</v>
      </c>
      <c r="L79" s="7">
        <v>1.3</v>
      </c>
      <c r="M79" s="7">
        <v>0.6</v>
      </c>
      <c r="N79" s="7">
        <v>1</v>
      </c>
      <c r="O79" s="7">
        <v>1.3</v>
      </c>
      <c r="P79" s="7">
        <v>10</v>
      </c>
    </row>
    <row r="80" spans="1:16" x14ac:dyDescent="0.35">
      <c r="A80" s="1" t="s">
        <v>688</v>
      </c>
      <c r="B80" s="1" t="s">
        <v>18</v>
      </c>
      <c r="C80" s="1" t="s">
        <v>54</v>
      </c>
      <c r="D80" s="7">
        <v>2</v>
      </c>
      <c r="E80" s="7">
        <v>2.5</v>
      </c>
      <c r="F80" s="7">
        <v>1</v>
      </c>
      <c r="G80" s="7">
        <v>0</v>
      </c>
      <c r="H80" s="7">
        <v>0</v>
      </c>
      <c r="I80" s="7">
        <v>0</v>
      </c>
      <c r="J80" s="7"/>
      <c r="K80" s="7">
        <v>0.5</v>
      </c>
      <c r="L80" s="7">
        <v>0.5</v>
      </c>
      <c r="M80" s="7">
        <v>0</v>
      </c>
      <c r="N80" s="7">
        <v>0.5</v>
      </c>
      <c r="O80" s="7">
        <v>0</v>
      </c>
      <c r="P80" s="7">
        <v>0</v>
      </c>
    </row>
    <row r="81" spans="1:16" x14ac:dyDescent="0.35">
      <c r="A81" s="1" t="s">
        <v>109</v>
      </c>
      <c r="B81" s="1" t="s">
        <v>46</v>
      </c>
      <c r="C81" s="1" t="s">
        <v>52</v>
      </c>
      <c r="D81" s="7">
        <v>11</v>
      </c>
      <c r="E81" s="7">
        <v>13.2</v>
      </c>
      <c r="F81" s="7">
        <v>3.9</v>
      </c>
      <c r="G81" s="7">
        <v>0.372</v>
      </c>
      <c r="H81" s="7">
        <v>0.5</v>
      </c>
      <c r="I81" s="7">
        <v>0</v>
      </c>
      <c r="J81" s="7"/>
      <c r="K81" s="7">
        <v>1.5</v>
      </c>
      <c r="L81" s="7">
        <v>0.9</v>
      </c>
      <c r="M81" s="7">
        <v>0.6</v>
      </c>
      <c r="N81" s="7">
        <v>0.5</v>
      </c>
      <c r="O81" s="7">
        <v>0.2</v>
      </c>
      <c r="P81" s="7">
        <v>3.5</v>
      </c>
    </row>
    <row r="82" spans="1:16" x14ac:dyDescent="0.35">
      <c r="A82" s="1" t="s">
        <v>637</v>
      </c>
      <c r="B82" s="1" t="s">
        <v>18</v>
      </c>
      <c r="C82" s="1" t="s">
        <v>47</v>
      </c>
      <c r="D82" s="7">
        <v>11</v>
      </c>
      <c r="E82" s="7">
        <v>27</v>
      </c>
      <c r="F82" s="7">
        <v>9</v>
      </c>
      <c r="G82" s="7">
        <v>0.52500000000000002</v>
      </c>
      <c r="H82" s="7">
        <v>0.3</v>
      </c>
      <c r="I82" s="7">
        <v>4.3</v>
      </c>
      <c r="J82" s="7">
        <v>0.72299999999999998</v>
      </c>
      <c r="K82" s="7">
        <v>7.8</v>
      </c>
      <c r="L82" s="7">
        <v>2.7</v>
      </c>
      <c r="M82" s="7">
        <v>0.3</v>
      </c>
      <c r="N82" s="7">
        <v>0.5</v>
      </c>
      <c r="O82" s="7">
        <v>1.8</v>
      </c>
      <c r="P82" s="7">
        <v>12.8</v>
      </c>
    </row>
    <row r="83" spans="1:16" x14ac:dyDescent="0.35">
      <c r="A83" s="1" t="s">
        <v>110</v>
      </c>
      <c r="B83" s="1" t="s">
        <v>25</v>
      </c>
      <c r="C83" s="1" t="s">
        <v>33</v>
      </c>
      <c r="D83" s="7">
        <v>7</v>
      </c>
      <c r="E83" s="7">
        <v>22.9</v>
      </c>
      <c r="F83" s="7">
        <v>6.3</v>
      </c>
      <c r="G83" s="7">
        <v>0.34100000000000003</v>
      </c>
      <c r="H83" s="7">
        <v>0.1</v>
      </c>
      <c r="I83" s="7">
        <v>0.9</v>
      </c>
      <c r="J83" s="7">
        <v>0.83299999999999996</v>
      </c>
      <c r="K83" s="7">
        <v>5.0999999999999996</v>
      </c>
      <c r="L83" s="7">
        <v>1.7</v>
      </c>
      <c r="M83" s="7">
        <v>0.6</v>
      </c>
      <c r="N83" s="7">
        <v>0.6</v>
      </c>
      <c r="O83" s="7">
        <v>1.3</v>
      </c>
      <c r="P83" s="7">
        <v>5.0999999999999996</v>
      </c>
    </row>
    <row r="84" spans="1:16" x14ac:dyDescent="0.35">
      <c r="A84" s="1" t="s">
        <v>111</v>
      </c>
      <c r="B84" s="1" t="s">
        <v>46</v>
      </c>
      <c r="C84" s="1" t="s">
        <v>40</v>
      </c>
      <c r="D84" s="7">
        <v>7</v>
      </c>
      <c r="E84" s="7">
        <v>16.7</v>
      </c>
      <c r="F84" s="7">
        <v>4.3</v>
      </c>
      <c r="G84" s="7">
        <v>0.433</v>
      </c>
      <c r="H84" s="7">
        <v>1.3</v>
      </c>
      <c r="I84" s="7">
        <v>0.3</v>
      </c>
      <c r="J84" s="7">
        <v>0.5</v>
      </c>
      <c r="K84" s="7">
        <v>2.9</v>
      </c>
      <c r="L84" s="7">
        <v>2</v>
      </c>
      <c r="M84" s="7">
        <v>1.3</v>
      </c>
      <c r="N84" s="7">
        <v>0.1</v>
      </c>
      <c r="O84" s="7">
        <v>1.3</v>
      </c>
      <c r="P84" s="7">
        <v>5.0999999999999996</v>
      </c>
    </row>
    <row r="85" spans="1:16" x14ac:dyDescent="0.35">
      <c r="A85" s="1" t="s">
        <v>112</v>
      </c>
      <c r="B85" s="1" t="s">
        <v>18</v>
      </c>
      <c r="C85" s="1" t="s">
        <v>56</v>
      </c>
      <c r="D85" s="7">
        <v>9</v>
      </c>
      <c r="E85" s="7">
        <v>16</v>
      </c>
      <c r="F85" s="7">
        <v>3.3</v>
      </c>
      <c r="G85" s="7">
        <v>0.6</v>
      </c>
      <c r="H85" s="7">
        <v>0</v>
      </c>
      <c r="I85" s="7">
        <v>2.2999999999999998</v>
      </c>
      <c r="J85" s="7">
        <v>0.66700000000000004</v>
      </c>
      <c r="K85" s="7">
        <v>4.8</v>
      </c>
      <c r="L85" s="7">
        <v>0.9</v>
      </c>
      <c r="M85" s="7">
        <v>0.3</v>
      </c>
      <c r="N85" s="7">
        <v>0.4</v>
      </c>
      <c r="O85" s="7">
        <v>0.6</v>
      </c>
      <c r="P85" s="7">
        <v>5.6</v>
      </c>
    </row>
    <row r="86" spans="1:16" x14ac:dyDescent="0.35">
      <c r="A86" s="1" t="s">
        <v>113</v>
      </c>
      <c r="B86" s="1" t="s">
        <v>46</v>
      </c>
      <c r="C86" s="1" t="s">
        <v>30</v>
      </c>
      <c r="D86" s="7">
        <v>5</v>
      </c>
      <c r="E86" s="7">
        <v>11.8</v>
      </c>
      <c r="F86" s="7">
        <v>5.6</v>
      </c>
      <c r="G86" s="7">
        <v>0.28599999999999998</v>
      </c>
      <c r="H86" s="7">
        <v>0.6</v>
      </c>
      <c r="I86" s="7">
        <v>1.2</v>
      </c>
      <c r="J86" s="7">
        <v>0.66700000000000004</v>
      </c>
      <c r="K86" s="7">
        <v>1</v>
      </c>
      <c r="L86" s="7">
        <v>2.2000000000000002</v>
      </c>
      <c r="M86" s="7">
        <v>0.4</v>
      </c>
      <c r="N86" s="7">
        <v>0.4</v>
      </c>
      <c r="O86" s="7">
        <v>1</v>
      </c>
      <c r="P86" s="7">
        <v>4.5999999999999996</v>
      </c>
    </row>
    <row r="87" spans="1:16" x14ac:dyDescent="0.35">
      <c r="A87" s="1" t="s">
        <v>114</v>
      </c>
      <c r="B87" s="1" t="s">
        <v>15</v>
      </c>
      <c r="C87" s="1" t="s">
        <v>87</v>
      </c>
      <c r="D87" s="7">
        <v>2</v>
      </c>
      <c r="E87" s="7">
        <v>13.5</v>
      </c>
      <c r="F87" s="7">
        <v>7</v>
      </c>
      <c r="G87" s="7">
        <v>0.35699999999999998</v>
      </c>
      <c r="H87" s="7">
        <v>0.5</v>
      </c>
      <c r="I87" s="7">
        <v>2</v>
      </c>
      <c r="J87" s="7">
        <v>0.5</v>
      </c>
      <c r="K87" s="7">
        <v>6.5</v>
      </c>
      <c r="L87" s="7">
        <v>1</v>
      </c>
      <c r="M87" s="7">
        <v>0</v>
      </c>
      <c r="N87" s="7">
        <v>1</v>
      </c>
      <c r="O87" s="7">
        <v>1</v>
      </c>
      <c r="P87" s="7">
        <v>6.5</v>
      </c>
    </row>
    <row r="88" spans="1:16" x14ac:dyDescent="0.35">
      <c r="A88" s="1" t="s">
        <v>115</v>
      </c>
      <c r="B88" s="1" t="s">
        <v>34</v>
      </c>
      <c r="C88" s="1" t="s">
        <v>33</v>
      </c>
      <c r="D88" s="7">
        <v>8</v>
      </c>
      <c r="E88" s="7">
        <v>19.8</v>
      </c>
      <c r="F88" s="7">
        <v>3.4</v>
      </c>
      <c r="G88" s="7">
        <v>0.25900000000000001</v>
      </c>
      <c r="H88" s="7">
        <v>0.6</v>
      </c>
      <c r="I88" s="7">
        <v>0.1</v>
      </c>
      <c r="J88" s="7">
        <v>1</v>
      </c>
      <c r="K88" s="7">
        <v>3.9</v>
      </c>
      <c r="L88" s="7">
        <v>0.6</v>
      </c>
      <c r="M88" s="7">
        <v>0.4</v>
      </c>
      <c r="N88" s="7">
        <v>0.1</v>
      </c>
      <c r="O88" s="7">
        <v>1</v>
      </c>
      <c r="P88" s="7">
        <v>2.5</v>
      </c>
    </row>
    <row r="89" spans="1:16" x14ac:dyDescent="0.35">
      <c r="A89" s="1" t="s">
        <v>116</v>
      </c>
      <c r="B89" s="1" t="s">
        <v>15</v>
      </c>
      <c r="C89" s="1" t="s">
        <v>28</v>
      </c>
      <c r="D89" s="7">
        <v>10</v>
      </c>
      <c r="E89" s="7">
        <v>28.2</v>
      </c>
      <c r="F89" s="7">
        <v>11.9</v>
      </c>
      <c r="G89" s="7">
        <v>0.46200000000000002</v>
      </c>
      <c r="H89" s="7">
        <v>0.6</v>
      </c>
      <c r="I89" s="7">
        <v>2.1</v>
      </c>
      <c r="J89" s="7">
        <v>0.42899999999999999</v>
      </c>
      <c r="K89" s="7">
        <v>5.4</v>
      </c>
      <c r="L89" s="7">
        <v>1.6</v>
      </c>
      <c r="M89" s="7">
        <v>0.7</v>
      </c>
      <c r="N89" s="7">
        <v>0.9</v>
      </c>
      <c r="O89" s="7">
        <v>0.9</v>
      </c>
      <c r="P89" s="7">
        <v>12.5</v>
      </c>
    </row>
    <row r="90" spans="1:16" x14ac:dyDescent="0.35">
      <c r="A90" s="1" t="s">
        <v>117</v>
      </c>
      <c r="B90" s="1" t="s">
        <v>25</v>
      </c>
      <c r="C90" s="1" t="s">
        <v>79</v>
      </c>
      <c r="D90" s="7">
        <v>11</v>
      </c>
      <c r="E90" s="7">
        <v>24.3</v>
      </c>
      <c r="F90" s="7">
        <v>13.1</v>
      </c>
      <c r="G90" s="7">
        <v>0.5</v>
      </c>
      <c r="H90" s="7">
        <v>2.8</v>
      </c>
      <c r="I90" s="7">
        <v>1.4</v>
      </c>
      <c r="J90" s="7">
        <v>0.93300000000000005</v>
      </c>
      <c r="K90" s="7">
        <v>4.5</v>
      </c>
      <c r="L90" s="7">
        <v>1.6</v>
      </c>
      <c r="M90" s="7">
        <v>1</v>
      </c>
      <c r="N90" s="7">
        <v>0.3</v>
      </c>
      <c r="O90" s="7">
        <v>2.1</v>
      </c>
      <c r="P90" s="7">
        <v>17.2</v>
      </c>
    </row>
    <row r="91" spans="1:16" x14ac:dyDescent="0.35">
      <c r="A91" s="1" t="s">
        <v>121</v>
      </c>
      <c r="B91" s="1" t="s">
        <v>25</v>
      </c>
      <c r="C91" s="1" t="s">
        <v>72</v>
      </c>
      <c r="D91" s="7">
        <v>8</v>
      </c>
      <c r="E91" s="7">
        <v>4.5999999999999996</v>
      </c>
      <c r="F91" s="7">
        <v>1.5</v>
      </c>
      <c r="G91" s="7">
        <v>0.33300000000000002</v>
      </c>
      <c r="H91" s="7">
        <v>0.3</v>
      </c>
      <c r="I91" s="7">
        <v>0.4</v>
      </c>
      <c r="J91" s="7">
        <v>0.66700000000000004</v>
      </c>
      <c r="K91" s="7">
        <v>0.3</v>
      </c>
      <c r="L91" s="7">
        <v>0.4</v>
      </c>
      <c r="M91" s="7">
        <v>0</v>
      </c>
      <c r="N91" s="7">
        <v>0</v>
      </c>
      <c r="O91" s="7">
        <v>0</v>
      </c>
      <c r="P91" s="7">
        <v>1.5</v>
      </c>
    </row>
    <row r="92" spans="1:16" x14ac:dyDescent="0.35">
      <c r="A92" s="1" t="s">
        <v>122</v>
      </c>
      <c r="B92" s="1" t="s">
        <v>15</v>
      </c>
      <c r="C92" s="1" t="s">
        <v>70</v>
      </c>
      <c r="D92" s="7">
        <v>10</v>
      </c>
      <c r="E92" s="7">
        <v>28.1</v>
      </c>
      <c r="F92" s="7">
        <v>11.5</v>
      </c>
      <c r="G92" s="7">
        <v>0.54800000000000004</v>
      </c>
      <c r="H92" s="7">
        <v>1.3</v>
      </c>
      <c r="I92" s="7">
        <v>3.5</v>
      </c>
      <c r="J92" s="7">
        <v>0.8</v>
      </c>
      <c r="K92" s="7">
        <v>7.7</v>
      </c>
      <c r="L92" s="7">
        <v>1.5</v>
      </c>
      <c r="M92" s="7">
        <v>0.6</v>
      </c>
      <c r="N92" s="7">
        <v>0.7</v>
      </c>
      <c r="O92" s="7">
        <v>1.1000000000000001</v>
      </c>
      <c r="P92" s="7">
        <v>16.7</v>
      </c>
    </row>
    <row r="93" spans="1:16" x14ac:dyDescent="0.35">
      <c r="A93" s="1" t="s">
        <v>124</v>
      </c>
      <c r="B93" s="1" t="s">
        <v>46</v>
      </c>
      <c r="C93" s="1" t="s">
        <v>79</v>
      </c>
      <c r="D93" s="7">
        <v>11</v>
      </c>
      <c r="E93" s="7">
        <v>30.3</v>
      </c>
      <c r="F93" s="7">
        <v>13.3</v>
      </c>
      <c r="G93" s="7">
        <v>0.45200000000000001</v>
      </c>
      <c r="H93" s="7">
        <v>3.1</v>
      </c>
      <c r="I93" s="7">
        <v>2.8</v>
      </c>
      <c r="J93" s="7">
        <v>0.77400000000000002</v>
      </c>
      <c r="K93" s="7">
        <v>4.3</v>
      </c>
      <c r="L93" s="7">
        <v>5.6</v>
      </c>
      <c r="M93" s="7">
        <v>1.1000000000000001</v>
      </c>
      <c r="N93" s="7">
        <v>0.1</v>
      </c>
      <c r="O93" s="7">
        <v>2.2999999999999998</v>
      </c>
      <c r="P93" s="7">
        <v>17.3</v>
      </c>
    </row>
    <row r="94" spans="1:16" x14ac:dyDescent="0.35">
      <c r="A94" s="1" t="s">
        <v>125</v>
      </c>
      <c r="B94" s="1" t="s">
        <v>25</v>
      </c>
      <c r="C94" s="1" t="s">
        <v>38</v>
      </c>
      <c r="D94" s="7">
        <v>8</v>
      </c>
      <c r="E94" s="7">
        <v>16.5</v>
      </c>
      <c r="F94" s="7">
        <v>4.5999999999999996</v>
      </c>
      <c r="G94" s="7">
        <v>0.48599999999999999</v>
      </c>
      <c r="H94" s="7">
        <v>1.6</v>
      </c>
      <c r="I94" s="7">
        <v>0.3</v>
      </c>
      <c r="J94" s="7">
        <v>1</v>
      </c>
      <c r="K94" s="7">
        <v>3.6</v>
      </c>
      <c r="L94" s="7">
        <v>1</v>
      </c>
      <c r="M94" s="7">
        <v>0.6</v>
      </c>
      <c r="N94" s="7">
        <v>0.5</v>
      </c>
      <c r="O94" s="7">
        <v>0.1</v>
      </c>
      <c r="P94" s="7">
        <v>6.4</v>
      </c>
    </row>
    <row r="95" spans="1:16" x14ac:dyDescent="0.35">
      <c r="A95" s="1" t="s">
        <v>126</v>
      </c>
      <c r="B95" s="1" t="s">
        <v>46</v>
      </c>
      <c r="C95" s="1" t="s">
        <v>40</v>
      </c>
      <c r="D95" s="7">
        <v>8</v>
      </c>
      <c r="E95" s="7">
        <v>3.4</v>
      </c>
      <c r="F95" s="7">
        <v>1.4</v>
      </c>
      <c r="G95" s="7">
        <v>0.54500000000000004</v>
      </c>
      <c r="H95" s="7">
        <v>0.4</v>
      </c>
      <c r="I95" s="7">
        <v>0.6</v>
      </c>
      <c r="J95" s="7">
        <v>0.8</v>
      </c>
      <c r="K95" s="7">
        <v>0.1</v>
      </c>
      <c r="L95" s="7">
        <v>0.3</v>
      </c>
      <c r="M95" s="7">
        <v>0</v>
      </c>
      <c r="N95" s="7">
        <v>0</v>
      </c>
      <c r="O95" s="7">
        <v>0.1</v>
      </c>
      <c r="P95" s="7">
        <v>2.4</v>
      </c>
    </row>
    <row r="96" spans="1:16" x14ac:dyDescent="0.35">
      <c r="A96" s="1" t="s">
        <v>689</v>
      </c>
      <c r="B96" s="1" t="s">
        <v>18</v>
      </c>
      <c r="C96" s="1" t="s">
        <v>36</v>
      </c>
      <c r="D96" s="7">
        <v>7</v>
      </c>
      <c r="E96" s="7">
        <v>13.4</v>
      </c>
      <c r="F96" s="7">
        <v>6.4</v>
      </c>
      <c r="G96" s="7">
        <v>0.35599999999999998</v>
      </c>
      <c r="H96" s="7">
        <v>0.9</v>
      </c>
      <c r="I96" s="7">
        <v>2</v>
      </c>
      <c r="J96" s="7">
        <v>0.71399999999999997</v>
      </c>
      <c r="K96" s="7">
        <v>6.1</v>
      </c>
      <c r="L96" s="7">
        <v>1.6</v>
      </c>
      <c r="M96" s="7">
        <v>0.7</v>
      </c>
      <c r="N96" s="7">
        <v>1.1000000000000001</v>
      </c>
      <c r="O96" s="7">
        <v>1</v>
      </c>
      <c r="P96" s="7">
        <v>6.9</v>
      </c>
    </row>
    <row r="97" spans="1:16" x14ac:dyDescent="0.35">
      <c r="A97" s="1" t="s">
        <v>127</v>
      </c>
      <c r="B97" s="1" t="s">
        <v>15</v>
      </c>
      <c r="C97" s="1" t="s">
        <v>43</v>
      </c>
      <c r="D97" s="7">
        <v>10</v>
      </c>
      <c r="E97" s="7">
        <v>30.8</v>
      </c>
      <c r="F97" s="7">
        <v>6.2</v>
      </c>
      <c r="G97" s="7">
        <v>0.35499999999999998</v>
      </c>
      <c r="H97" s="7">
        <v>1.5</v>
      </c>
      <c r="I97" s="7">
        <v>0.8</v>
      </c>
      <c r="J97" s="7">
        <v>0.875</v>
      </c>
      <c r="K97" s="7">
        <v>6</v>
      </c>
      <c r="L97" s="7">
        <v>1.9</v>
      </c>
      <c r="M97" s="7">
        <v>1.5</v>
      </c>
      <c r="N97" s="7">
        <v>0.5</v>
      </c>
      <c r="O97" s="7">
        <v>1.1000000000000001</v>
      </c>
      <c r="P97" s="7">
        <v>6.6</v>
      </c>
    </row>
    <row r="98" spans="1:16" x14ac:dyDescent="0.35">
      <c r="A98" s="1" t="s">
        <v>128</v>
      </c>
      <c r="B98" s="1" t="s">
        <v>34</v>
      </c>
      <c r="C98" s="1" t="s">
        <v>38</v>
      </c>
      <c r="D98" s="7">
        <v>2</v>
      </c>
      <c r="E98" s="7">
        <v>6.5</v>
      </c>
      <c r="F98" s="7">
        <v>0.5</v>
      </c>
      <c r="G98" s="7">
        <v>0</v>
      </c>
      <c r="H98" s="7">
        <v>0</v>
      </c>
      <c r="I98" s="7">
        <v>0</v>
      </c>
      <c r="J98" s="7"/>
      <c r="K98" s="7">
        <v>2</v>
      </c>
      <c r="L98" s="7">
        <v>1</v>
      </c>
      <c r="M98" s="7">
        <v>0</v>
      </c>
      <c r="N98" s="7">
        <v>0.5</v>
      </c>
      <c r="O98" s="7">
        <v>0.5</v>
      </c>
      <c r="P98" s="7">
        <v>0</v>
      </c>
    </row>
    <row r="99" spans="1:16" x14ac:dyDescent="0.35">
      <c r="A99" s="1" t="s">
        <v>129</v>
      </c>
      <c r="B99" s="1" t="s">
        <v>15</v>
      </c>
      <c r="C99" s="1" t="s">
        <v>52</v>
      </c>
      <c r="D99" s="7">
        <v>11</v>
      </c>
      <c r="E99" s="7">
        <v>28.8</v>
      </c>
      <c r="F99" s="7">
        <v>8.1</v>
      </c>
      <c r="G99" s="7">
        <v>0.40400000000000003</v>
      </c>
      <c r="H99" s="7">
        <v>2.2999999999999998</v>
      </c>
      <c r="I99" s="7">
        <v>1.3</v>
      </c>
      <c r="J99" s="7">
        <v>0.85699999999999998</v>
      </c>
      <c r="K99" s="7">
        <v>4.9000000000000004</v>
      </c>
      <c r="L99" s="7">
        <v>2.2999999999999998</v>
      </c>
      <c r="M99" s="7">
        <v>0.6</v>
      </c>
      <c r="N99" s="7">
        <v>0.1</v>
      </c>
      <c r="O99" s="7">
        <v>0.6</v>
      </c>
      <c r="P99" s="7">
        <v>9.9</v>
      </c>
    </row>
    <row r="100" spans="1:16" x14ac:dyDescent="0.35">
      <c r="A100" s="1" t="s">
        <v>130</v>
      </c>
      <c r="B100" s="1" t="s">
        <v>25</v>
      </c>
      <c r="C100" s="1" t="s">
        <v>61</v>
      </c>
      <c r="D100" s="7">
        <v>10</v>
      </c>
      <c r="E100" s="7">
        <v>23.7</v>
      </c>
      <c r="F100" s="7">
        <v>7.3</v>
      </c>
      <c r="G100" s="7">
        <v>0.438</v>
      </c>
      <c r="H100" s="7">
        <v>0.5</v>
      </c>
      <c r="I100" s="7">
        <v>1.7</v>
      </c>
      <c r="J100" s="7">
        <v>0.58799999999999997</v>
      </c>
      <c r="K100" s="7">
        <v>6</v>
      </c>
      <c r="L100" s="7">
        <v>1.2</v>
      </c>
      <c r="M100" s="7">
        <v>0.6</v>
      </c>
      <c r="N100" s="7">
        <v>0.3</v>
      </c>
      <c r="O100" s="7">
        <v>1.6</v>
      </c>
      <c r="P100" s="7">
        <v>7.9</v>
      </c>
    </row>
    <row r="101" spans="1:16" x14ac:dyDescent="0.35">
      <c r="A101" s="1" t="s">
        <v>131</v>
      </c>
      <c r="B101" s="1" t="s">
        <v>25</v>
      </c>
      <c r="C101" s="1" t="s">
        <v>80</v>
      </c>
      <c r="D101" s="7">
        <v>8</v>
      </c>
      <c r="E101" s="7">
        <v>30</v>
      </c>
      <c r="F101" s="7">
        <v>9.8000000000000007</v>
      </c>
      <c r="G101" s="7">
        <v>0.60299999999999998</v>
      </c>
      <c r="H101" s="7">
        <v>3.1</v>
      </c>
      <c r="I101" s="7">
        <v>2.1</v>
      </c>
      <c r="J101" s="7">
        <v>1</v>
      </c>
      <c r="K101" s="7">
        <v>2.2999999999999998</v>
      </c>
      <c r="L101" s="7">
        <v>3.6</v>
      </c>
      <c r="M101" s="7">
        <v>0.8</v>
      </c>
      <c r="N101" s="7">
        <v>0.4</v>
      </c>
      <c r="O101" s="7">
        <v>1.5</v>
      </c>
      <c r="P101" s="7">
        <v>17</v>
      </c>
    </row>
    <row r="102" spans="1:16" x14ac:dyDescent="0.35">
      <c r="A102" s="1" t="s">
        <v>132</v>
      </c>
      <c r="B102" s="1" t="s">
        <v>46</v>
      </c>
      <c r="C102" s="1" t="s">
        <v>87</v>
      </c>
      <c r="D102" s="7">
        <v>11</v>
      </c>
      <c r="E102" s="7">
        <v>34.299999999999997</v>
      </c>
      <c r="F102" s="7">
        <v>20.3</v>
      </c>
      <c r="G102" s="7">
        <v>0.43</v>
      </c>
      <c r="H102" s="7">
        <v>4.0999999999999996</v>
      </c>
      <c r="I102" s="7">
        <v>6.7</v>
      </c>
      <c r="J102" s="7">
        <v>0.93200000000000005</v>
      </c>
      <c r="K102" s="7">
        <v>5.0999999999999996</v>
      </c>
      <c r="L102" s="7">
        <v>6.4</v>
      </c>
      <c r="M102" s="7">
        <v>1.2</v>
      </c>
      <c r="N102" s="7">
        <v>0.2</v>
      </c>
      <c r="O102" s="7">
        <v>3.1</v>
      </c>
      <c r="P102" s="7">
        <v>27.8</v>
      </c>
    </row>
    <row r="103" spans="1:16" x14ac:dyDescent="0.35">
      <c r="A103" s="1" t="s">
        <v>133</v>
      </c>
      <c r="B103" s="1" t="s">
        <v>15</v>
      </c>
      <c r="C103" s="1" t="s">
        <v>40</v>
      </c>
      <c r="D103" s="7">
        <v>10</v>
      </c>
      <c r="E103" s="7">
        <v>32.5</v>
      </c>
      <c r="F103" s="7">
        <v>15.8</v>
      </c>
      <c r="G103" s="7">
        <v>0.56299999999999994</v>
      </c>
      <c r="H103" s="7">
        <v>1.3</v>
      </c>
      <c r="I103" s="7">
        <v>4.5</v>
      </c>
      <c r="J103" s="7">
        <v>0.75600000000000001</v>
      </c>
      <c r="K103" s="7">
        <v>8.6999999999999993</v>
      </c>
      <c r="L103" s="7">
        <v>3.1</v>
      </c>
      <c r="M103" s="7">
        <v>1.2</v>
      </c>
      <c r="N103" s="7">
        <v>1.9</v>
      </c>
      <c r="O103" s="7">
        <v>2.1</v>
      </c>
      <c r="P103" s="7">
        <v>22.5</v>
      </c>
    </row>
    <row r="104" spans="1:16" x14ac:dyDescent="0.35">
      <c r="A104" s="1" t="s">
        <v>134</v>
      </c>
      <c r="B104" s="1" t="s">
        <v>18</v>
      </c>
      <c r="C104" s="1" t="s">
        <v>61</v>
      </c>
      <c r="D104" s="7">
        <v>8</v>
      </c>
      <c r="E104" s="7">
        <v>13.9</v>
      </c>
      <c r="F104" s="7">
        <v>2.6</v>
      </c>
      <c r="G104" s="7">
        <v>0.38100000000000001</v>
      </c>
      <c r="H104" s="7">
        <v>0</v>
      </c>
      <c r="I104" s="7">
        <v>0.5</v>
      </c>
      <c r="J104" s="7">
        <v>0.75</v>
      </c>
      <c r="K104" s="7">
        <v>5.5</v>
      </c>
      <c r="L104" s="7">
        <v>0.8</v>
      </c>
      <c r="M104" s="7">
        <v>0.4</v>
      </c>
      <c r="N104" s="7">
        <v>0.5</v>
      </c>
      <c r="O104" s="7">
        <v>0.3</v>
      </c>
      <c r="P104" s="7">
        <v>2.4</v>
      </c>
    </row>
    <row r="105" spans="1:16" x14ac:dyDescent="0.35">
      <c r="A105" s="1" t="s">
        <v>135</v>
      </c>
      <c r="B105" s="1" t="s">
        <v>25</v>
      </c>
      <c r="C105" s="1" t="s">
        <v>44</v>
      </c>
      <c r="D105" s="7">
        <v>7</v>
      </c>
      <c r="E105" s="7">
        <v>12.1</v>
      </c>
      <c r="F105" s="7">
        <v>5.6</v>
      </c>
      <c r="G105" s="7">
        <v>0.46200000000000002</v>
      </c>
      <c r="H105" s="7">
        <v>1.3</v>
      </c>
      <c r="I105" s="7">
        <v>0.7</v>
      </c>
      <c r="J105" s="7">
        <v>1</v>
      </c>
      <c r="K105" s="7">
        <v>1.6</v>
      </c>
      <c r="L105" s="7">
        <v>1.1000000000000001</v>
      </c>
      <c r="M105" s="7">
        <v>0.4</v>
      </c>
      <c r="N105" s="7">
        <v>0.1</v>
      </c>
      <c r="O105" s="7">
        <v>0.9</v>
      </c>
      <c r="P105" s="7">
        <v>7.1</v>
      </c>
    </row>
    <row r="106" spans="1:16" x14ac:dyDescent="0.35">
      <c r="A106" s="1" t="s">
        <v>136</v>
      </c>
      <c r="B106" s="1" t="s">
        <v>34</v>
      </c>
      <c r="C106" s="1" t="s">
        <v>23</v>
      </c>
      <c r="D106" s="7">
        <v>9</v>
      </c>
      <c r="E106" s="7">
        <v>34.4</v>
      </c>
      <c r="F106" s="7">
        <v>14.8</v>
      </c>
      <c r="G106" s="7">
        <v>0.48899999999999999</v>
      </c>
      <c r="H106" s="7">
        <v>1</v>
      </c>
      <c r="I106" s="7">
        <v>6.7</v>
      </c>
      <c r="J106" s="7">
        <v>0.86699999999999999</v>
      </c>
      <c r="K106" s="7">
        <v>5.6</v>
      </c>
      <c r="L106" s="7">
        <v>7</v>
      </c>
      <c r="M106" s="7">
        <v>0.9</v>
      </c>
      <c r="N106" s="7">
        <v>0.7</v>
      </c>
      <c r="O106" s="7">
        <v>1.3</v>
      </c>
      <c r="P106" s="7">
        <v>21.2</v>
      </c>
    </row>
    <row r="107" spans="1:16" x14ac:dyDescent="0.35">
      <c r="A107" s="1" t="s">
        <v>137</v>
      </c>
      <c r="B107" s="1" t="s">
        <v>25</v>
      </c>
      <c r="C107" s="1" t="s">
        <v>19</v>
      </c>
      <c r="D107" s="7">
        <v>10</v>
      </c>
      <c r="E107" s="7">
        <v>21</v>
      </c>
      <c r="F107" s="7">
        <v>8.6</v>
      </c>
      <c r="G107" s="7">
        <v>0.55800000000000005</v>
      </c>
      <c r="H107" s="7">
        <v>0.3</v>
      </c>
      <c r="I107" s="7">
        <v>3.7</v>
      </c>
      <c r="J107" s="7">
        <v>0.70299999999999996</v>
      </c>
      <c r="K107" s="7">
        <v>5.0999999999999996</v>
      </c>
      <c r="L107" s="7">
        <v>1.8</v>
      </c>
      <c r="M107" s="7">
        <v>1.1000000000000001</v>
      </c>
      <c r="N107" s="7">
        <v>0.3</v>
      </c>
      <c r="O107" s="7">
        <v>1</v>
      </c>
      <c r="P107" s="7">
        <v>12.5</v>
      </c>
    </row>
    <row r="108" spans="1:16" x14ac:dyDescent="0.35">
      <c r="A108" s="1" t="s">
        <v>138</v>
      </c>
      <c r="B108" s="1" t="s">
        <v>18</v>
      </c>
      <c r="C108" s="1" t="s">
        <v>28</v>
      </c>
      <c r="D108" s="7">
        <v>9</v>
      </c>
      <c r="E108" s="7">
        <v>17</v>
      </c>
      <c r="F108" s="7">
        <v>6</v>
      </c>
      <c r="G108" s="7">
        <v>0.51900000000000002</v>
      </c>
      <c r="H108" s="7">
        <v>1.1000000000000001</v>
      </c>
      <c r="I108" s="7">
        <v>0.8</v>
      </c>
      <c r="J108" s="7">
        <v>1</v>
      </c>
      <c r="K108" s="7">
        <v>4.5999999999999996</v>
      </c>
      <c r="L108" s="7">
        <v>1.6</v>
      </c>
      <c r="M108" s="7">
        <v>1</v>
      </c>
      <c r="N108" s="7">
        <v>0.6</v>
      </c>
      <c r="O108" s="7">
        <v>1.1000000000000001</v>
      </c>
      <c r="P108" s="7">
        <v>8.1</v>
      </c>
    </row>
    <row r="109" spans="1:16" x14ac:dyDescent="0.35">
      <c r="A109" s="1" t="s">
        <v>139</v>
      </c>
      <c r="B109" s="1" t="s">
        <v>25</v>
      </c>
      <c r="C109" s="1" t="s">
        <v>30</v>
      </c>
      <c r="D109" s="7">
        <v>3</v>
      </c>
      <c r="E109" s="7">
        <v>21.3</v>
      </c>
      <c r="F109" s="7">
        <v>5.3</v>
      </c>
      <c r="G109" s="7">
        <v>0.375</v>
      </c>
      <c r="H109" s="7">
        <v>0.7</v>
      </c>
      <c r="I109" s="7">
        <v>2</v>
      </c>
      <c r="J109" s="7">
        <v>1</v>
      </c>
      <c r="K109" s="7">
        <v>4.3</v>
      </c>
      <c r="L109" s="7">
        <v>3</v>
      </c>
      <c r="M109" s="7">
        <v>0.7</v>
      </c>
      <c r="N109" s="7">
        <v>0.3</v>
      </c>
      <c r="O109" s="7">
        <v>1.7</v>
      </c>
      <c r="P109" s="7">
        <v>6.7</v>
      </c>
    </row>
    <row r="110" spans="1:16" x14ac:dyDescent="0.35">
      <c r="A110" s="1" t="s">
        <v>140</v>
      </c>
      <c r="B110" s="1" t="s">
        <v>25</v>
      </c>
      <c r="C110" s="1" t="s">
        <v>38</v>
      </c>
      <c r="D110" s="7">
        <v>11</v>
      </c>
      <c r="E110" s="7">
        <v>24.9</v>
      </c>
      <c r="F110" s="7">
        <v>8.8000000000000007</v>
      </c>
      <c r="G110" s="7">
        <v>0.46400000000000002</v>
      </c>
      <c r="H110" s="7">
        <v>2.2999999999999998</v>
      </c>
      <c r="I110" s="7">
        <v>0.7</v>
      </c>
      <c r="J110" s="7">
        <v>0.75</v>
      </c>
      <c r="K110" s="7">
        <v>3.6</v>
      </c>
      <c r="L110" s="7">
        <v>2.5</v>
      </c>
      <c r="M110" s="7">
        <v>1.6</v>
      </c>
      <c r="N110" s="7">
        <v>0.3</v>
      </c>
      <c r="O110" s="7">
        <v>1.4</v>
      </c>
      <c r="P110" s="7">
        <v>11</v>
      </c>
    </row>
    <row r="111" spans="1:16" x14ac:dyDescent="0.35">
      <c r="A111" s="1" t="s">
        <v>601</v>
      </c>
      <c r="B111" s="1" t="s">
        <v>46</v>
      </c>
      <c r="C111" s="1" t="s">
        <v>56</v>
      </c>
      <c r="D111" s="7">
        <v>8</v>
      </c>
      <c r="E111" s="7">
        <v>34</v>
      </c>
      <c r="F111" s="7">
        <v>20.3</v>
      </c>
      <c r="G111" s="7">
        <v>0.45100000000000001</v>
      </c>
      <c r="H111" s="7">
        <v>1.6</v>
      </c>
      <c r="I111" s="7">
        <v>8.6</v>
      </c>
      <c r="J111" s="7">
        <v>0.78300000000000003</v>
      </c>
      <c r="K111" s="7">
        <v>9.1</v>
      </c>
      <c r="L111" s="7">
        <v>8.3000000000000007</v>
      </c>
      <c r="M111" s="7">
        <v>1.1000000000000001</v>
      </c>
      <c r="N111" s="7">
        <v>0.6</v>
      </c>
      <c r="O111" s="7">
        <v>4.5</v>
      </c>
      <c r="P111" s="7">
        <v>26.6</v>
      </c>
    </row>
    <row r="112" spans="1:16" x14ac:dyDescent="0.35">
      <c r="A112" s="1" t="s">
        <v>141</v>
      </c>
      <c r="B112" s="1" t="s">
        <v>25</v>
      </c>
      <c r="C112" s="1" t="s">
        <v>19</v>
      </c>
      <c r="D112" s="7">
        <v>10</v>
      </c>
      <c r="E112" s="7">
        <v>27.9</v>
      </c>
      <c r="F112" s="7">
        <v>9</v>
      </c>
      <c r="G112" s="7">
        <v>0.46700000000000003</v>
      </c>
      <c r="H112" s="7">
        <v>2.1</v>
      </c>
      <c r="I112" s="7">
        <v>2.4</v>
      </c>
      <c r="J112" s="7">
        <v>0.79200000000000004</v>
      </c>
      <c r="K112" s="7">
        <v>3.7</v>
      </c>
      <c r="L112" s="7">
        <v>0.8</v>
      </c>
      <c r="M112" s="7">
        <v>0.8</v>
      </c>
      <c r="N112" s="7">
        <v>0.3</v>
      </c>
      <c r="O112" s="7">
        <v>1.2</v>
      </c>
      <c r="P112" s="7">
        <v>12.4</v>
      </c>
    </row>
    <row r="113" spans="1:16" x14ac:dyDescent="0.35">
      <c r="A113" s="1" t="s">
        <v>142</v>
      </c>
      <c r="B113" s="1" t="s">
        <v>25</v>
      </c>
      <c r="C113" s="1" t="s">
        <v>118</v>
      </c>
      <c r="D113" s="7">
        <v>11</v>
      </c>
      <c r="E113" s="7">
        <v>25.4</v>
      </c>
      <c r="F113" s="7">
        <v>8</v>
      </c>
      <c r="G113" s="7">
        <v>0.432</v>
      </c>
      <c r="H113" s="7">
        <v>1.2</v>
      </c>
      <c r="I113" s="7">
        <v>1</v>
      </c>
      <c r="J113" s="7">
        <v>0.54500000000000004</v>
      </c>
      <c r="K113" s="7">
        <v>1.5</v>
      </c>
      <c r="L113" s="7">
        <v>2.9</v>
      </c>
      <c r="M113" s="7">
        <v>0.7</v>
      </c>
      <c r="N113" s="7">
        <v>0.2</v>
      </c>
      <c r="O113" s="7">
        <v>0.9</v>
      </c>
      <c r="P113" s="7">
        <v>8.6</v>
      </c>
    </row>
    <row r="114" spans="1:16" x14ac:dyDescent="0.35">
      <c r="A114" s="1" t="s">
        <v>690</v>
      </c>
      <c r="B114" s="1" t="s">
        <v>46</v>
      </c>
      <c r="C114" s="1" t="s">
        <v>47</v>
      </c>
      <c r="D114" s="7">
        <v>1</v>
      </c>
      <c r="E114" s="7">
        <v>10</v>
      </c>
      <c r="F114" s="7">
        <v>4</v>
      </c>
      <c r="G114" s="7">
        <v>0.5</v>
      </c>
      <c r="H114" s="7">
        <v>0</v>
      </c>
      <c r="I114" s="7">
        <v>0</v>
      </c>
      <c r="J114" s="7"/>
      <c r="K114" s="7">
        <v>1</v>
      </c>
      <c r="L114" s="7">
        <v>0</v>
      </c>
      <c r="M114" s="7">
        <v>0</v>
      </c>
      <c r="N114" s="7">
        <v>0</v>
      </c>
      <c r="O114" s="7">
        <v>0</v>
      </c>
      <c r="P114" s="7">
        <v>4</v>
      </c>
    </row>
    <row r="115" spans="1:16" x14ac:dyDescent="0.35">
      <c r="A115" s="1" t="s">
        <v>143</v>
      </c>
      <c r="B115" s="1" t="s">
        <v>15</v>
      </c>
      <c r="C115" s="1" t="s">
        <v>82</v>
      </c>
      <c r="D115" s="7">
        <v>10</v>
      </c>
      <c r="E115" s="7">
        <v>11.4</v>
      </c>
      <c r="F115" s="7">
        <v>4.2</v>
      </c>
      <c r="G115" s="7">
        <v>0.33300000000000002</v>
      </c>
      <c r="H115" s="7">
        <v>0.7</v>
      </c>
      <c r="I115" s="7">
        <v>0.9</v>
      </c>
      <c r="J115" s="7">
        <v>0.88900000000000001</v>
      </c>
      <c r="K115" s="7">
        <v>2.4</v>
      </c>
      <c r="L115" s="7">
        <v>0.5</v>
      </c>
      <c r="M115" s="7">
        <v>0.4</v>
      </c>
      <c r="N115" s="7">
        <v>0.2</v>
      </c>
      <c r="O115" s="7">
        <v>0.2</v>
      </c>
      <c r="P115" s="7">
        <v>4.3</v>
      </c>
    </row>
    <row r="116" spans="1:16" x14ac:dyDescent="0.35">
      <c r="A116" s="1" t="s">
        <v>602</v>
      </c>
      <c r="B116" s="1" t="s">
        <v>25</v>
      </c>
      <c r="C116" s="1" t="s">
        <v>59</v>
      </c>
      <c r="D116" s="7">
        <v>11</v>
      </c>
      <c r="E116" s="7">
        <v>19.899999999999999</v>
      </c>
      <c r="F116" s="7">
        <v>5.9</v>
      </c>
      <c r="G116" s="7">
        <v>0.41499999999999998</v>
      </c>
      <c r="H116" s="7">
        <v>0.8</v>
      </c>
      <c r="I116" s="7">
        <v>1.1000000000000001</v>
      </c>
      <c r="J116" s="7">
        <v>0.66700000000000004</v>
      </c>
      <c r="K116" s="7">
        <v>4.5</v>
      </c>
      <c r="L116" s="7">
        <v>1.2</v>
      </c>
      <c r="M116" s="7">
        <v>0.3</v>
      </c>
      <c r="N116" s="7">
        <v>0.7</v>
      </c>
      <c r="O116" s="7">
        <v>0.9</v>
      </c>
      <c r="P116" s="7">
        <v>6.5</v>
      </c>
    </row>
    <row r="117" spans="1:16" x14ac:dyDescent="0.35">
      <c r="A117" s="1" t="s">
        <v>603</v>
      </c>
      <c r="B117" s="1" t="s">
        <v>46</v>
      </c>
      <c r="C117" s="1" t="s">
        <v>21</v>
      </c>
      <c r="D117" s="7">
        <v>8</v>
      </c>
      <c r="E117" s="7">
        <v>23.5</v>
      </c>
      <c r="F117" s="7">
        <v>10.4</v>
      </c>
      <c r="G117" s="7">
        <v>0.50600000000000001</v>
      </c>
      <c r="H117" s="7">
        <v>1.8</v>
      </c>
      <c r="I117" s="7">
        <v>2.9</v>
      </c>
      <c r="J117" s="7">
        <v>0.87</v>
      </c>
      <c r="K117" s="7">
        <v>2.2999999999999998</v>
      </c>
      <c r="L117" s="7">
        <v>5</v>
      </c>
      <c r="M117" s="7">
        <v>0.6</v>
      </c>
      <c r="N117" s="7">
        <v>0</v>
      </c>
      <c r="O117" s="7">
        <v>2.8</v>
      </c>
      <c r="P117" s="7">
        <v>14.8</v>
      </c>
    </row>
    <row r="118" spans="1:16" x14ac:dyDescent="0.35">
      <c r="A118" s="1" t="s">
        <v>144</v>
      </c>
      <c r="B118" s="1" t="s">
        <v>18</v>
      </c>
      <c r="C118" s="1" t="s">
        <v>118</v>
      </c>
      <c r="D118" s="7">
        <v>11</v>
      </c>
      <c r="E118" s="7">
        <v>31.5</v>
      </c>
      <c r="F118" s="7">
        <v>16.399999999999999</v>
      </c>
      <c r="G118" s="7">
        <v>0.46700000000000003</v>
      </c>
      <c r="H118" s="7">
        <v>0</v>
      </c>
      <c r="I118" s="7">
        <v>5.3</v>
      </c>
      <c r="J118" s="7">
        <v>0.51700000000000002</v>
      </c>
      <c r="K118" s="7">
        <v>15.1</v>
      </c>
      <c r="L118" s="7">
        <v>2.9</v>
      </c>
      <c r="M118" s="7">
        <v>1.6</v>
      </c>
      <c r="N118" s="7">
        <v>1.5</v>
      </c>
      <c r="O118" s="7">
        <v>3.9</v>
      </c>
      <c r="P118" s="7">
        <v>18</v>
      </c>
    </row>
    <row r="119" spans="1:16" x14ac:dyDescent="0.35">
      <c r="A119" s="1" t="s">
        <v>145</v>
      </c>
      <c r="B119" s="1" t="s">
        <v>15</v>
      </c>
      <c r="C119" s="1" t="s">
        <v>40</v>
      </c>
      <c r="D119" s="7">
        <v>6</v>
      </c>
      <c r="E119" s="7">
        <v>3.7</v>
      </c>
      <c r="F119" s="7">
        <v>0.2</v>
      </c>
      <c r="G119" s="7">
        <v>1</v>
      </c>
      <c r="H119" s="7">
        <v>0.2</v>
      </c>
      <c r="I119" s="7">
        <v>0</v>
      </c>
      <c r="J119" s="7"/>
      <c r="K119" s="7">
        <v>1</v>
      </c>
      <c r="L119" s="7">
        <v>0.2</v>
      </c>
      <c r="M119" s="7">
        <v>0</v>
      </c>
      <c r="N119" s="7">
        <v>0</v>
      </c>
      <c r="O119" s="7">
        <v>0</v>
      </c>
      <c r="P119" s="7">
        <v>0.5</v>
      </c>
    </row>
    <row r="120" spans="1:16" x14ac:dyDescent="0.35">
      <c r="A120" s="1" t="s">
        <v>508</v>
      </c>
      <c r="B120" s="1" t="s">
        <v>15</v>
      </c>
      <c r="C120" s="1" t="s">
        <v>30</v>
      </c>
      <c r="D120" s="7">
        <v>8</v>
      </c>
      <c r="E120" s="7">
        <v>34.799999999999997</v>
      </c>
      <c r="F120" s="7">
        <v>18</v>
      </c>
      <c r="G120" s="7">
        <v>0.53500000000000003</v>
      </c>
      <c r="H120" s="7">
        <v>2.6</v>
      </c>
      <c r="I120" s="7">
        <v>9.3000000000000007</v>
      </c>
      <c r="J120" s="7">
        <v>0.86499999999999999</v>
      </c>
      <c r="K120" s="7">
        <v>7.8</v>
      </c>
      <c r="L120" s="7">
        <v>5.8</v>
      </c>
      <c r="M120" s="7">
        <v>0.9</v>
      </c>
      <c r="N120" s="7">
        <v>0.8</v>
      </c>
      <c r="O120" s="7">
        <v>4</v>
      </c>
      <c r="P120" s="7">
        <v>29.9</v>
      </c>
    </row>
    <row r="121" spans="1:16" x14ac:dyDescent="0.35">
      <c r="A121" s="1" t="s">
        <v>669</v>
      </c>
      <c r="B121" s="1" t="s">
        <v>25</v>
      </c>
      <c r="C121" s="1" t="s">
        <v>61</v>
      </c>
      <c r="D121" s="7">
        <v>10</v>
      </c>
      <c r="E121" s="7">
        <v>25.5</v>
      </c>
      <c r="F121" s="7">
        <v>13.4</v>
      </c>
      <c r="G121" s="7">
        <v>0.38800000000000001</v>
      </c>
      <c r="H121" s="7">
        <v>1.6</v>
      </c>
      <c r="I121" s="7">
        <v>2.1</v>
      </c>
      <c r="J121" s="7">
        <v>0.76200000000000001</v>
      </c>
      <c r="K121" s="7">
        <v>2.9</v>
      </c>
      <c r="L121" s="7">
        <v>2</v>
      </c>
      <c r="M121" s="7">
        <v>0.6</v>
      </c>
      <c r="N121" s="7">
        <v>0.2</v>
      </c>
      <c r="O121" s="7">
        <v>2</v>
      </c>
      <c r="P121" s="7">
        <v>13.6</v>
      </c>
    </row>
    <row r="122" spans="1:16" x14ac:dyDescent="0.35">
      <c r="A122" s="1" t="s">
        <v>147</v>
      </c>
      <c r="B122" s="1" t="s">
        <v>25</v>
      </c>
      <c r="C122" s="1" t="s">
        <v>98</v>
      </c>
      <c r="D122" s="7">
        <v>4</v>
      </c>
      <c r="E122" s="7">
        <v>7.3</v>
      </c>
      <c r="F122" s="7">
        <v>3.8</v>
      </c>
      <c r="G122" s="7">
        <v>0.4</v>
      </c>
      <c r="H122" s="7">
        <v>0.3</v>
      </c>
      <c r="I122" s="7">
        <v>0</v>
      </c>
      <c r="J122" s="7"/>
      <c r="K122" s="7">
        <v>0.8</v>
      </c>
      <c r="L122" s="7">
        <v>0.5</v>
      </c>
      <c r="M122" s="7">
        <v>0</v>
      </c>
      <c r="N122" s="7">
        <v>0.3</v>
      </c>
      <c r="O122" s="7">
        <v>0.3</v>
      </c>
      <c r="P122" s="7">
        <v>3.3</v>
      </c>
    </row>
    <row r="123" spans="1:16" x14ac:dyDescent="0.35">
      <c r="A123" s="1" t="s">
        <v>691</v>
      </c>
      <c r="B123" s="1" t="s">
        <v>34</v>
      </c>
      <c r="C123" s="1" t="s">
        <v>43</v>
      </c>
      <c r="D123" s="7">
        <v>5</v>
      </c>
      <c r="E123" s="7">
        <v>5.8</v>
      </c>
      <c r="F123" s="7">
        <v>1.4</v>
      </c>
      <c r="G123" s="7">
        <v>0.57099999999999995</v>
      </c>
      <c r="H123" s="7">
        <v>0.2</v>
      </c>
      <c r="I123" s="7">
        <v>0.6</v>
      </c>
      <c r="J123" s="7">
        <v>0.66700000000000004</v>
      </c>
      <c r="K123" s="7">
        <v>0.4</v>
      </c>
      <c r="L123" s="7">
        <v>0.4</v>
      </c>
      <c r="M123" s="7">
        <v>0</v>
      </c>
      <c r="N123" s="7">
        <v>0.2</v>
      </c>
      <c r="O123" s="7">
        <v>0.2</v>
      </c>
      <c r="P123" s="7">
        <v>2.2000000000000002</v>
      </c>
    </row>
    <row r="124" spans="1:16" x14ac:dyDescent="0.35">
      <c r="A124" s="1" t="s">
        <v>148</v>
      </c>
      <c r="B124" s="1" t="s">
        <v>25</v>
      </c>
      <c r="C124" s="1" t="s">
        <v>82</v>
      </c>
      <c r="D124" s="7">
        <v>5</v>
      </c>
      <c r="E124" s="7">
        <v>16.600000000000001</v>
      </c>
      <c r="F124" s="7">
        <v>6.6</v>
      </c>
      <c r="G124" s="7">
        <v>0.48499999999999999</v>
      </c>
      <c r="H124" s="7">
        <v>1.8</v>
      </c>
      <c r="I124" s="7">
        <v>0.2</v>
      </c>
      <c r="J124" s="7">
        <v>1</v>
      </c>
      <c r="K124" s="7">
        <v>2</v>
      </c>
      <c r="L124" s="7">
        <v>0.4</v>
      </c>
      <c r="M124" s="7">
        <v>0.4</v>
      </c>
      <c r="N124" s="7">
        <v>0.6</v>
      </c>
      <c r="O124" s="7">
        <v>0.2</v>
      </c>
      <c r="P124" s="7">
        <v>8.4</v>
      </c>
    </row>
    <row r="125" spans="1:16" x14ac:dyDescent="0.35">
      <c r="A125" s="1" t="s">
        <v>149</v>
      </c>
      <c r="B125" s="1" t="s">
        <v>18</v>
      </c>
      <c r="C125" s="1" t="s">
        <v>80</v>
      </c>
      <c r="D125" s="7">
        <v>10</v>
      </c>
      <c r="E125" s="7">
        <v>32</v>
      </c>
      <c r="F125" s="7">
        <v>16</v>
      </c>
      <c r="G125" s="7">
        <v>0.54400000000000004</v>
      </c>
      <c r="H125" s="7">
        <v>1.2</v>
      </c>
      <c r="I125" s="7">
        <v>9.3000000000000007</v>
      </c>
      <c r="J125" s="7">
        <v>0.86</v>
      </c>
      <c r="K125" s="7">
        <v>12.1</v>
      </c>
      <c r="L125" s="7">
        <v>3.1</v>
      </c>
      <c r="M125" s="7">
        <v>1.4</v>
      </c>
      <c r="N125" s="7">
        <v>1.6</v>
      </c>
      <c r="O125" s="7">
        <v>3.2</v>
      </c>
      <c r="P125" s="7">
        <v>26.6</v>
      </c>
    </row>
    <row r="126" spans="1:16" x14ac:dyDescent="0.35">
      <c r="A126" s="1" t="s">
        <v>150</v>
      </c>
      <c r="B126" s="1" t="s">
        <v>34</v>
      </c>
      <c r="C126" s="1" t="s">
        <v>33</v>
      </c>
      <c r="D126" s="7">
        <v>4</v>
      </c>
      <c r="E126" s="7">
        <v>18</v>
      </c>
      <c r="F126" s="7">
        <v>4.5</v>
      </c>
      <c r="G126" s="7">
        <v>0.38900000000000001</v>
      </c>
      <c r="H126" s="7">
        <v>0.3</v>
      </c>
      <c r="I126" s="7">
        <v>1</v>
      </c>
      <c r="J126" s="7">
        <v>1</v>
      </c>
      <c r="K126" s="7">
        <v>2.2999999999999998</v>
      </c>
      <c r="L126" s="7">
        <v>1.3</v>
      </c>
      <c r="M126" s="7">
        <v>1.3</v>
      </c>
      <c r="N126" s="7">
        <v>0</v>
      </c>
      <c r="O126" s="7">
        <v>1.3</v>
      </c>
      <c r="P126" s="7">
        <v>4.8</v>
      </c>
    </row>
    <row r="127" spans="1:16" x14ac:dyDescent="0.35">
      <c r="A127" s="1" t="s">
        <v>151</v>
      </c>
      <c r="B127" s="1" t="s">
        <v>15</v>
      </c>
      <c r="C127" s="1" t="s">
        <v>23</v>
      </c>
      <c r="D127" s="7">
        <v>3</v>
      </c>
      <c r="E127" s="7">
        <v>19.3</v>
      </c>
      <c r="F127" s="7">
        <v>4.3</v>
      </c>
      <c r="G127" s="7">
        <v>0.23100000000000001</v>
      </c>
      <c r="H127" s="7">
        <v>0</v>
      </c>
      <c r="I127" s="7">
        <v>1.3</v>
      </c>
      <c r="J127" s="7">
        <v>0.75</v>
      </c>
      <c r="K127" s="7">
        <v>4.3</v>
      </c>
      <c r="L127" s="7">
        <v>0.3</v>
      </c>
      <c r="M127" s="7">
        <v>0.3</v>
      </c>
      <c r="N127" s="7">
        <v>2</v>
      </c>
      <c r="O127" s="7">
        <v>0.3</v>
      </c>
      <c r="P127" s="7">
        <v>3</v>
      </c>
    </row>
    <row r="128" spans="1:16" x14ac:dyDescent="0.35">
      <c r="A128" s="1" t="s">
        <v>152</v>
      </c>
      <c r="B128" s="1" t="s">
        <v>25</v>
      </c>
      <c r="C128" s="1" t="s">
        <v>118</v>
      </c>
      <c r="D128" s="7">
        <v>6</v>
      </c>
      <c r="E128" s="7">
        <v>19.3</v>
      </c>
      <c r="F128" s="7">
        <v>4.3</v>
      </c>
      <c r="G128" s="7">
        <v>0.38500000000000001</v>
      </c>
      <c r="H128" s="7">
        <v>0.3</v>
      </c>
      <c r="I128" s="7">
        <v>0.3</v>
      </c>
      <c r="J128" s="7">
        <v>0.5</v>
      </c>
      <c r="K128" s="7">
        <v>2.8</v>
      </c>
      <c r="L128" s="7">
        <v>2.2000000000000002</v>
      </c>
      <c r="M128" s="7">
        <v>0.7</v>
      </c>
      <c r="N128" s="7">
        <v>0.3</v>
      </c>
      <c r="O128" s="7">
        <v>1.2</v>
      </c>
      <c r="P128" s="7">
        <v>3.8</v>
      </c>
    </row>
    <row r="129" spans="1:16" x14ac:dyDescent="0.35">
      <c r="A129" s="1" t="s">
        <v>153</v>
      </c>
      <c r="B129" s="1" t="s">
        <v>18</v>
      </c>
      <c r="C129" s="1" t="s">
        <v>98</v>
      </c>
      <c r="D129" s="7">
        <v>2</v>
      </c>
      <c r="E129" s="7">
        <v>12.5</v>
      </c>
      <c r="F129" s="7">
        <v>2</v>
      </c>
      <c r="G129" s="7">
        <v>0.5</v>
      </c>
      <c r="H129" s="7">
        <v>0</v>
      </c>
      <c r="I129" s="7">
        <v>2</v>
      </c>
      <c r="J129" s="7">
        <v>0.5</v>
      </c>
      <c r="K129" s="7">
        <v>4</v>
      </c>
      <c r="L129" s="7">
        <v>0</v>
      </c>
      <c r="M129" s="7">
        <v>0</v>
      </c>
      <c r="N129" s="7">
        <v>2.5</v>
      </c>
      <c r="O129" s="7">
        <v>0</v>
      </c>
      <c r="P129" s="7">
        <v>3</v>
      </c>
    </row>
    <row r="130" spans="1:16" x14ac:dyDescent="0.35">
      <c r="A130" s="1" t="s">
        <v>154</v>
      </c>
      <c r="B130" s="1" t="s">
        <v>18</v>
      </c>
      <c r="C130" s="1" t="s">
        <v>79</v>
      </c>
      <c r="D130" s="7">
        <v>11</v>
      </c>
      <c r="E130" s="7">
        <v>16.5</v>
      </c>
      <c r="F130" s="7">
        <v>4.5</v>
      </c>
      <c r="G130" s="7">
        <v>0.6</v>
      </c>
      <c r="H130" s="7">
        <v>0</v>
      </c>
      <c r="I130" s="7">
        <v>1.3</v>
      </c>
      <c r="J130" s="7">
        <v>0.64300000000000002</v>
      </c>
      <c r="K130" s="7">
        <v>6.1</v>
      </c>
      <c r="L130" s="7">
        <v>1.2</v>
      </c>
      <c r="M130" s="7">
        <v>0.3</v>
      </c>
      <c r="N130" s="7">
        <v>1.2</v>
      </c>
      <c r="O130" s="7">
        <v>0.5</v>
      </c>
      <c r="P130" s="7">
        <v>6.3</v>
      </c>
    </row>
    <row r="131" spans="1:16" x14ac:dyDescent="0.35">
      <c r="A131" s="1" t="s">
        <v>604</v>
      </c>
      <c r="B131" s="1" t="s">
        <v>18</v>
      </c>
      <c r="C131" s="1" t="s">
        <v>47</v>
      </c>
      <c r="D131" s="7">
        <v>1</v>
      </c>
      <c r="E131" s="7">
        <v>6</v>
      </c>
      <c r="F131" s="7">
        <v>1</v>
      </c>
      <c r="G131" s="7">
        <v>0</v>
      </c>
      <c r="H131" s="7">
        <v>0</v>
      </c>
      <c r="I131" s="7">
        <v>2</v>
      </c>
      <c r="J131" s="7">
        <v>0</v>
      </c>
      <c r="K131" s="7">
        <v>3</v>
      </c>
      <c r="L131" s="7">
        <v>2</v>
      </c>
      <c r="M131" s="7">
        <v>0</v>
      </c>
      <c r="N131" s="7">
        <v>0</v>
      </c>
      <c r="O131" s="7">
        <v>0</v>
      </c>
      <c r="P131" s="7">
        <v>0</v>
      </c>
    </row>
    <row r="132" spans="1:16" x14ac:dyDescent="0.35">
      <c r="A132" s="1" t="s">
        <v>155</v>
      </c>
      <c r="B132" s="1" t="s">
        <v>25</v>
      </c>
      <c r="C132" s="1" t="s">
        <v>80</v>
      </c>
      <c r="D132" s="7">
        <v>4</v>
      </c>
      <c r="E132" s="7">
        <v>3.8</v>
      </c>
      <c r="F132" s="7">
        <v>0.8</v>
      </c>
      <c r="G132" s="7">
        <v>0</v>
      </c>
      <c r="H132" s="7">
        <v>0</v>
      </c>
      <c r="I132" s="7">
        <v>0</v>
      </c>
      <c r="J132" s="7"/>
      <c r="K132" s="7">
        <v>0.3</v>
      </c>
      <c r="L132" s="7">
        <v>0.3</v>
      </c>
      <c r="M132" s="7">
        <v>0</v>
      </c>
      <c r="N132" s="7">
        <v>0</v>
      </c>
      <c r="O132" s="7">
        <v>0</v>
      </c>
      <c r="P132" s="7">
        <v>0</v>
      </c>
    </row>
    <row r="133" spans="1:16" x14ac:dyDescent="0.35">
      <c r="A133" s="1" t="s">
        <v>156</v>
      </c>
      <c r="B133" s="1" t="s">
        <v>18</v>
      </c>
      <c r="C133" s="1" t="s">
        <v>70</v>
      </c>
      <c r="D133" s="7">
        <v>7</v>
      </c>
      <c r="E133" s="7">
        <v>12.3</v>
      </c>
      <c r="F133" s="7">
        <v>1.9</v>
      </c>
      <c r="G133" s="7">
        <v>0.38500000000000001</v>
      </c>
      <c r="H133" s="7">
        <v>0</v>
      </c>
      <c r="I133" s="7">
        <v>0.7</v>
      </c>
      <c r="J133" s="7">
        <v>0.4</v>
      </c>
      <c r="K133" s="7">
        <v>5.0999999999999996</v>
      </c>
      <c r="L133" s="7">
        <v>0.9</v>
      </c>
      <c r="M133" s="7">
        <v>0.3</v>
      </c>
      <c r="N133" s="7">
        <v>0.1</v>
      </c>
      <c r="O133" s="7">
        <v>1.3</v>
      </c>
      <c r="P133" s="7">
        <v>1.7</v>
      </c>
    </row>
    <row r="134" spans="1:16" x14ac:dyDescent="0.35">
      <c r="A134" s="1" t="s">
        <v>766</v>
      </c>
      <c r="B134" s="1" t="s">
        <v>3</v>
      </c>
      <c r="C134" s="1" t="s">
        <v>118</v>
      </c>
      <c r="D134" s="7">
        <v>2</v>
      </c>
      <c r="E134" s="7">
        <v>20</v>
      </c>
      <c r="F134" s="7">
        <v>10.5</v>
      </c>
      <c r="G134" s="7">
        <v>0.38100000000000001</v>
      </c>
      <c r="H134" s="7">
        <v>1.5</v>
      </c>
      <c r="I134" s="7">
        <v>1</v>
      </c>
      <c r="J134" s="7">
        <v>0</v>
      </c>
      <c r="K134" s="7">
        <v>3</v>
      </c>
      <c r="L134" s="7">
        <v>2.5</v>
      </c>
      <c r="M134" s="7">
        <v>1.5</v>
      </c>
      <c r="N134" s="7">
        <v>0.5</v>
      </c>
      <c r="O134" s="7">
        <v>1.5</v>
      </c>
      <c r="P134" s="7">
        <v>9.5</v>
      </c>
    </row>
    <row r="135" spans="1:16" x14ac:dyDescent="0.35">
      <c r="A135" s="1" t="s">
        <v>157</v>
      </c>
      <c r="B135" s="1" t="s">
        <v>15</v>
      </c>
      <c r="C135" s="1" t="s">
        <v>56</v>
      </c>
      <c r="D135" s="7">
        <v>8</v>
      </c>
      <c r="E135" s="7">
        <v>29.4</v>
      </c>
      <c r="F135" s="7">
        <v>8.1</v>
      </c>
      <c r="G135" s="7">
        <v>0.41499999999999998</v>
      </c>
      <c r="H135" s="7">
        <v>1.8</v>
      </c>
      <c r="I135" s="7">
        <v>0.9</v>
      </c>
      <c r="J135" s="7">
        <v>0.85699999999999998</v>
      </c>
      <c r="K135" s="7">
        <v>5</v>
      </c>
      <c r="L135" s="7">
        <v>1</v>
      </c>
      <c r="M135" s="7">
        <v>1.4</v>
      </c>
      <c r="N135" s="7">
        <v>0.6</v>
      </c>
      <c r="O135" s="7">
        <v>0.5</v>
      </c>
      <c r="P135" s="7">
        <v>9.3000000000000007</v>
      </c>
    </row>
    <row r="136" spans="1:16" x14ac:dyDescent="0.35">
      <c r="A136" s="1" t="s">
        <v>692</v>
      </c>
      <c r="B136" s="1" t="s">
        <v>46</v>
      </c>
      <c r="C136" s="1" t="s">
        <v>44</v>
      </c>
      <c r="D136" s="7">
        <v>6</v>
      </c>
      <c r="E136" s="7">
        <v>8.8000000000000007</v>
      </c>
      <c r="F136" s="7">
        <v>3.3</v>
      </c>
      <c r="G136" s="7">
        <v>0.25</v>
      </c>
      <c r="H136" s="7">
        <v>0.3</v>
      </c>
      <c r="I136" s="7">
        <v>0</v>
      </c>
      <c r="J136" s="7"/>
      <c r="K136" s="7">
        <v>1</v>
      </c>
      <c r="L136" s="7">
        <v>1</v>
      </c>
      <c r="M136" s="7">
        <v>0.2</v>
      </c>
      <c r="N136" s="7">
        <v>0</v>
      </c>
      <c r="O136" s="7">
        <v>0.2</v>
      </c>
      <c r="P136" s="7">
        <v>2</v>
      </c>
    </row>
    <row r="137" spans="1:16" x14ac:dyDescent="0.35">
      <c r="A137" s="1" t="s">
        <v>158</v>
      </c>
      <c r="B137" s="1" t="s">
        <v>25</v>
      </c>
      <c r="C137" s="1" t="s">
        <v>38</v>
      </c>
      <c r="D137" s="7">
        <v>11</v>
      </c>
      <c r="E137" s="7">
        <v>17.100000000000001</v>
      </c>
      <c r="F137" s="7">
        <v>6.3</v>
      </c>
      <c r="G137" s="7">
        <v>0.44900000000000001</v>
      </c>
      <c r="H137" s="7">
        <v>1.5</v>
      </c>
      <c r="I137" s="7">
        <v>0.9</v>
      </c>
      <c r="J137" s="7">
        <v>0.6</v>
      </c>
      <c r="K137" s="7">
        <v>1.1000000000000001</v>
      </c>
      <c r="L137" s="7">
        <v>0.3</v>
      </c>
      <c r="M137" s="7">
        <v>0.4</v>
      </c>
      <c r="N137" s="7">
        <v>0</v>
      </c>
      <c r="O137" s="7">
        <v>0.9</v>
      </c>
      <c r="P137" s="7">
        <v>7.7</v>
      </c>
    </row>
    <row r="138" spans="1:16" x14ac:dyDescent="0.35">
      <c r="A138" s="1" t="s">
        <v>738</v>
      </c>
      <c r="B138" s="1" t="s">
        <v>46</v>
      </c>
      <c r="C138" s="1" t="s">
        <v>79</v>
      </c>
      <c r="D138" s="7">
        <v>2</v>
      </c>
      <c r="E138" s="7">
        <v>4.5</v>
      </c>
      <c r="F138" s="7">
        <v>0</v>
      </c>
      <c r="G138" s="7"/>
      <c r="H138" s="7">
        <v>0</v>
      </c>
      <c r="I138" s="7">
        <v>1</v>
      </c>
      <c r="J138" s="7">
        <v>1</v>
      </c>
      <c r="K138" s="7">
        <v>0</v>
      </c>
      <c r="L138" s="7">
        <v>0.5</v>
      </c>
      <c r="M138" s="7">
        <v>0.5</v>
      </c>
      <c r="N138" s="7">
        <v>0</v>
      </c>
      <c r="O138" s="7">
        <v>0</v>
      </c>
      <c r="P138" s="7">
        <v>1</v>
      </c>
    </row>
    <row r="139" spans="1:16" x14ac:dyDescent="0.35">
      <c r="A139" s="1" t="s">
        <v>159</v>
      </c>
      <c r="B139" s="1" t="s">
        <v>34</v>
      </c>
      <c r="C139" s="1" t="s">
        <v>33</v>
      </c>
      <c r="D139" s="7">
        <v>5</v>
      </c>
      <c r="E139" s="7">
        <v>25.4</v>
      </c>
      <c r="F139" s="7">
        <v>9</v>
      </c>
      <c r="G139" s="7">
        <v>0.51100000000000001</v>
      </c>
      <c r="H139" s="7">
        <v>1.6</v>
      </c>
      <c r="I139" s="7">
        <v>4.5999999999999996</v>
      </c>
      <c r="J139" s="7">
        <v>0.87</v>
      </c>
      <c r="K139" s="7">
        <v>1.6</v>
      </c>
      <c r="L139" s="7">
        <v>2</v>
      </c>
      <c r="M139" s="7">
        <v>1.4</v>
      </c>
      <c r="N139" s="7">
        <v>0</v>
      </c>
      <c r="O139" s="7">
        <v>1.8</v>
      </c>
      <c r="P139" s="7">
        <v>14.8</v>
      </c>
    </row>
    <row r="140" spans="1:16" x14ac:dyDescent="0.35">
      <c r="A140" s="1" t="s">
        <v>160</v>
      </c>
      <c r="B140" s="1" t="s">
        <v>46</v>
      </c>
      <c r="C140" s="1" t="s">
        <v>49</v>
      </c>
      <c r="D140" s="7">
        <v>11</v>
      </c>
      <c r="E140" s="7">
        <v>30.1</v>
      </c>
      <c r="F140" s="7">
        <v>14.6</v>
      </c>
      <c r="G140" s="7">
        <v>0.441</v>
      </c>
      <c r="H140" s="7">
        <v>1</v>
      </c>
      <c r="I140" s="7">
        <v>6.2</v>
      </c>
      <c r="J140" s="7">
        <v>0.70599999999999996</v>
      </c>
      <c r="K140" s="7">
        <v>2.7</v>
      </c>
      <c r="L140" s="7">
        <v>5.4</v>
      </c>
      <c r="M140" s="7">
        <v>1.5</v>
      </c>
      <c r="N140" s="7">
        <v>0.8</v>
      </c>
      <c r="O140" s="7">
        <v>3.1</v>
      </c>
      <c r="P140" s="7">
        <v>18.3</v>
      </c>
    </row>
    <row r="141" spans="1:16" x14ac:dyDescent="0.35">
      <c r="A141" s="1" t="s">
        <v>546</v>
      </c>
      <c r="B141" s="1" t="s">
        <v>46</v>
      </c>
      <c r="C141" s="1" t="s">
        <v>28</v>
      </c>
      <c r="D141" s="7">
        <v>2</v>
      </c>
      <c r="E141" s="7">
        <v>10.5</v>
      </c>
      <c r="F141" s="7">
        <v>2.5</v>
      </c>
      <c r="G141" s="7">
        <v>0.4</v>
      </c>
      <c r="H141" s="7">
        <v>0</v>
      </c>
      <c r="I141" s="7">
        <v>0</v>
      </c>
      <c r="J141" s="7"/>
      <c r="K141" s="7">
        <v>1.5</v>
      </c>
      <c r="L141" s="7">
        <v>2.5</v>
      </c>
      <c r="M141" s="7">
        <v>0</v>
      </c>
      <c r="N141" s="7">
        <v>0</v>
      </c>
      <c r="O141" s="7">
        <v>1.5</v>
      </c>
      <c r="P141" s="7">
        <v>2</v>
      </c>
    </row>
    <row r="142" spans="1:16" x14ac:dyDescent="0.35">
      <c r="A142" s="1" t="s">
        <v>163</v>
      </c>
      <c r="B142" s="1" t="s">
        <v>46</v>
      </c>
      <c r="C142" s="1" t="s">
        <v>33</v>
      </c>
      <c r="D142" s="7">
        <v>8</v>
      </c>
      <c r="E142" s="7">
        <v>26.9</v>
      </c>
      <c r="F142" s="7">
        <v>13</v>
      </c>
      <c r="G142" s="7">
        <v>0.39400000000000002</v>
      </c>
      <c r="H142" s="7">
        <v>0.5</v>
      </c>
      <c r="I142" s="7">
        <v>2.4</v>
      </c>
      <c r="J142" s="7">
        <v>0.89500000000000002</v>
      </c>
      <c r="K142" s="7">
        <v>3.1</v>
      </c>
      <c r="L142" s="7">
        <v>5.4</v>
      </c>
      <c r="M142" s="7">
        <v>1</v>
      </c>
      <c r="N142" s="7">
        <v>0.3</v>
      </c>
      <c r="O142" s="7">
        <v>2.2999999999999998</v>
      </c>
      <c r="P142" s="7">
        <v>12.9</v>
      </c>
    </row>
    <row r="143" spans="1:16" x14ac:dyDescent="0.35">
      <c r="A143" s="1" t="s">
        <v>165</v>
      </c>
      <c r="B143" s="1" t="s">
        <v>15</v>
      </c>
      <c r="C143" s="1" t="s">
        <v>47</v>
      </c>
      <c r="D143" s="7">
        <v>10</v>
      </c>
      <c r="E143" s="7">
        <v>13.9</v>
      </c>
      <c r="F143" s="7">
        <v>2.7</v>
      </c>
      <c r="G143" s="7">
        <v>0.70399999999999996</v>
      </c>
      <c r="H143" s="7">
        <v>0</v>
      </c>
      <c r="I143" s="7">
        <v>2</v>
      </c>
      <c r="J143" s="7">
        <v>0.65</v>
      </c>
      <c r="K143" s="7">
        <v>2.2000000000000002</v>
      </c>
      <c r="L143" s="7">
        <v>0.6</v>
      </c>
      <c r="M143" s="7">
        <v>0.7</v>
      </c>
      <c r="N143" s="7">
        <v>1.1000000000000001</v>
      </c>
      <c r="O143" s="7">
        <v>0.6</v>
      </c>
      <c r="P143" s="7">
        <v>5.0999999999999996</v>
      </c>
    </row>
    <row r="144" spans="1:16" x14ac:dyDescent="0.35">
      <c r="A144" s="1" t="s">
        <v>166</v>
      </c>
      <c r="B144" s="1" t="s">
        <v>15</v>
      </c>
      <c r="C144" s="1" t="s">
        <v>70</v>
      </c>
      <c r="D144" s="7">
        <v>2</v>
      </c>
      <c r="E144" s="7">
        <v>14</v>
      </c>
      <c r="F144" s="7">
        <v>4</v>
      </c>
      <c r="G144" s="7">
        <v>0.75</v>
      </c>
      <c r="H144" s="7">
        <v>1</v>
      </c>
      <c r="I144" s="7">
        <v>2</v>
      </c>
      <c r="J144" s="7">
        <v>1</v>
      </c>
      <c r="K144" s="7">
        <v>2.5</v>
      </c>
      <c r="L144" s="7">
        <v>1.5</v>
      </c>
      <c r="M144" s="7">
        <v>0</v>
      </c>
      <c r="N144" s="7">
        <v>0</v>
      </c>
      <c r="O144" s="7">
        <v>1.5</v>
      </c>
      <c r="P144" s="7">
        <v>9</v>
      </c>
    </row>
    <row r="145" spans="1:16" x14ac:dyDescent="0.35">
      <c r="A145" s="1" t="s">
        <v>167</v>
      </c>
      <c r="B145" s="1" t="s">
        <v>25</v>
      </c>
      <c r="C145" s="1" t="s">
        <v>52</v>
      </c>
      <c r="D145" s="7">
        <v>11</v>
      </c>
      <c r="E145" s="7">
        <v>9.5</v>
      </c>
      <c r="F145" s="7">
        <v>3.4</v>
      </c>
      <c r="G145" s="7">
        <v>0.45900000000000002</v>
      </c>
      <c r="H145" s="7">
        <v>1.2</v>
      </c>
      <c r="I145" s="7">
        <v>0.6</v>
      </c>
      <c r="J145" s="7">
        <v>1</v>
      </c>
      <c r="K145" s="7">
        <v>0.9</v>
      </c>
      <c r="L145" s="7">
        <v>0.4</v>
      </c>
      <c r="M145" s="7">
        <v>0</v>
      </c>
      <c r="N145" s="7">
        <v>0</v>
      </c>
      <c r="O145" s="7">
        <v>0.2</v>
      </c>
      <c r="P145" s="7">
        <v>4.9000000000000004</v>
      </c>
    </row>
    <row r="146" spans="1:16" x14ac:dyDescent="0.35">
      <c r="A146" s="1" t="s">
        <v>168</v>
      </c>
      <c r="B146" s="1" t="s">
        <v>46</v>
      </c>
      <c r="C146" s="1" t="s">
        <v>118</v>
      </c>
      <c r="D146" s="7">
        <v>6</v>
      </c>
      <c r="E146" s="7">
        <v>35.799999999999997</v>
      </c>
      <c r="F146" s="7">
        <v>14.7</v>
      </c>
      <c r="G146" s="7">
        <v>0.45500000000000002</v>
      </c>
      <c r="H146" s="7">
        <v>2.5</v>
      </c>
      <c r="I146" s="7">
        <v>1.5</v>
      </c>
      <c r="J146" s="7">
        <v>0.88900000000000001</v>
      </c>
      <c r="K146" s="7">
        <v>3.3</v>
      </c>
      <c r="L146" s="7">
        <v>6.3</v>
      </c>
      <c r="M146" s="7">
        <v>1.3</v>
      </c>
      <c r="N146" s="7">
        <v>0.3</v>
      </c>
      <c r="O146" s="7">
        <v>3</v>
      </c>
      <c r="P146" s="7">
        <v>17.2</v>
      </c>
    </row>
    <row r="147" spans="1:16" x14ac:dyDescent="0.35">
      <c r="A147" s="1" t="s">
        <v>169</v>
      </c>
      <c r="B147" s="1" t="s">
        <v>18</v>
      </c>
      <c r="C147" s="1" t="s">
        <v>40</v>
      </c>
      <c r="D147" s="7">
        <v>12</v>
      </c>
      <c r="E147" s="7">
        <v>19.399999999999999</v>
      </c>
      <c r="F147" s="7">
        <v>3.1</v>
      </c>
      <c r="G147" s="7">
        <v>0.45900000000000002</v>
      </c>
      <c r="H147" s="7">
        <v>0.5</v>
      </c>
      <c r="I147" s="7">
        <v>1.3</v>
      </c>
      <c r="J147" s="7">
        <v>0.875</v>
      </c>
      <c r="K147" s="7">
        <v>5.3</v>
      </c>
      <c r="L147" s="7">
        <v>2.2999999999999998</v>
      </c>
      <c r="M147" s="7">
        <v>0.4</v>
      </c>
      <c r="N147" s="7">
        <v>1.4</v>
      </c>
      <c r="O147" s="7">
        <v>1.4</v>
      </c>
      <c r="P147" s="7">
        <v>4.5</v>
      </c>
    </row>
    <row r="148" spans="1:16" x14ac:dyDescent="0.35">
      <c r="A148" s="1" t="s">
        <v>170</v>
      </c>
      <c r="B148" s="1" t="s">
        <v>15</v>
      </c>
      <c r="C148" s="1" t="s">
        <v>23</v>
      </c>
      <c r="D148" s="7">
        <v>11</v>
      </c>
      <c r="E148" s="7">
        <v>23.1</v>
      </c>
      <c r="F148" s="7">
        <v>10.7</v>
      </c>
      <c r="G148" s="7">
        <v>0.432</v>
      </c>
      <c r="H148" s="7">
        <v>1.7</v>
      </c>
      <c r="I148" s="7">
        <v>1</v>
      </c>
      <c r="J148" s="7">
        <v>0.72699999999999998</v>
      </c>
      <c r="K148" s="7">
        <v>5.2</v>
      </c>
      <c r="L148" s="7">
        <v>1.5</v>
      </c>
      <c r="M148" s="7">
        <v>0.7</v>
      </c>
      <c r="N148" s="7">
        <v>0.9</v>
      </c>
      <c r="O148" s="7">
        <v>1</v>
      </c>
      <c r="P148" s="7">
        <v>11.7</v>
      </c>
    </row>
    <row r="149" spans="1:16" x14ac:dyDescent="0.35">
      <c r="A149" s="1" t="s">
        <v>171</v>
      </c>
      <c r="B149" s="1" t="s">
        <v>34</v>
      </c>
      <c r="C149" s="1" t="s">
        <v>72</v>
      </c>
      <c r="D149" s="7">
        <v>10</v>
      </c>
      <c r="E149" s="7">
        <v>34.700000000000003</v>
      </c>
      <c r="F149" s="7">
        <v>16.5</v>
      </c>
      <c r="G149" s="7">
        <v>0.497</v>
      </c>
      <c r="H149" s="7">
        <v>4.2</v>
      </c>
      <c r="I149" s="7">
        <v>4.8</v>
      </c>
      <c r="J149" s="7">
        <v>0.91700000000000004</v>
      </c>
      <c r="K149" s="7">
        <v>6.3</v>
      </c>
      <c r="L149" s="7">
        <v>5.4</v>
      </c>
      <c r="M149" s="7">
        <v>1.5</v>
      </c>
      <c r="N149" s="7">
        <v>0.5</v>
      </c>
      <c r="O149" s="7">
        <v>4</v>
      </c>
      <c r="P149" s="7">
        <v>25</v>
      </c>
    </row>
    <row r="150" spans="1:16" x14ac:dyDescent="0.35">
      <c r="A150" s="1" t="s">
        <v>173</v>
      </c>
      <c r="B150" s="1" t="s">
        <v>18</v>
      </c>
      <c r="C150" s="1" t="s">
        <v>43</v>
      </c>
      <c r="D150" s="7">
        <v>7</v>
      </c>
      <c r="E150" s="7">
        <v>7.4</v>
      </c>
      <c r="F150" s="7">
        <v>2</v>
      </c>
      <c r="G150" s="7">
        <v>0.42899999999999999</v>
      </c>
      <c r="H150" s="7">
        <v>0.3</v>
      </c>
      <c r="I150" s="7">
        <v>0.9</v>
      </c>
      <c r="J150" s="7">
        <v>0.66700000000000004</v>
      </c>
      <c r="K150" s="7">
        <v>2.9</v>
      </c>
      <c r="L150" s="7">
        <v>0.6</v>
      </c>
      <c r="M150" s="7">
        <v>0.3</v>
      </c>
      <c r="N150" s="7">
        <v>0.7</v>
      </c>
      <c r="O150" s="7">
        <v>0.7</v>
      </c>
      <c r="P150" s="7">
        <v>2.6</v>
      </c>
    </row>
    <row r="151" spans="1:16" x14ac:dyDescent="0.35">
      <c r="A151" s="1" t="s">
        <v>174</v>
      </c>
      <c r="B151" s="1" t="s">
        <v>25</v>
      </c>
      <c r="C151" s="1" t="s">
        <v>19</v>
      </c>
      <c r="D151" s="7">
        <v>10</v>
      </c>
      <c r="E151" s="7">
        <v>33.6</v>
      </c>
      <c r="F151" s="7">
        <v>15</v>
      </c>
      <c r="G151" s="7">
        <v>0.49299999999999999</v>
      </c>
      <c r="H151" s="7">
        <v>1.8</v>
      </c>
      <c r="I151" s="7">
        <v>5.7</v>
      </c>
      <c r="J151" s="7">
        <v>0.754</v>
      </c>
      <c r="K151" s="7">
        <v>5.7</v>
      </c>
      <c r="L151" s="7">
        <v>6.3</v>
      </c>
      <c r="M151" s="7">
        <v>1</v>
      </c>
      <c r="N151" s="7">
        <v>0.5</v>
      </c>
      <c r="O151" s="7">
        <v>2.8</v>
      </c>
      <c r="P151" s="7">
        <v>20.9</v>
      </c>
    </row>
    <row r="152" spans="1:16" x14ac:dyDescent="0.35">
      <c r="A152" s="1" t="s">
        <v>693</v>
      </c>
      <c r="B152" s="1" t="s">
        <v>15</v>
      </c>
      <c r="C152" s="1" t="s">
        <v>67</v>
      </c>
      <c r="D152" s="7">
        <v>4</v>
      </c>
      <c r="E152" s="7">
        <v>3.5</v>
      </c>
      <c r="F152" s="7">
        <v>0.8</v>
      </c>
      <c r="G152" s="7">
        <v>0.66700000000000004</v>
      </c>
      <c r="H152" s="7">
        <v>0.3</v>
      </c>
      <c r="I152" s="7">
        <v>0.5</v>
      </c>
      <c r="J152" s="7">
        <v>1</v>
      </c>
      <c r="K152" s="7">
        <v>0.8</v>
      </c>
      <c r="L152" s="7">
        <v>0</v>
      </c>
      <c r="M152" s="7">
        <v>0.3</v>
      </c>
      <c r="N152" s="7">
        <v>0</v>
      </c>
      <c r="O152" s="7">
        <v>0</v>
      </c>
      <c r="P152" s="7">
        <v>1.8</v>
      </c>
    </row>
    <row r="153" spans="1:16" x14ac:dyDescent="0.35">
      <c r="A153" s="1" t="s">
        <v>175</v>
      </c>
      <c r="B153" s="1" t="s">
        <v>18</v>
      </c>
      <c r="C153" s="1" t="s">
        <v>79</v>
      </c>
      <c r="D153" s="7">
        <v>11</v>
      </c>
      <c r="E153" s="7">
        <v>30.4</v>
      </c>
      <c r="F153" s="7">
        <v>8.5</v>
      </c>
      <c r="G153" s="7">
        <v>0.55300000000000005</v>
      </c>
      <c r="H153" s="7">
        <v>0</v>
      </c>
      <c r="I153" s="7">
        <v>4.5</v>
      </c>
      <c r="J153" s="7">
        <v>0.48</v>
      </c>
      <c r="K153" s="7">
        <v>13.4</v>
      </c>
      <c r="L153" s="7">
        <v>1.5</v>
      </c>
      <c r="M153" s="7">
        <v>0.5</v>
      </c>
      <c r="N153" s="7">
        <v>2.6</v>
      </c>
      <c r="O153" s="7">
        <v>1.8</v>
      </c>
      <c r="P153" s="7">
        <v>11.6</v>
      </c>
    </row>
    <row r="154" spans="1:16" x14ac:dyDescent="0.35">
      <c r="A154" s="1" t="s">
        <v>176</v>
      </c>
      <c r="B154" s="1" t="s">
        <v>46</v>
      </c>
      <c r="C154" s="1" t="s">
        <v>70</v>
      </c>
      <c r="D154" s="7">
        <v>8</v>
      </c>
      <c r="E154" s="7">
        <v>14.9</v>
      </c>
      <c r="F154" s="7">
        <v>5.6</v>
      </c>
      <c r="G154" s="7">
        <v>0.378</v>
      </c>
      <c r="H154" s="7">
        <v>1</v>
      </c>
      <c r="I154" s="7">
        <v>0.8</v>
      </c>
      <c r="J154" s="7">
        <v>0.66700000000000004</v>
      </c>
      <c r="K154" s="7">
        <v>1.5</v>
      </c>
      <c r="L154" s="7">
        <v>2.2999999999999998</v>
      </c>
      <c r="M154" s="7">
        <v>0.5</v>
      </c>
      <c r="N154" s="7">
        <v>0</v>
      </c>
      <c r="O154" s="7">
        <v>0.4</v>
      </c>
      <c r="P154" s="7">
        <v>5.8</v>
      </c>
    </row>
    <row r="155" spans="1:16" x14ac:dyDescent="0.35">
      <c r="A155" s="1" t="s">
        <v>177</v>
      </c>
      <c r="B155" s="1" t="s">
        <v>15</v>
      </c>
      <c r="C155" s="1" t="s">
        <v>33</v>
      </c>
      <c r="D155" s="7">
        <v>10</v>
      </c>
      <c r="E155" s="7">
        <v>27.2</v>
      </c>
      <c r="F155" s="7">
        <v>11.4</v>
      </c>
      <c r="G155" s="7">
        <v>0.48199999999999998</v>
      </c>
      <c r="H155" s="7">
        <v>1.5</v>
      </c>
      <c r="I155" s="7">
        <v>3.8</v>
      </c>
      <c r="J155" s="7">
        <v>0.60499999999999998</v>
      </c>
      <c r="K155" s="7">
        <v>6.6</v>
      </c>
      <c r="L155" s="7">
        <v>2.8</v>
      </c>
      <c r="M155" s="7">
        <v>0.9</v>
      </c>
      <c r="N155" s="7">
        <v>0.7</v>
      </c>
      <c r="O155" s="7">
        <v>2</v>
      </c>
      <c r="P155" s="7">
        <v>14.8</v>
      </c>
    </row>
    <row r="156" spans="1:16" x14ac:dyDescent="0.35">
      <c r="A156" s="1" t="s">
        <v>178</v>
      </c>
      <c r="B156" s="1" t="s">
        <v>25</v>
      </c>
      <c r="C156" s="1" t="s">
        <v>36</v>
      </c>
      <c r="D156" s="7">
        <v>7</v>
      </c>
      <c r="E156" s="7">
        <v>25.6</v>
      </c>
      <c r="F156" s="7">
        <v>10.9</v>
      </c>
      <c r="G156" s="7">
        <v>0.434</v>
      </c>
      <c r="H156" s="7">
        <v>2.2999999999999998</v>
      </c>
      <c r="I156" s="7">
        <v>2.9</v>
      </c>
      <c r="J156" s="7">
        <v>0.9</v>
      </c>
      <c r="K156" s="7">
        <v>2.1</v>
      </c>
      <c r="L156" s="7">
        <v>1.6</v>
      </c>
      <c r="M156" s="7">
        <v>1</v>
      </c>
      <c r="N156" s="7">
        <v>0.9</v>
      </c>
      <c r="O156" s="7">
        <v>1.6</v>
      </c>
      <c r="P156" s="7">
        <v>14.3</v>
      </c>
    </row>
    <row r="157" spans="1:16" x14ac:dyDescent="0.35">
      <c r="A157" s="1" t="s">
        <v>179</v>
      </c>
      <c r="B157" s="1" t="s">
        <v>46</v>
      </c>
      <c r="C157" s="1" t="s">
        <v>54</v>
      </c>
      <c r="D157" s="7">
        <v>11</v>
      </c>
      <c r="E157" s="7">
        <v>32.5</v>
      </c>
      <c r="F157" s="7">
        <v>12.2</v>
      </c>
      <c r="G157" s="7">
        <v>0.29099999999999998</v>
      </c>
      <c r="H157" s="7">
        <v>2.2999999999999998</v>
      </c>
      <c r="I157" s="7">
        <v>2.8</v>
      </c>
      <c r="J157" s="7">
        <v>0.80600000000000005</v>
      </c>
      <c r="K157" s="7">
        <v>3.5</v>
      </c>
      <c r="L157" s="7">
        <v>6.5</v>
      </c>
      <c r="M157" s="7">
        <v>1.5</v>
      </c>
      <c r="N157" s="7">
        <v>0</v>
      </c>
      <c r="O157" s="7">
        <v>1.1000000000000001</v>
      </c>
      <c r="P157" s="7">
        <v>11.6</v>
      </c>
    </row>
    <row r="158" spans="1:16" x14ac:dyDescent="0.35">
      <c r="A158" s="1" t="s">
        <v>181</v>
      </c>
      <c r="B158" s="1" t="s">
        <v>34</v>
      </c>
      <c r="C158" s="1" t="s">
        <v>82</v>
      </c>
      <c r="D158" s="7">
        <v>10</v>
      </c>
      <c r="E158" s="7">
        <v>36.799999999999997</v>
      </c>
      <c r="F158" s="7">
        <v>18.5</v>
      </c>
      <c r="G158" s="7">
        <v>0.46500000000000002</v>
      </c>
      <c r="H158" s="7">
        <v>2.7</v>
      </c>
      <c r="I158" s="7">
        <v>6</v>
      </c>
      <c r="J158" s="7">
        <v>0.86699999999999999</v>
      </c>
      <c r="K158" s="7">
        <v>6.2</v>
      </c>
      <c r="L158" s="7">
        <v>1.9</v>
      </c>
      <c r="M158" s="7">
        <v>0.9</v>
      </c>
      <c r="N158" s="7">
        <v>1.2</v>
      </c>
      <c r="O158" s="7">
        <v>1.4</v>
      </c>
      <c r="P158" s="7">
        <v>25.1</v>
      </c>
    </row>
    <row r="159" spans="1:16" x14ac:dyDescent="0.35">
      <c r="A159" s="1" t="s">
        <v>182</v>
      </c>
      <c r="B159" s="1" t="s">
        <v>34</v>
      </c>
      <c r="C159" s="1" t="s">
        <v>80</v>
      </c>
      <c r="D159" s="7">
        <v>12</v>
      </c>
      <c r="E159" s="7">
        <v>28</v>
      </c>
      <c r="F159" s="7">
        <v>9</v>
      </c>
      <c r="G159" s="7">
        <v>0.36099999999999999</v>
      </c>
      <c r="H159" s="7">
        <v>2.4</v>
      </c>
      <c r="I159" s="7">
        <v>0.8</v>
      </c>
      <c r="J159" s="7">
        <v>0.7</v>
      </c>
      <c r="K159" s="7">
        <v>3.5</v>
      </c>
      <c r="L159" s="7">
        <v>2.8</v>
      </c>
      <c r="M159" s="7">
        <v>1.3</v>
      </c>
      <c r="N159" s="7">
        <v>0.7</v>
      </c>
      <c r="O159" s="7">
        <v>1.8</v>
      </c>
      <c r="P159" s="7">
        <v>9.5</v>
      </c>
    </row>
    <row r="160" spans="1:16" x14ac:dyDescent="0.35">
      <c r="A160" s="1" t="s">
        <v>183</v>
      </c>
      <c r="B160" s="1" t="s">
        <v>15</v>
      </c>
      <c r="C160" s="1" t="s">
        <v>87</v>
      </c>
      <c r="D160" s="7">
        <v>7</v>
      </c>
      <c r="E160" s="7">
        <v>27.1</v>
      </c>
      <c r="F160" s="7">
        <v>4.3</v>
      </c>
      <c r="G160" s="7">
        <v>0.3</v>
      </c>
      <c r="H160" s="7">
        <v>0.4</v>
      </c>
      <c r="I160" s="7">
        <v>1.9</v>
      </c>
      <c r="J160" s="7">
        <v>0.76900000000000002</v>
      </c>
      <c r="K160" s="7">
        <v>5.0999999999999996</v>
      </c>
      <c r="L160" s="7">
        <v>6.6</v>
      </c>
      <c r="M160" s="7">
        <v>1.3</v>
      </c>
      <c r="N160" s="7">
        <v>0.3</v>
      </c>
      <c r="O160" s="7">
        <v>2</v>
      </c>
      <c r="P160" s="7">
        <v>4.4000000000000004</v>
      </c>
    </row>
    <row r="161" spans="1:16" x14ac:dyDescent="0.35">
      <c r="A161" s="1" t="s">
        <v>184</v>
      </c>
      <c r="B161" s="1" t="s">
        <v>15</v>
      </c>
      <c r="C161" s="1" t="s">
        <v>59</v>
      </c>
      <c r="D161" s="7">
        <v>7</v>
      </c>
      <c r="E161" s="7">
        <v>20.6</v>
      </c>
      <c r="F161" s="7">
        <v>7.7</v>
      </c>
      <c r="G161" s="7">
        <v>0.51900000000000002</v>
      </c>
      <c r="H161" s="7">
        <v>2.2999999999999998</v>
      </c>
      <c r="I161" s="7">
        <v>1.7</v>
      </c>
      <c r="J161" s="7">
        <v>0.66700000000000004</v>
      </c>
      <c r="K161" s="7">
        <v>6.4</v>
      </c>
      <c r="L161" s="7">
        <v>1.3</v>
      </c>
      <c r="M161" s="7">
        <v>0.6</v>
      </c>
      <c r="N161" s="7">
        <v>0</v>
      </c>
      <c r="O161" s="7">
        <v>2.1</v>
      </c>
      <c r="P161" s="7">
        <v>11.4</v>
      </c>
    </row>
    <row r="162" spans="1:16" x14ac:dyDescent="0.35">
      <c r="A162" s="1" t="s">
        <v>185</v>
      </c>
      <c r="B162" s="1" t="s">
        <v>25</v>
      </c>
      <c r="C162" s="1" t="s">
        <v>98</v>
      </c>
      <c r="D162" s="7">
        <v>3</v>
      </c>
      <c r="E162" s="7">
        <v>14.3</v>
      </c>
      <c r="F162" s="7">
        <v>3.7</v>
      </c>
      <c r="G162" s="7">
        <v>0.54500000000000004</v>
      </c>
      <c r="H162" s="7">
        <v>0.3</v>
      </c>
      <c r="I162" s="7">
        <v>1.7</v>
      </c>
      <c r="J162" s="7">
        <v>0.6</v>
      </c>
      <c r="K162" s="7">
        <v>2.7</v>
      </c>
      <c r="L162" s="7">
        <v>0.7</v>
      </c>
      <c r="M162" s="7">
        <v>1</v>
      </c>
      <c r="N162" s="7">
        <v>0</v>
      </c>
      <c r="O162" s="7">
        <v>0.7</v>
      </c>
      <c r="P162" s="7">
        <v>5.3</v>
      </c>
    </row>
    <row r="163" spans="1:16" x14ac:dyDescent="0.35">
      <c r="A163" s="1" t="s">
        <v>186</v>
      </c>
      <c r="B163" s="1" t="s">
        <v>15</v>
      </c>
      <c r="C163" s="1" t="s">
        <v>30</v>
      </c>
      <c r="D163" s="7">
        <v>12</v>
      </c>
      <c r="E163" s="7">
        <v>19.8</v>
      </c>
      <c r="F163" s="7">
        <v>4</v>
      </c>
      <c r="G163" s="7">
        <v>0.54200000000000004</v>
      </c>
      <c r="H163" s="7">
        <v>0.9</v>
      </c>
      <c r="I163" s="7">
        <v>0.6</v>
      </c>
      <c r="J163" s="7">
        <v>0.71399999999999997</v>
      </c>
      <c r="K163" s="7">
        <v>2.6</v>
      </c>
      <c r="L163" s="7">
        <v>1</v>
      </c>
      <c r="M163" s="7">
        <v>0.5</v>
      </c>
      <c r="N163" s="7">
        <v>0.2</v>
      </c>
      <c r="O163" s="7">
        <v>0.8</v>
      </c>
      <c r="P163" s="7">
        <v>5.7</v>
      </c>
    </row>
    <row r="164" spans="1:16" x14ac:dyDescent="0.35">
      <c r="A164" s="1" t="s">
        <v>694</v>
      </c>
      <c r="B164" s="1" t="s">
        <v>25</v>
      </c>
      <c r="C164" s="1" t="s">
        <v>56</v>
      </c>
      <c r="D164" s="7">
        <v>7</v>
      </c>
      <c r="E164" s="7">
        <v>6.9</v>
      </c>
      <c r="F164" s="7">
        <v>0.7</v>
      </c>
      <c r="G164" s="7">
        <v>0.4</v>
      </c>
      <c r="H164" s="7">
        <v>0</v>
      </c>
      <c r="I164" s="7">
        <v>0.3</v>
      </c>
      <c r="J164" s="7">
        <v>1</v>
      </c>
      <c r="K164" s="7">
        <v>1.3</v>
      </c>
      <c r="L164" s="7">
        <v>0.3</v>
      </c>
      <c r="M164" s="7">
        <v>0</v>
      </c>
      <c r="N164" s="7">
        <v>0</v>
      </c>
      <c r="O164" s="7">
        <v>0.3</v>
      </c>
      <c r="P164" s="7">
        <v>0.9</v>
      </c>
    </row>
    <row r="165" spans="1:16" x14ac:dyDescent="0.35">
      <c r="A165" s="1" t="s">
        <v>187</v>
      </c>
      <c r="B165" s="1" t="s">
        <v>15</v>
      </c>
      <c r="C165" s="1" t="s">
        <v>82</v>
      </c>
      <c r="D165" s="7">
        <v>7</v>
      </c>
      <c r="E165" s="7">
        <v>32.1</v>
      </c>
      <c r="F165" s="7">
        <v>12.1</v>
      </c>
      <c r="G165" s="7">
        <v>0.376</v>
      </c>
      <c r="H165" s="7">
        <v>2.1</v>
      </c>
      <c r="I165" s="7">
        <v>3.7</v>
      </c>
      <c r="J165" s="7">
        <v>0.69199999999999995</v>
      </c>
      <c r="K165" s="7">
        <v>5.7</v>
      </c>
      <c r="L165" s="7">
        <v>4</v>
      </c>
      <c r="M165" s="7">
        <v>1</v>
      </c>
      <c r="N165" s="7">
        <v>0</v>
      </c>
      <c r="O165" s="7">
        <v>1.3</v>
      </c>
      <c r="P165" s="7">
        <v>13.9</v>
      </c>
    </row>
    <row r="166" spans="1:16" x14ac:dyDescent="0.35">
      <c r="A166" s="1" t="s">
        <v>189</v>
      </c>
      <c r="B166" s="1" t="s">
        <v>46</v>
      </c>
      <c r="C166" s="1" t="s">
        <v>49</v>
      </c>
      <c r="D166" s="7">
        <v>4</v>
      </c>
      <c r="E166" s="7">
        <v>8.5</v>
      </c>
      <c r="F166" s="7">
        <v>3.5</v>
      </c>
      <c r="G166" s="7">
        <v>0.28599999999999998</v>
      </c>
      <c r="H166" s="7">
        <v>0.5</v>
      </c>
      <c r="I166" s="7">
        <v>1.5</v>
      </c>
      <c r="J166" s="7">
        <v>0.83299999999999996</v>
      </c>
      <c r="K166" s="7">
        <v>1.3</v>
      </c>
      <c r="L166" s="7">
        <v>1.8</v>
      </c>
      <c r="M166" s="7">
        <v>0.3</v>
      </c>
      <c r="N166" s="7">
        <v>0</v>
      </c>
      <c r="O166" s="7">
        <v>0</v>
      </c>
      <c r="P166" s="7">
        <v>3.8</v>
      </c>
    </row>
    <row r="167" spans="1:16" x14ac:dyDescent="0.35">
      <c r="A167" s="1" t="s">
        <v>190</v>
      </c>
      <c r="B167" s="1" t="s">
        <v>15</v>
      </c>
      <c r="C167" s="1" t="s">
        <v>67</v>
      </c>
      <c r="D167" s="7">
        <v>7</v>
      </c>
      <c r="E167" s="7">
        <v>27.7</v>
      </c>
      <c r="F167" s="7">
        <v>10</v>
      </c>
      <c r="G167" s="7">
        <v>0.5</v>
      </c>
      <c r="H167" s="7">
        <v>0.6</v>
      </c>
      <c r="I167" s="7">
        <v>4</v>
      </c>
      <c r="J167" s="7">
        <v>0.75</v>
      </c>
      <c r="K167" s="7">
        <v>4.5999999999999996</v>
      </c>
      <c r="L167" s="7">
        <v>2.2999999999999998</v>
      </c>
      <c r="M167" s="7">
        <v>0.6</v>
      </c>
      <c r="N167" s="7">
        <v>0.1</v>
      </c>
      <c r="O167" s="7">
        <v>0.7</v>
      </c>
      <c r="P167" s="7">
        <v>13.6</v>
      </c>
    </row>
    <row r="168" spans="1:16" x14ac:dyDescent="0.35">
      <c r="A168" s="1" t="s">
        <v>671</v>
      </c>
      <c r="B168" s="1" t="s">
        <v>46</v>
      </c>
      <c r="C168" s="1" t="s">
        <v>49</v>
      </c>
      <c r="D168" s="7">
        <v>9</v>
      </c>
      <c r="E168" s="7">
        <v>28.6</v>
      </c>
      <c r="F168" s="7">
        <v>8.3000000000000007</v>
      </c>
      <c r="G168" s="7">
        <v>0.52</v>
      </c>
      <c r="H168" s="7">
        <v>2.4</v>
      </c>
      <c r="I168" s="7">
        <v>1.2</v>
      </c>
      <c r="J168" s="7">
        <v>0.81799999999999995</v>
      </c>
      <c r="K168" s="7">
        <v>2.7</v>
      </c>
      <c r="L168" s="7">
        <v>5.3</v>
      </c>
      <c r="M168" s="7">
        <v>1.3</v>
      </c>
      <c r="N168" s="7">
        <v>0.4</v>
      </c>
      <c r="O168" s="7">
        <v>1</v>
      </c>
      <c r="P168" s="7">
        <v>12.1</v>
      </c>
    </row>
    <row r="169" spans="1:16" x14ac:dyDescent="0.35">
      <c r="A169" s="1" t="s">
        <v>695</v>
      </c>
      <c r="B169" s="1" t="s">
        <v>34</v>
      </c>
      <c r="C169" s="1" t="s">
        <v>19</v>
      </c>
      <c r="D169" s="7">
        <v>3</v>
      </c>
      <c r="E169" s="7">
        <v>6</v>
      </c>
      <c r="F169" s="7">
        <v>2.7</v>
      </c>
      <c r="G169" s="7">
        <v>0.125</v>
      </c>
      <c r="H169" s="7">
        <v>0.3</v>
      </c>
      <c r="I169" s="7">
        <v>0.7</v>
      </c>
      <c r="J169" s="7">
        <v>0</v>
      </c>
      <c r="K169" s="7">
        <v>1.3</v>
      </c>
      <c r="L169" s="7">
        <v>0.7</v>
      </c>
      <c r="M169" s="7">
        <v>0</v>
      </c>
      <c r="N169" s="7">
        <v>0</v>
      </c>
      <c r="O169" s="7">
        <v>0.3</v>
      </c>
      <c r="P169" s="7">
        <v>1</v>
      </c>
    </row>
    <row r="170" spans="1:16" x14ac:dyDescent="0.35">
      <c r="A170" s="1" t="s">
        <v>696</v>
      </c>
      <c r="B170" s="1" t="s">
        <v>46</v>
      </c>
      <c r="C170" s="1" t="s">
        <v>59</v>
      </c>
      <c r="D170" s="7">
        <v>8</v>
      </c>
      <c r="E170" s="7">
        <v>2</v>
      </c>
      <c r="F170" s="7">
        <v>0.6</v>
      </c>
      <c r="G170" s="7">
        <v>0.6</v>
      </c>
      <c r="H170" s="7">
        <v>0</v>
      </c>
      <c r="I170" s="7">
        <v>0</v>
      </c>
      <c r="J170" s="7"/>
      <c r="K170" s="7">
        <v>0.3</v>
      </c>
      <c r="L170" s="7">
        <v>0</v>
      </c>
      <c r="M170" s="7">
        <v>0</v>
      </c>
      <c r="N170" s="7">
        <v>0</v>
      </c>
      <c r="O170" s="7">
        <v>0.1</v>
      </c>
      <c r="P170" s="7">
        <v>0.8</v>
      </c>
    </row>
    <row r="171" spans="1:16" x14ac:dyDescent="0.35">
      <c r="A171" s="1" t="s">
        <v>584</v>
      </c>
      <c r="B171" s="1" t="s">
        <v>25</v>
      </c>
      <c r="C171" s="1" t="s">
        <v>56</v>
      </c>
      <c r="D171" s="7">
        <v>9</v>
      </c>
      <c r="E171" s="7">
        <v>30.3</v>
      </c>
      <c r="F171" s="7">
        <v>13.8</v>
      </c>
      <c r="G171" s="7">
        <v>0.46</v>
      </c>
      <c r="H171" s="7">
        <v>3.9</v>
      </c>
      <c r="I171" s="7">
        <v>3</v>
      </c>
      <c r="J171" s="7">
        <v>0.63</v>
      </c>
      <c r="K171" s="7">
        <v>4</v>
      </c>
      <c r="L171" s="7">
        <v>2.2000000000000002</v>
      </c>
      <c r="M171" s="7">
        <v>0.7</v>
      </c>
      <c r="N171" s="7">
        <v>0.2</v>
      </c>
      <c r="O171" s="7">
        <v>1.3</v>
      </c>
      <c r="P171" s="7">
        <v>18.399999999999999</v>
      </c>
    </row>
    <row r="172" spans="1:16" x14ac:dyDescent="0.35">
      <c r="A172" s="1" t="s">
        <v>192</v>
      </c>
      <c r="B172" s="1" t="s">
        <v>25</v>
      </c>
      <c r="C172" s="1" t="s">
        <v>36</v>
      </c>
      <c r="D172" s="7">
        <v>8</v>
      </c>
      <c r="E172" s="7">
        <v>36.299999999999997</v>
      </c>
      <c r="F172" s="7">
        <v>16.899999999999999</v>
      </c>
      <c r="G172" s="7">
        <v>0.44400000000000001</v>
      </c>
      <c r="H172" s="7">
        <v>3.1</v>
      </c>
      <c r="I172" s="7">
        <v>7.5</v>
      </c>
      <c r="J172" s="7">
        <v>0.88300000000000001</v>
      </c>
      <c r="K172" s="7">
        <v>5.0999999999999996</v>
      </c>
      <c r="L172" s="7">
        <v>10.4</v>
      </c>
      <c r="M172" s="7">
        <v>0.9</v>
      </c>
      <c r="N172" s="7">
        <v>0.8</v>
      </c>
      <c r="O172" s="7">
        <v>4.3</v>
      </c>
      <c r="P172" s="7">
        <v>24.8</v>
      </c>
    </row>
    <row r="173" spans="1:16" x14ac:dyDescent="0.35">
      <c r="A173" s="1" t="s">
        <v>193</v>
      </c>
      <c r="B173" s="1" t="s">
        <v>34</v>
      </c>
      <c r="C173" s="1" t="s">
        <v>21</v>
      </c>
      <c r="D173" s="7">
        <v>6</v>
      </c>
      <c r="E173" s="7">
        <v>8.1999999999999993</v>
      </c>
      <c r="F173" s="7">
        <v>1</v>
      </c>
      <c r="G173" s="7">
        <v>0.16700000000000001</v>
      </c>
      <c r="H173" s="7">
        <v>0.2</v>
      </c>
      <c r="I173" s="7">
        <v>0.3</v>
      </c>
      <c r="J173" s="7">
        <v>0</v>
      </c>
      <c r="K173" s="7">
        <v>0.8</v>
      </c>
      <c r="L173" s="7">
        <v>0.2</v>
      </c>
      <c r="M173" s="7">
        <v>0</v>
      </c>
      <c r="N173" s="7">
        <v>0</v>
      </c>
      <c r="O173" s="7">
        <v>0.3</v>
      </c>
      <c r="P173" s="7">
        <v>0.5</v>
      </c>
    </row>
    <row r="174" spans="1:16" x14ac:dyDescent="0.35">
      <c r="A174" s="1" t="s">
        <v>194</v>
      </c>
      <c r="B174" s="1" t="s">
        <v>46</v>
      </c>
      <c r="C174" s="1" t="s">
        <v>31</v>
      </c>
      <c r="D174" s="7">
        <v>2</v>
      </c>
      <c r="E174" s="7">
        <v>2.5</v>
      </c>
      <c r="F174" s="7">
        <v>0.5</v>
      </c>
      <c r="G174" s="7">
        <v>0</v>
      </c>
      <c r="H174" s="7">
        <v>0</v>
      </c>
      <c r="I174" s="7">
        <v>1</v>
      </c>
      <c r="J174" s="7">
        <v>1</v>
      </c>
      <c r="K174" s="7">
        <v>0</v>
      </c>
      <c r="L174" s="7">
        <v>0</v>
      </c>
      <c r="M174" s="7">
        <v>0</v>
      </c>
      <c r="N174" s="7">
        <v>0</v>
      </c>
      <c r="O174" s="7">
        <v>1</v>
      </c>
      <c r="P174" s="7">
        <v>1</v>
      </c>
    </row>
    <row r="175" spans="1:16" x14ac:dyDescent="0.35">
      <c r="A175" s="1" t="s">
        <v>195</v>
      </c>
      <c r="B175" s="1" t="s">
        <v>18</v>
      </c>
      <c r="C175" s="1" t="s">
        <v>40</v>
      </c>
      <c r="D175" s="7">
        <v>12</v>
      </c>
      <c r="E175" s="7">
        <v>24.4</v>
      </c>
      <c r="F175" s="7">
        <v>8.8000000000000007</v>
      </c>
      <c r="G175" s="7">
        <v>0.6</v>
      </c>
      <c r="H175" s="7">
        <v>0</v>
      </c>
      <c r="I175" s="7">
        <v>3.3</v>
      </c>
      <c r="J175" s="7">
        <v>0.75</v>
      </c>
      <c r="K175" s="7">
        <v>7.7</v>
      </c>
      <c r="L175" s="7">
        <v>1</v>
      </c>
      <c r="M175" s="7">
        <v>0.6</v>
      </c>
      <c r="N175" s="7">
        <v>0.5</v>
      </c>
      <c r="O175" s="7">
        <v>1.3</v>
      </c>
      <c r="P175" s="7">
        <v>13</v>
      </c>
    </row>
    <row r="176" spans="1:16" x14ac:dyDescent="0.35">
      <c r="A176" s="1" t="s">
        <v>196</v>
      </c>
      <c r="B176" s="1" t="s">
        <v>25</v>
      </c>
      <c r="C176" s="1" t="s">
        <v>59</v>
      </c>
      <c r="D176" s="7">
        <v>10</v>
      </c>
      <c r="E176" s="7">
        <v>31.7</v>
      </c>
      <c r="F176" s="7">
        <v>9.1</v>
      </c>
      <c r="G176" s="7">
        <v>0.46200000000000002</v>
      </c>
      <c r="H176" s="7">
        <v>1.1000000000000001</v>
      </c>
      <c r="I176" s="7">
        <v>1.5</v>
      </c>
      <c r="J176" s="7">
        <v>0.73299999999999998</v>
      </c>
      <c r="K176" s="7">
        <v>2.2999999999999998</v>
      </c>
      <c r="L176" s="7">
        <v>1.4</v>
      </c>
      <c r="M176" s="7">
        <v>1</v>
      </c>
      <c r="N176" s="7">
        <v>0.3</v>
      </c>
      <c r="O176" s="7">
        <v>0.8</v>
      </c>
      <c r="P176" s="7">
        <v>10.6</v>
      </c>
    </row>
    <row r="177" spans="1:16" x14ac:dyDescent="0.35">
      <c r="A177" s="1" t="s">
        <v>740</v>
      </c>
      <c r="B177" s="1" t="s">
        <v>25</v>
      </c>
      <c r="C177" s="1" t="s">
        <v>44</v>
      </c>
      <c r="D177" s="7">
        <v>1</v>
      </c>
      <c r="E177" s="7">
        <v>2</v>
      </c>
      <c r="F177" s="7">
        <v>0</v>
      </c>
      <c r="G177" s="7"/>
      <c r="H177" s="7">
        <v>0</v>
      </c>
      <c r="I177" s="7">
        <v>0</v>
      </c>
      <c r="J177" s="7"/>
      <c r="K177" s="7">
        <v>0</v>
      </c>
      <c r="L177" s="7">
        <v>0</v>
      </c>
      <c r="M177" s="7">
        <v>0</v>
      </c>
      <c r="N177" s="7">
        <v>0</v>
      </c>
      <c r="O177" s="7">
        <v>0</v>
      </c>
      <c r="P177" s="7">
        <v>0</v>
      </c>
    </row>
    <row r="178" spans="1:16" x14ac:dyDescent="0.35">
      <c r="A178" s="1" t="s">
        <v>197</v>
      </c>
      <c r="B178" s="1" t="s">
        <v>34</v>
      </c>
      <c r="C178" s="1" t="s">
        <v>30</v>
      </c>
      <c r="D178" s="7">
        <v>12</v>
      </c>
      <c r="E178" s="7">
        <v>29.2</v>
      </c>
      <c r="F178" s="7">
        <v>10.6</v>
      </c>
      <c r="G178" s="7">
        <v>0.52800000000000002</v>
      </c>
      <c r="H178" s="7">
        <v>2.9</v>
      </c>
      <c r="I178" s="7">
        <v>0.7</v>
      </c>
      <c r="J178" s="7">
        <v>0.5</v>
      </c>
      <c r="K178" s="7">
        <v>3.8</v>
      </c>
      <c r="L178" s="7">
        <v>2.1</v>
      </c>
      <c r="M178" s="7">
        <v>0.8</v>
      </c>
      <c r="N178" s="7">
        <v>0.3</v>
      </c>
      <c r="O178" s="7">
        <v>1.1000000000000001</v>
      </c>
      <c r="P178" s="7">
        <v>14.4</v>
      </c>
    </row>
    <row r="179" spans="1:16" x14ac:dyDescent="0.35">
      <c r="A179" s="1" t="s">
        <v>198</v>
      </c>
      <c r="B179" s="1" t="s">
        <v>15</v>
      </c>
      <c r="C179" s="1" t="s">
        <v>80</v>
      </c>
      <c r="D179" s="7">
        <v>9</v>
      </c>
      <c r="E179" s="7">
        <v>32.9</v>
      </c>
      <c r="F179" s="7">
        <v>14.9</v>
      </c>
      <c r="G179" s="7">
        <v>0.50700000000000001</v>
      </c>
      <c r="H179" s="7">
        <v>2.2999999999999998</v>
      </c>
      <c r="I179" s="7">
        <v>1.9</v>
      </c>
      <c r="J179" s="7">
        <v>0.82399999999999995</v>
      </c>
      <c r="K179" s="7">
        <v>7.9</v>
      </c>
      <c r="L179" s="7">
        <v>3.1</v>
      </c>
      <c r="M179" s="7">
        <v>1.1000000000000001</v>
      </c>
      <c r="N179" s="7">
        <v>1</v>
      </c>
      <c r="O179" s="7">
        <v>2.2000000000000002</v>
      </c>
      <c r="P179" s="7">
        <v>19</v>
      </c>
    </row>
    <row r="180" spans="1:16" x14ac:dyDescent="0.35">
      <c r="A180" s="1" t="s">
        <v>199</v>
      </c>
      <c r="B180" s="1" t="s">
        <v>25</v>
      </c>
      <c r="C180" s="1" t="s">
        <v>79</v>
      </c>
      <c r="D180" s="7">
        <v>5</v>
      </c>
      <c r="E180" s="7">
        <v>4.4000000000000004</v>
      </c>
      <c r="F180" s="7">
        <v>1.4</v>
      </c>
      <c r="G180" s="7">
        <v>0.57099999999999995</v>
      </c>
      <c r="H180" s="7">
        <v>0</v>
      </c>
      <c r="I180" s="7">
        <v>0.4</v>
      </c>
      <c r="J180" s="7">
        <v>0.5</v>
      </c>
      <c r="K180" s="7">
        <v>0.2</v>
      </c>
      <c r="L180" s="7">
        <v>0.8</v>
      </c>
      <c r="M180" s="7">
        <v>0.4</v>
      </c>
      <c r="N180" s="7">
        <v>0</v>
      </c>
      <c r="O180" s="7">
        <v>0.6</v>
      </c>
      <c r="P180" s="7">
        <v>1.8</v>
      </c>
    </row>
    <row r="181" spans="1:16" x14ac:dyDescent="0.35">
      <c r="A181" s="1" t="s">
        <v>200</v>
      </c>
      <c r="B181" s="1" t="s">
        <v>34</v>
      </c>
      <c r="C181" s="1" t="s">
        <v>26</v>
      </c>
      <c r="D181" s="7">
        <v>9</v>
      </c>
      <c r="E181" s="7">
        <v>28.1</v>
      </c>
      <c r="F181" s="7">
        <v>6.3</v>
      </c>
      <c r="G181" s="7">
        <v>0.42099999999999999</v>
      </c>
      <c r="H181" s="7">
        <v>1.4</v>
      </c>
      <c r="I181" s="7">
        <v>2.2999999999999998</v>
      </c>
      <c r="J181" s="7">
        <v>0.71399999999999997</v>
      </c>
      <c r="K181" s="7">
        <v>8.4</v>
      </c>
      <c r="L181" s="7">
        <v>1.2</v>
      </c>
      <c r="M181" s="7">
        <v>1</v>
      </c>
      <c r="N181" s="7">
        <v>0.1</v>
      </c>
      <c r="O181" s="7">
        <v>0.9</v>
      </c>
      <c r="P181" s="7">
        <v>8.4</v>
      </c>
    </row>
    <row r="182" spans="1:16" x14ac:dyDescent="0.35">
      <c r="A182" s="1" t="s">
        <v>201</v>
      </c>
      <c r="B182" s="1" t="s">
        <v>18</v>
      </c>
      <c r="C182" s="1" t="s">
        <v>59</v>
      </c>
      <c r="D182" s="7">
        <v>9</v>
      </c>
      <c r="E182" s="7">
        <v>9.9</v>
      </c>
      <c r="F182" s="7">
        <v>3.7</v>
      </c>
      <c r="G182" s="7">
        <v>0.54500000000000004</v>
      </c>
      <c r="H182" s="7">
        <v>0</v>
      </c>
      <c r="I182" s="7">
        <v>1.7</v>
      </c>
      <c r="J182" s="7">
        <v>0.53300000000000003</v>
      </c>
      <c r="K182" s="7">
        <v>3.3</v>
      </c>
      <c r="L182" s="7">
        <v>0.8</v>
      </c>
      <c r="M182" s="7">
        <v>0.4</v>
      </c>
      <c r="N182" s="7">
        <v>0.9</v>
      </c>
      <c r="O182" s="7">
        <v>1.2</v>
      </c>
      <c r="P182" s="7">
        <v>4.9000000000000004</v>
      </c>
    </row>
    <row r="183" spans="1:16" x14ac:dyDescent="0.35">
      <c r="A183" s="1" t="s">
        <v>203</v>
      </c>
      <c r="B183" s="1" t="s">
        <v>18</v>
      </c>
      <c r="C183" s="1" t="s">
        <v>26</v>
      </c>
      <c r="D183" s="7">
        <v>9</v>
      </c>
      <c r="E183" s="7">
        <v>11.1</v>
      </c>
      <c r="F183" s="7">
        <v>1.9</v>
      </c>
      <c r="G183" s="7">
        <v>0.52900000000000003</v>
      </c>
      <c r="H183" s="7">
        <v>0</v>
      </c>
      <c r="I183" s="7">
        <v>1</v>
      </c>
      <c r="J183" s="7">
        <v>0.77800000000000002</v>
      </c>
      <c r="K183" s="7">
        <v>3.6</v>
      </c>
      <c r="L183" s="7">
        <v>0.6</v>
      </c>
      <c r="M183" s="7">
        <v>0.2</v>
      </c>
      <c r="N183" s="7">
        <v>0.6</v>
      </c>
      <c r="O183" s="7">
        <v>0.7</v>
      </c>
      <c r="P183" s="7">
        <v>2.8</v>
      </c>
    </row>
    <row r="184" spans="1:16" x14ac:dyDescent="0.35">
      <c r="A184" s="1" t="s">
        <v>668</v>
      </c>
      <c r="B184" s="1" t="s">
        <v>46</v>
      </c>
      <c r="C184" s="1" t="s">
        <v>82</v>
      </c>
      <c r="D184" s="7">
        <v>7</v>
      </c>
      <c r="E184" s="7">
        <v>21.1</v>
      </c>
      <c r="F184" s="7">
        <v>6.7</v>
      </c>
      <c r="G184" s="7">
        <v>0.27700000000000002</v>
      </c>
      <c r="H184" s="7">
        <v>0.7</v>
      </c>
      <c r="I184" s="7">
        <v>0.3</v>
      </c>
      <c r="J184" s="7">
        <v>0.5</v>
      </c>
      <c r="K184" s="7">
        <v>1.1000000000000001</v>
      </c>
      <c r="L184" s="7">
        <v>3.6</v>
      </c>
      <c r="M184" s="7">
        <v>0.3</v>
      </c>
      <c r="N184" s="7">
        <v>0</v>
      </c>
      <c r="O184" s="7">
        <v>2.4</v>
      </c>
      <c r="P184" s="7">
        <v>4.5999999999999996</v>
      </c>
    </row>
    <row r="185" spans="1:16" x14ac:dyDescent="0.35">
      <c r="A185" s="1" t="s">
        <v>204</v>
      </c>
      <c r="B185" s="1" t="s">
        <v>34</v>
      </c>
      <c r="C185" s="1" t="s">
        <v>54</v>
      </c>
      <c r="D185" s="7">
        <v>11</v>
      </c>
      <c r="E185" s="7">
        <v>34.799999999999997</v>
      </c>
      <c r="F185" s="7">
        <v>16.600000000000001</v>
      </c>
      <c r="G185" s="7">
        <v>0.503</v>
      </c>
      <c r="H185" s="7">
        <v>2.1</v>
      </c>
      <c r="I185" s="7">
        <v>4</v>
      </c>
      <c r="J185" s="7">
        <v>0.93200000000000005</v>
      </c>
      <c r="K185" s="7">
        <v>5.2</v>
      </c>
      <c r="L185" s="7">
        <v>4</v>
      </c>
      <c r="M185" s="7">
        <v>1.4</v>
      </c>
      <c r="N185" s="7">
        <v>0.4</v>
      </c>
      <c r="O185" s="7">
        <v>2.2999999999999998</v>
      </c>
      <c r="P185" s="7">
        <v>22.5</v>
      </c>
    </row>
    <row r="186" spans="1:16" x14ac:dyDescent="0.35">
      <c r="A186" s="1" t="s">
        <v>605</v>
      </c>
      <c r="B186" s="1" t="s">
        <v>15</v>
      </c>
      <c r="C186" s="1" t="s">
        <v>61</v>
      </c>
      <c r="D186" s="7">
        <v>10</v>
      </c>
      <c r="E186" s="7">
        <v>19.5</v>
      </c>
      <c r="F186" s="7">
        <v>6.1</v>
      </c>
      <c r="G186" s="7">
        <v>0.41</v>
      </c>
      <c r="H186" s="7">
        <v>1.1000000000000001</v>
      </c>
      <c r="I186" s="7">
        <v>1</v>
      </c>
      <c r="J186" s="7">
        <v>0.7</v>
      </c>
      <c r="K186" s="7">
        <v>5</v>
      </c>
      <c r="L186" s="7">
        <v>0.6</v>
      </c>
      <c r="M186" s="7">
        <v>0.5</v>
      </c>
      <c r="N186" s="7">
        <v>0.2</v>
      </c>
      <c r="O186" s="7">
        <v>0.4</v>
      </c>
      <c r="P186" s="7">
        <v>6.8</v>
      </c>
    </row>
    <row r="187" spans="1:16" x14ac:dyDescent="0.35">
      <c r="A187" s="1" t="s">
        <v>606</v>
      </c>
      <c r="B187" s="1" t="s">
        <v>18</v>
      </c>
      <c r="C187" s="1" t="s">
        <v>26</v>
      </c>
      <c r="D187" s="7">
        <v>1</v>
      </c>
      <c r="E187" s="7">
        <v>7</v>
      </c>
      <c r="F187" s="7">
        <v>1</v>
      </c>
      <c r="G187" s="7">
        <v>0</v>
      </c>
      <c r="H187" s="7">
        <v>0</v>
      </c>
      <c r="I187" s="7">
        <v>4</v>
      </c>
      <c r="J187" s="7">
        <v>0.25</v>
      </c>
      <c r="K187" s="7">
        <v>4</v>
      </c>
      <c r="L187" s="7">
        <v>1</v>
      </c>
      <c r="M187" s="7">
        <v>0</v>
      </c>
      <c r="N187" s="7">
        <v>0</v>
      </c>
      <c r="O187" s="7">
        <v>0</v>
      </c>
      <c r="P187" s="7">
        <v>1</v>
      </c>
    </row>
    <row r="188" spans="1:16" x14ac:dyDescent="0.35">
      <c r="A188" s="1" t="s">
        <v>207</v>
      </c>
      <c r="B188" s="1" t="s">
        <v>25</v>
      </c>
      <c r="C188" s="1" t="s">
        <v>21</v>
      </c>
      <c r="D188" s="7">
        <v>9</v>
      </c>
      <c r="E188" s="7">
        <v>33.9</v>
      </c>
      <c r="F188" s="7">
        <v>14.1</v>
      </c>
      <c r="G188" s="7">
        <v>0.47199999999999998</v>
      </c>
      <c r="H188" s="7">
        <v>1.7</v>
      </c>
      <c r="I188" s="7">
        <v>3.4</v>
      </c>
      <c r="J188" s="7">
        <v>0.77400000000000002</v>
      </c>
      <c r="K188" s="7">
        <v>6.8</v>
      </c>
      <c r="L188" s="7">
        <v>3.9</v>
      </c>
      <c r="M188" s="7">
        <v>0.3</v>
      </c>
      <c r="N188" s="7">
        <v>0.1</v>
      </c>
      <c r="O188" s="7">
        <v>2.8</v>
      </c>
      <c r="P188" s="7">
        <v>17.7</v>
      </c>
    </row>
    <row r="189" spans="1:16" x14ac:dyDescent="0.35">
      <c r="A189" s="1" t="s">
        <v>210</v>
      </c>
      <c r="B189" s="1" t="s">
        <v>25</v>
      </c>
      <c r="C189" s="1" t="s">
        <v>49</v>
      </c>
      <c r="D189" s="7">
        <v>11</v>
      </c>
      <c r="E189" s="7">
        <v>34</v>
      </c>
      <c r="F189" s="7">
        <v>13.8</v>
      </c>
      <c r="G189" s="7">
        <v>0.36199999999999999</v>
      </c>
      <c r="H189" s="7">
        <v>3.5</v>
      </c>
      <c r="I189" s="7">
        <v>1.5</v>
      </c>
      <c r="J189" s="7">
        <v>0.81299999999999994</v>
      </c>
      <c r="K189" s="7">
        <v>4.2</v>
      </c>
      <c r="L189" s="7">
        <v>2.7</v>
      </c>
      <c r="M189" s="7">
        <v>0.6</v>
      </c>
      <c r="N189" s="7">
        <v>0.4</v>
      </c>
      <c r="O189" s="7">
        <v>1.8</v>
      </c>
      <c r="P189" s="7">
        <v>14.7</v>
      </c>
    </row>
    <row r="190" spans="1:16" x14ac:dyDescent="0.35">
      <c r="A190" s="1" t="s">
        <v>211</v>
      </c>
      <c r="B190" s="1" t="s">
        <v>46</v>
      </c>
      <c r="C190" s="1" t="s">
        <v>19</v>
      </c>
      <c r="D190" s="7">
        <v>9</v>
      </c>
      <c r="E190" s="7">
        <v>26</v>
      </c>
      <c r="F190" s="7">
        <v>8.3000000000000007</v>
      </c>
      <c r="G190" s="7">
        <v>0.50700000000000001</v>
      </c>
      <c r="H190" s="7">
        <v>1.7</v>
      </c>
      <c r="I190" s="7">
        <v>2</v>
      </c>
      <c r="J190" s="7">
        <v>0.88900000000000001</v>
      </c>
      <c r="K190" s="7">
        <v>2.2000000000000002</v>
      </c>
      <c r="L190" s="7">
        <v>3.7</v>
      </c>
      <c r="M190" s="7">
        <v>0.9</v>
      </c>
      <c r="N190" s="7">
        <v>0.2</v>
      </c>
      <c r="O190" s="7">
        <v>1</v>
      </c>
      <c r="P190" s="7">
        <v>11.9</v>
      </c>
    </row>
    <row r="191" spans="1:16" x14ac:dyDescent="0.35">
      <c r="A191" s="1" t="s">
        <v>212</v>
      </c>
      <c r="B191" s="1" t="s">
        <v>15</v>
      </c>
      <c r="C191" s="1" t="s">
        <v>70</v>
      </c>
      <c r="D191" s="7">
        <v>10</v>
      </c>
      <c r="E191" s="7">
        <v>17.600000000000001</v>
      </c>
      <c r="F191" s="7">
        <v>4.9000000000000004</v>
      </c>
      <c r="G191" s="7">
        <v>0.36699999999999999</v>
      </c>
      <c r="H191" s="7">
        <v>1.6</v>
      </c>
      <c r="I191" s="7">
        <v>0.3</v>
      </c>
      <c r="J191" s="7">
        <v>1</v>
      </c>
      <c r="K191" s="7">
        <v>2.9</v>
      </c>
      <c r="L191" s="7">
        <v>0.6</v>
      </c>
      <c r="M191" s="7">
        <v>0.6</v>
      </c>
      <c r="N191" s="7">
        <v>0.4</v>
      </c>
      <c r="O191" s="7">
        <v>0.6</v>
      </c>
      <c r="P191" s="7">
        <v>5.5</v>
      </c>
    </row>
    <row r="192" spans="1:16" x14ac:dyDescent="0.35">
      <c r="A192" s="1" t="s">
        <v>741</v>
      </c>
      <c r="B192" s="1" t="s">
        <v>25</v>
      </c>
      <c r="C192" s="1" t="s">
        <v>56</v>
      </c>
      <c r="D192" s="7">
        <v>1</v>
      </c>
      <c r="E192" s="7">
        <v>0</v>
      </c>
      <c r="F192" s="7">
        <v>1</v>
      </c>
      <c r="G192" s="7">
        <v>0</v>
      </c>
      <c r="H192" s="7">
        <v>0</v>
      </c>
      <c r="I192" s="7">
        <v>0</v>
      </c>
      <c r="J192" s="7"/>
      <c r="K192" s="7">
        <v>0</v>
      </c>
      <c r="L192" s="7">
        <v>0</v>
      </c>
      <c r="M192" s="7">
        <v>0</v>
      </c>
      <c r="N192" s="7">
        <v>0</v>
      </c>
      <c r="O192" s="7">
        <v>0</v>
      </c>
      <c r="P192" s="7">
        <v>0</v>
      </c>
    </row>
    <row r="193" spans="1:16" x14ac:dyDescent="0.35">
      <c r="A193" s="1" t="s">
        <v>214</v>
      </c>
      <c r="B193" s="1" t="s">
        <v>46</v>
      </c>
      <c r="C193" s="1" t="s">
        <v>75</v>
      </c>
      <c r="D193" s="7">
        <v>11</v>
      </c>
      <c r="E193" s="7">
        <v>21.4</v>
      </c>
      <c r="F193" s="7">
        <v>6.9</v>
      </c>
      <c r="G193" s="7">
        <v>0.35499999999999998</v>
      </c>
      <c r="H193" s="7">
        <v>0.9</v>
      </c>
      <c r="I193" s="7">
        <v>0.5</v>
      </c>
      <c r="J193" s="7">
        <v>0.83299999999999996</v>
      </c>
      <c r="K193" s="7">
        <v>1.5</v>
      </c>
      <c r="L193" s="7">
        <v>2.5</v>
      </c>
      <c r="M193" s="7">
        <v>1.1000000000000001</v>
      </c>
      <c r="N193" s="7">
        <v>0.2</v>
      </c>
      <c r="O193" s="7">
        <v>0.7</v>
      </c>
      <c r="P193" s="7">
        <v>6.3</v>
      </c>
    </row>
    <row r="194" spans="1:16" x14ac:dyDescent="0.35">
      <c r="A194" s="1" t="s">
        <v>215</v>
      </c>
      <c r="B194" s="1" t="s">
        <v>46</v>
      </c>
      <c r="C194" s="1" t="s">
        <v>38</v>
      </c>
      <c r="D194" s="7">
        <v>11</v>
      </c>
      <c r="E194" s="7">
        <v>31.1</v>
      </c>
      <c r="F194" s="7">
        <v>11.8</v>
      </c>
      <c r="G194" s="7">
        <v>0.47699999999999998</v>
      </c>
      <c r="H194" s="7">
        <v>1.6</v>
      </c>
      <c r="I194" s="7">
        <v>2</v>
      </c>
      <c r="J194" s="7">
        <v>0.86399999999999999</v>
      </c>
      <c r="K194" s="7">
        <v>4.2</v>
      </c>
      <c r="L194" s="7">
        <v>5</v>
      </c>
      <c r="M194" s="7">
        <v>2.1</v>
      </c>
      <c r="N194" s="7">
        <v>0.6</v>
      </c>
      <c r="O194" s="7">
        <v>1.5</v>
      </c>
      <c r="P194" s="7">
        <v>14.6</v>
      </c>
    </row>
    <row r="195" spans="1:16" x14ac:dyDescent="0.35">
      <c r="A195" s="1" t="s">
        <v>216</v>
      </c>
      <c r="B195" s="1" t="s">
        <v>25</v>
      </c>
      <c r="C195" s="1" t="s">
        <v>75</v>
      </c>
      <c r="D195" s="7">
        <v>11</v>
      </c>
      <c r="E195" s="7">
        <v>29.7</v>
      </c>
      <c r="F195" s="7">
        <v>7.2</v>
      </c>
      <c r="G195" s="7">
        <v>0.51900000000000002</v>
      </c>
      <c r="H195" s="7">
        <v>1.7</v>
      </c>
      <c r="I195" s="7">
        <v>2</v>
      </c>
      <c r="J195" s="7">
        <v>0.72699999999999998</v>
      </c>
      <c r="K195" s="7">
        <v>3.6</v>
      </c>
      <c r="L195" s="7">
        <v>1.2</v>
      </c>
      <c r="M195" s="7">
        <v>1.2</v>
      </c>
      <c r="N195" s="7">
        <v>0.3</v>
      </c>
      <c r="O195" s="7">
        <v>1</v>
      </c>
      <c r="P195" s="7">
        <v>10.6</v>
      </c>
    </row>
    <row r="196" spans="1:16" x14ac:dyDescent="0.35">
      <c r="A196" s="1" t="s">
        <v>218</v>
      </c>
      <c r="B196" s="1" t="s">
        <v>18</v>
      </c>
      <c r="C196" s="1" t="s">
        <v>49</v>
      </c>
      <c r="D196" s="7">
        <v>10</v>
      </c>
      <c r="E196" s="7">
        <v>28.1</v>
      </c>
      <c r="F196" s="7">
        <v>8.3000000000000007</v>
      </c>
      <c r="G196" s="7">
        <v>0.67500000000000004</v>
      </c>
      <c r="H196" s="7">
        <v>0.1</v>
      </c>
      <c r="I196" s="7">
        <v>2.2999999999999998</v>
      </c>
      <c r="J196" s="7">
        <v>0.82599999999999996</v>
      </c>
      <c r="K196" s="7">
        <v>7.7</v>
      </c>
      <c r="L196" s="7">
        <v>1.7</v>
      </c>
      <c r="M196" s="7">
        <v>1.1000000000000001</v>
      </c>
      <c r="N196" s="7">
        <v>1.5</v>
      </c>
      <c r="O196" s="7">
        <v>1.4</v>
      </c>
      <c r="P196" s="7">
        <v>13.2</v>
      </c>
    </row>
    <row r="197" spans="1:16" x14ac:dyDescent="0.35">
      <c r="A197" s="1" t="s">
        <v>219</v>
      </c>
      <c r="B197" s="1" t="s">
        <v>34</v>
      </c>
      <c r="C197" s="1" t="s">
        <v>43</v>
      </c>
      <c r="D197" s="7">
        <v>8</v>
      </c>
      <c r="E197" s="7">
        <v>13.8</v>
      </c>
      <c r="F197" s="7">
        <v>3.4</v>
      </c>
      <c r="G197" s="7">
        <v>0.222</v>
      </c>
      <c r="H197" s="7">
        <v>0.4</v>
      </c>
      <c r="I197" s="7">
        <v>0</v>
      </c>
      <c r="J197" s="7"/>
      <c r="K197" s="7">
        <v>1.3</v>
      </c>
      <c r="L197" s="7">
        <v>1.8</v>
      </c>
      <c r="M197" s="7">
        <v>0.8</v>
      </c>
      <c r="N197" s="7">
        <v>0.1</v>
      </c>
      <c r="O197" s="7">
        <v>0.8</v>
      </c>
      <c r="P197" s="7">
        <v>1.9</v>
      </c>
    </row>
    <row r="198" spans="1:16" x14ac:dyDescent="0.35">
      <c r="A198" s="1" t="s">
        <v>220</v>
      </c>
      <c r="B198" s="1" t="s">
        <v>18</v>
      </c>
      <c r="C198" s="1" t="s">
        <v>19</v>
      </c>
      <c r="D198" s="7">
        <v>9</v>
      </c>
      <c r="E198" s="7">
        <v>27.1</v>
      </c>
      <c r="F198" s="7">
        <v>10.9</v>
      </c>
      <c r="G198" s="7">
        <v>0.41799999999999998</v>
      </c>
      <c r="H198" s="7">
        <v>1.8</v>
      </c>
      <c r="I198" s="7">
        <v>0.4</v>
      </c>
      <c r="J198" s="7">
        <v>0.5</v>
      </c>
      <c r="K198" s="7">
        <v>7.1</v>
      </c>
      <c r="L198" s="7">
        <v>2.4</v>
      </c>
      <c r="M198" s="7">
        <v>0.3</v>
      </c>
      <c r="N198" s="7">
        <v>0.8</v>
      </c>
      <c r="O198" s="7">
        <v>0.9</v>
      </c>
      <c r="P198" s="7">
        <v>11.1</v>
      </c>
    </row>
    <row r="199" spans="1:16" x14ac:dyDescent="0.35">
      <c r="A199" s="1" t="s">
        <v>221</v>
      </c>
      <c r="B199" s="1" t="s">
        <v>25</v>
      </c>
      <c r="C199" s="1" t="s">
        <v>40</v>
      </c>
      <c r="D199" s="7">
        <v>11</v>
      </c>
      <c r="E199" s="7">
        <v>16.899999999999999</v>
      </c>
      <c r="F199" s="7">
        <v>6.5</v>
      </c>
      <c r="G199" s="7">
        <v>0.44400000000000001</v>
      </c>
      <c r="H199" s="7">
        <v>0.7</v>
      </c>
      <c r="I199" s="7">
        <v>1.5</v>
      </c>
      <c r="J199" s="7">
        <v>0.81299999999999994</v>
      </c>
      <c r="K199" s="7">
        <v>2.5</v>
      </c>
      <c r="L199" s="7">
        <v>2</v>
      </c>
      <c r="M199" s="7">
        <v>1</v>
      </c>
      <c r="N199" s="7">
        <v>0.5</v>
      </c>
      <c r="O199" s="7">
        <v>1.1000000000000001</v>
      </c>
      <c r="P199" s="7">
        <v>7.7</v>
      </c>
    </row>
    <row r="200" spans="1:16" x14ac:dyDescent="0.35">
      <c r="A200" s="1" t="s">
        <v>222</v>
      </c>
      <c r="B200" s="1" t="s">
        <v>34</v>
      </c>
      <c r="C200" s="1" t="s">
        <v>36</v>
      </c>
      <c r="D200" s="7">
        <v>4</v>
      </c>
      <c r="E200" s="7">
        <v>32.5</v>
      </c>
      <c r="F200" s="7">
        <v>6.8</v>
      </c>
      <c r="G200" s="7">
        <v>0.37</v>
      </c>
      <c r="H200" s="7">
        <v>0.8</v>
      </c>
      <c r="I200" s="7">
        <v>2.5</v>
      </c>
      <c r="J200" s="7">
        <v>0.7</v>
      </c>
      <c r="K200" s="7">
        <v>4.5</v>
      </c>
      <c r="L200" s="7">
        <v>2.2999999999999998</v>
      </c>
      <c r="M200" s="7">
        <v>0.3</v>
      </c>
      <c r="N200" s="7">
        <v>0.3</v>
      </c>
      <c r="O200" s="7">
        <v>0.3</v>
      </c>
      <c r="P200" s="7">
        <v>7.5</v>
      </c>
    </row>
    <row r="201" spans="1:16" x14ac:dyDescent="0.35">
      <c r="A201" s="1" t="s">
        <v>223</v>
      </c>
      <c r="B201" s="1" t="s">
        <v>18</v>
      </c>
      <c r="C201" s="1" t="s">
        <v>80</v>
      </c>
      <c r="D201" s="7">
        <v>12</v>
      </c>
      <c r="E201" s="7">
        <v>16.3</v>
      </c>
      <c r="F201" s="7">
        <v>4.0999999999999996</v>
      </c>
      <c r="G201" s="7">
        <v>0.67300000000000004</v>
      </c>
      <c r="H201" s="7">
        <v>0.3</v>
      </c>
      <c r="I201" s="7">
        <v>1.8</v>
      </c>
      <c r="J201" s="7">
        <v>0.54500000000000004</v>
      </c>
      <c r="K201" s="7">
        <v>7.3</v>
      </c>
      <c r="L201" s="7">
        <v>0.8</v>
      </c>
      <c r="M201" s="7">
        <v>0.2</v>
      </c>
      <c r="N201" s="7">
        <v>0.7</v>
      </c>
      <c r="O201" s="7">
        <v>1.8</v>
      </c>
      <c r="P201" s="7">
        <v>6.8</v>
      </c>
    </row>
    <row r="202" spans="1:16" x14ac:dyDescent="0.35">
      <c r="A202" s="1" t="s">
        <v>697</v>
      </c>
      <c r="B202" s="1" t="s">
        <v>25</v>
      </c>
      <c r="C202" s="1" t="s">
        <v>59</v>
      </c>
      <c r="D202" s="7">
        <v>5</v>
      </c>
      <c r="E202" s="7">
        <v>1.4</v>
      </c>
      <c r="F202" s="7">
        <v>1</v>
      </c>
      <c r="G202" s="7">
        <v>0.2</v>
      </c>
      <c r="H202" s="7">
        <v>0</v>
      </c>
      <c r="I202" s="7">
        <v>0</v>
      </c>
      <c r="J202" s="7"/>
      <c r="K202" s="7">
        <v>0</v>
      </c>
      <c r="L202" s="7">
        <v>0.2</v>
      </c>
      <c r="M202" s="7">
        <v>0</v>
      </c>
      <c r="N202" s="7">
        <v>0</v>
      </c>
      <c r="O202" s="7">
        <v>0</v>
      </c>
      <c r="P202" s="7">
        <v>0.4</v>
      </c>
    </row>
    <row r="203" spans="1:16" x14ac:dyDescent="0.35">
      <c r="A203" s="1" t="s">
        <v>224</v>
      </c>
      <c r="B203" s="1" t="s">
        <v>25</v>
      </c>
      <c r="C203" s="1" t="s">
        <v>70</v>
      </c>
      <c r="D203" s="7">
        <v>10</v>
      </c>
      <c r="E203" s="7">
        <v>27.2</v>
      </c>
      <c r="F203" s="7">
        <v>10.4</v>
      </c>
      <c r="G203" s="7">
        <v>0.42299999999999999</v>
      </c>
      <c r="H203" s="7">
        <v>2.2999999999999998</v>
      </c>
      <c r="I203" s="7">
        <v>0.8</v>
      </c>
      <c r="J203" s="7">
        <v>0.875</v>
      </c>
      <c r="K203" s="7">
        <v>3.6</v>
      </c>
      <c r="L203" s="7">
        <v>3.3</v>
      </c>
      <c r="M203" s="7">
        <v>1.1000000000000001</v>
      </c>
      <c r="N203" s="7">
        <v>0.1</v>
      </c>
      <c r="O203" s="7">
        <v>1.1000000000000001</v>
      </c>
      <c r="P203" s="7">
        <v>11.8</v>
      </c>
    </row>
    <row r="204" spans="1:16" x14ac:dyDescent="0.35">
      <c r="A204" s="1" t="s">
        <v>698</v>
      </c>
      <c r="B204" s="1" t="s">
        <v>34</v>
      </c>
      <c r="C204" s="1" t="s">
        <v>79</v>
      </c>
      <c r="D204" s="7">
        <v>5</v>
      </c>
      <c r="E204" s="7">
        <v>4.4000000000000004</v>
      </c>
      <c r="F204" s="7">
        <v>2.8</v>
      </c>
      <c r="G204" s="7">
        <v>0.28599999999999998</v>
      </c>
      <c r="H204" s="7">
        <v>0.6</v>
      </c>
      <c r="I204" s="7">
        <v>0.8</v>
      </c>
      <c r="J204" s="7">
        <v>0.75</v>
      </c>
      <c r="K204" s="7">
        <v>0.8</v>
      </c>
      <c r="L204" s="7">
        <v>0.4</v>
      </c>
      <c r="M204" s="7">
        <v>0.2</v>
      </c>
      <c r="N204" s="7">
        <v>0.2</v>
      </c>
      <c r="O204" s="7">
        <v>0.6</v>
      </c>
      <c r="P204" s="7">
        <v>2.8</v>
      </c>
    </row>
    <row r="205" spans="1:16" x14ac:dyDescent="0.35">
      <c r="A205" s="1" t="s">
        <v>225</v>
      </c>
      <c r="B205" s="1" t="s">
        <v>34</v>
      </c>
      <c r="C205" s="1" t="s">
        <v>70</v>
      </c>
      <c r="D205" s="7">
        <v>10</v>
      </c>
      <c r="E205" s="7">
        <v>31.6</v>
      </c>
      <c r="F205" s="7">
        <v>11</v>
      </c>
      <c r="G205" s="7">
        <v>0.51800000000000002</v>
      </c>
      <c r="H205" s="7">
        <v>2</v>
      </c>
      <c r="I205" s="7">
        <v>3.4</v>
      </c>
      <c r="J205" s="7">
        <v>0.85299999999999998</v>
      </c>
      <c r="K205" s="7">
        <v>6.8</v>
      </c>
      <c r="L205" s="7">
        <v>2.1</v>
      </c>
      <c r="M205" s="7">
        <v>0.6</v>
      </c>
      <c r="N205" s="7">
        <v>0.6</v>
      </c>
      <c r="O205" s="7">
        <v>1</v>
      </c>
      <c r="P205" s="7">
        <v>16.3</v>
      </c>
    </row>
    <row r="206" spans="1:16" x14ac:dyDescent="0.35">
      <c r="A206" s="1" t="s">
        <v>226</v>
      </c>
      <c r="B206" s="1" t="s">
        <v>34</v>
      </c>
      <c r="C206" s="1" t="s">
        <v>47</v>
      </c>
      <c r="D206" s="7">
        <v>4</v>
      </c>
      <c r="E206" s="7">
        <v>13</v>
      </c>
      <c r="F206" s="7">
        <v>4</v>
      </c>
      <c r="G206" s="7">
        <v>0.313</v>
      </c>
      <c r="H206" s="7">
        <v>0.3</v>
      </c>
      <c r="I206" s="7">
        <v>0.5</v>
      </c>
      <c r="J206" s="7">
        <v>1</v>
      </c>
      <c r="K206" s="7">
        <v>4.3</v>
      </c>
      <c r="L206" s="7">
        <v>1</v>
      </c>
      <c r="M206" s="7">
        <v>0.3</v>
      </c>
      <c r="N206" s="7">
        <v>0</v>
      </c>
      <c r="O206" s="7">
        <v>0.8</v>
      </c>
      <c r="P206" s="7">
        <v>3.3</v>
      </c>
    </row>
    <row r="207" spans="1:16" x14ac:dyDescent="0.35">
      <c r="A207" s="1" t="s">
        <v>227</v>
      </c>
      <c r="B207" s="1" t="s">
        <v>18</v>
      </c>
      <c r="C207" s="1" t="s">
        <v>72</v>
      </c>
      <c r="D207" s="7">
        <v>11</v>
      </c>
      <c r="E207" s="7">
        <v>25.5</v>
      </c>
      <c r="F207" s="7">
        <v>10</v>
      </c>
      <c r="G207" s="7">
        <v>0.5</v>
      </c>
      <c r="H207" s="7">
        <v>1.1000000000000001</v>
      </c>
      <c r="I207" s="7">
        <v>1.5</v>
      </c>
      <c r="J207" s="7">
        <v>0.76500000000000001</v>
      </c>
      <c r="K207" s="7">
        <v>6.8</v>
      </c>
      <c r="L207" s="7">
        <v>1.5</v>
      </c>
      <c r="M207" s="7">
        <v>0.3</v>
      </c>
      <c r="N207" s="7">
        <v>1.1000000000000001</v>
      </c>
      <c r="O207" s="7">
        <v>1.3</v>
      </c>
      <c r="P207" s="7">
        <v>12.3</v>
      </c>
    </row>
    <row r="208" spans="1:16" x14ac:dyDescent="0.35">
      <c r="A208" s="1" t="s">
        <v>451</v>
      </c>
      <c r="B208" s="1" t="s">
        <v>34</v>
      </c>
      <c r="C208" s="1" t="s">
        <v>21</v>
      </c>
      <c r="D208" s="7">
        <v>8</v>
      </c>
      <c r="E208" s="7">
        <v>18.399999999999999</v>
      </c>
      <c r="F208" s="7">
        <v>4.8</v>
      </c>
      <c r="G208" s="7">
        <v>0.34200000000000003</v>
      </c>
      <c r="H208" s="7">
        <v>1.4</v>
      </c>
      <c r="I208" s="7">
        <v>0</v>
      </c>
      <c r="J208" s="7"/>
      <c r="K208" s="7">
        <v>3.1</v>
      </c>
      <c r="L208" s="7">
        <v>2</v>
      </c>
      <c r="M208" s="7">
        <v>0.6</v>
      </c>
      <c r="N208" s="7">
        <v>0.4</v>
      </c>
      <c r="O208" s="7">
        <v>1</v>
      </c>
      <c r="P208" s="7">
        <v>4.5999999999999996</v>
      </c>
    </row>
    <row r="209" spans="1:16" x14ac:dyDescent="0.35">
      <c r="A209" s="1" t="s">
        <v>228</v>
      </c>
      <c r="B209" s="1" t="s">
        <v>34</v>
      </c>
      <c r="C209" s="1" t="s">
        <v>79</v>
      </c>
      <c r="D209" s="7">
        <v>9</v>
      </c>
      <c r="E209" s="7">
        <v>25.9</v>
      </c>
      <c r="F209" s="7">
        <v>7.8</v>
      </c>
      <c r="G209" s="7">
        <v>0.47099999999999997</v>
      </c>
      <c r="H209" s="7">
        <v>1.8</v>
      </c>
      <c r="I209" s="7">
        <v>1</v>
      </c>
      <c r="J209" s="7">
        <v>0.77800000000000002</v>
      </c>
      <c r="K209" s="7">
        <v>4.0999999999999996</v>
      </c>
      <c r="L209" s="7">
        <v>3.2</v>
      </c>
      <c r="M209" s="7">
        <v>0.3</v>
      </c>
      <c r="N209" s="7">
        <v>0.1</v>
      </c>
      <c r="O209" s="7">
        <v>1.7</v>
      </c>
      <c r="P209" s="7">
        <v>9.9</v>
      </c>
    </row>
    <row r="210" spans="1:16" x14ac:dyDescent="0.35">
      <c r="A210" s="1" t="s">
        <v>229</v>
      </c>
      <c r="B210" s="1" t="s">
        <v>34</v>
      </c>
      <c r="C210" s="1" t="s">
        <v>26</v>
      </c>
      <c r="D210" s="7">
        <v>9</v>
      </c>
      <c r="E210" s="7">
        <v>34.700000000000003</v>
      </c>
      <c r="F210" s="7">
        <v>17.8</v>
      </c>
      <c r="G210" s="7">
        <v>0.45</v>
      </c>
      <c r="H210" s="7">
        <v>2.2000000000000002</v>
      </c>
      <c r="I210" s="7">
        <v>6.8</v>
      </c>
      <c r="J210" s="7">
        <v>0.85199999999999998</v>
      </c>
      <c r="K210" s="7">
        <v>7.1</v>
      </c>
      <c r="L210" s="7">
        <v>5.8</v>
      </c>
      <c r="M210" s="7">
        <v>0.7</v>
      </c>
      <c r="N210" s="7">
        <v>0.8</v>
      </c>
      <c r="O210" s="7">
        <v>2.7</v>
      </c>
      <c r="P210" s="7">
        <v>24</v>
      </c>
    </row>
    <row r="211" spans="1:16" x14ac:dyDescent="0.35">
      <c r="A211" s="1" t="s">
        <v>230</v>
      </c>
      <c r="B211" s="1" t="s">
        <v>46</v>
      </c>
      <c r="C211" s="1" t="s">
        <v>30</v>
      </c>
      <c r="D211" s="7">
        <v>7</v>
      </c>
      <c r="E211" s="7">
        <v>33</v>
      </c>
      <c r="F211" s="7">
        <v>20.100000000000001</v>
      </c>
      <c r="G211" s="7">
        <v>0.504</v>
      </c>
      <c r="H211" s="7">
        <v>3.7</v>
      </c>
      <c r="I211" s="7">
        <v>3.1</v>
      </c>
      <c r="J211" s="7">
        <v>1</v>
      </c>
      <c r="K211" s="7">
        <v>5.3</v>
      </c>
      <c r="L211" s="7">
        <v>6.1</v>
      </c>
      <c r="M211" s="7">
        <v>1.6</v>
      </c>
      <c r="N211" s="7">
        <v>0.3</v>
      </c>
      <c r="O211" s="7">
        <v>2.1</v>
      </c>
      <c r="P211" s="7">
        <v>27.1</v>
      </c>
    </row>
    <row r="212" spans="1:16" x14ac:dyDescent="0.35">
      <c r="A212" s="1" t="s">
        <v>232</v>
      </c>
      <c r="B212" s="1" t="s">
        <v>34</v>
      </c>
      <c r="C212" s="1" t="s">
        <v>56</v>
      </c>
      <c r="D212" s="7">
        <v>5</v>
      </c>
      <c r="E212" s="7">
        <v>10.6</v>
      </c>
      <c r="F212" s="7">
        <v>2.4</v>
      </c>
      <c r="G212" s="7">
        <v>0.5</v>
      </c>
      <c r="H212" s="7">
        <v>0.2</v>
      </c>
      <c r="I212" s="7">
        <v>0.4</v>
      </c>
      <c r="J212" s="7">
        <v>0.5</v>
      </c>
      <c r="K212" s="7">
        <v>1.6</v>
      </c>
      <c r="L212" s="7">
        <v>0.2</v>
      </c>
      <c r="M212" s="7">
        <v>0.6</v>
      </c>
      <c r="N212" s="7">
        <v>0</v>
      </c>
      <c r="O212" s="7">
        <v>0.4</v>
      </c>
      <c r="P212" s="7">
        <v>2.8</v>
      </c>
    </row>
    <row r="213" spans="1:16" x14ac:dyDescent="0.35">
      <c r="A213" s="1" t="s">
        <v>233</v>
      </c>
      <c r="B213" s="1" t="s">
        <v>46</v>
      </c>
      <c r="C213" s="1" t="s">
        <v>82</v>
      </c>
      <c r="D213" s="7">
        <v>2</v>
      </c>
      <c r="E213" s="7">
        <v>11</v>
      </c>
      <c r="F213" s="7">
        <v>4.5</v>
      </c>
      <c r="G213" s="7">
        <v>0.222</v>
      </c>
      <c r="H213" s="7">
        <v>1</v>
      </c>
      <c r="I213" s="7">
        <v>0</v>
      </c>
      <c r="J213" s="7"/>
      <c r="K213" s="7">
        <v>2</v>
      </c>
      <c r="L213" s="7">
        <v>2</v>
      </c>
      <c r="M213" s="7">
        <v>0.5</v>
      </c>
      <c r="N213" s="7">
        <v>0</v>
      </c>
      <c r="O213" s="7">
        <v>1</v>
      </c>
      <c r="P213" s="7">
        <v>3</v>
      </c>
    </row>
    <row r="214" spans="1:16" x14ac:dyDescent="0.35">
      <c r="A214" s="1" t="s">
        <v>452</v>
      </c>
      <c r="B214" s="1" t="s">
        <v>25</v>
      </c>
      <c r="C214" s="1" t="s">
        <v>82</v>
      </c>
      <c r="D214" s="7">
        <v>8</v>
      </c>
      <c r="E214" s="7">
        <v>22.3</v>
      </c>
      <c r="F214" s="7">
        <v>11.4</v>
      </c>
      <c r="G214" s="7">
        <v>0.42899999999999999</v>
      </c>
      <c r="H214" s="7">
        <v>1.3</v>
      </c>
      <c r="I214" s="7">
        <v>2.1</v>
      </c>
      <c r="J214" s="7">
        <v>0.70599999999999996</v>
      </c>
      <c r="K214" s="7">
        <v>3.9</v>
      </c>
      <c r="L214" s="7">
        <v>1.6</v>
      </c>
      <c r="M214" s="7">
        <v>1.1000000000000001</v>
      </c>
      <c r="N214" s="7">
        <v>0.5</v>
      </c>
      <c r="O214" s="7">
        <v>1.4</v>
      </c>
      <c r="P214" s="7">
        <v>12.5</v>
      </c>
    </row>
    <row r="215" spans="1:16" x14ac:dyDescent="0.35">
      <c r="A215" s="1" t="s">
        <v>235</v>
      </c>
      <c r="B215" s="1" t="s">
        <v>34</v>
      </c>
      <c r="C215" s="1" t="s">
        <v>19</v>
      </c>
      <c r="D215" s="7">
        <v>3</v>
      </c>
      <c r="E215" s="7">
        <v>17.3</v>
      </c>
      <c r="F215" s="7">
        <v>5.7</v>
      </c>
      <c r="G215" s="7">
        <v>0.41199999999999998</v>
      </c>
      <c r="H215" s="7">
        <v>0.3</v>
      </c>
      <c r="I215" s="7">
        <v>1.3</v>
      </c>
      <c r="J215" s="7">
        <v>1</v>
      </c>
      <c r="K215" s="7">
        <v>3</v>
      </c>
      <c r="L215" s="7">
        <v>1</v>
      </c>
      <c r="M215" s="7">
        <v>0.3</v>
      </c>
      <c r="N215" s="7">
        <v>0</v>
      </c>
      <c r="O215" s="7">
        <v>1.7</v>
      </c>
      <c r="P215" s="7">
        <v>6.3</v>
      </c>
    </row>
    <row r="216" spans="1:16" x14ac:dyDescent="0.35">
      <c r="A216" s="1" t="s">
        <v>236</v>
      </c>
      <c r="B216" s="1" t="s">
        <v>25</v>
      </c>
      <c r="C216" s="1" t="s">
        <v>72</v>
      </c>
      <c r="D216" s="7">
        <v>10</v>
      </c>
      <c r="E216" s="7">
        <v>13.5</v>
      </c>
      <c r="F216" s="7">
        <v>4.7</v>
      </c>
      <c r="G216" s="7">
        <v>0.46800000000000003</v>
      </c>
      <c r="H216" s="7">
        <v>1</v>
      </c>
      <c r="I216" s="7">
        <v>0.5</v>
      </c>
      <c r="J216" s="7">
        <v>0.4</v>
      </c>
      <c r="K216" s="7">
        <v>1.5</v>
      </c>
      <c r="L216" s="7">
        <v>2</v>
      </c>
      <c r="M216" s="7">
        <v>0.4</v>
      </c>
      <c r="N216" s="7">
        <v>0.1</v>
      </c>
      <c r="O216" s="7">
        <v>0.5</v>
      </c>
      <c r="P216" s="7">
        <v>5.6</v>
      </c>
    </row>
    <row r="217" spans="1:16" x14ac:dyDescent="0.35">
      <c r="A217" s="1" t="s">
        <v>237</v>
      </c>
      <c r="B217" s="1" t="s">
        <v>34</v>
      </c>
      <c r="C217" s="1" t="s">
        <v>49</v>
      </c>
      <c r="D217" s="7">
        <v>4</v>
      </c>
      <c r="E217" s="7">
        <v>7.3</v>
      </c>
      <c r="F217" s="7">
        <v>2.2999999999999998</v>
      </c>
      <c r="G217" s="7">
        <v>0.33300000000000002</v>
      </c>
      <c r="H217" s="7">
        <v>0</v>
      </c>
      <c r="I217" s="7">
        <v>1.8</v>
      </c>
      <c r="J217" s="7">
        <v>0.14299999999999999</v>
      </c>
      <c r="K217" s="7">
        <v>1.3</v>
      </c>
      <c r="L217" s="7">
        <v>0.8</v>
      </c>
      <c r="M217" s="7">
        <v>0.3</v>
      </c>
      <c r="N217" s="7">
        <v>0</v>
      </c>
      <c r="O217" s="7">
        <v>0</v>
      </c>
      <c r="P217" s="7">
        <v>1.8</v>
      </c>
    </row>
    <row r="218" spans="1:16" x14ac:dyDescent="0.35">
      <c r="A218" s="1" t="s">
        <v>238</v>
      </c>
      <c r="B218" s="1" t="s">
        <v>46</v>
      </c>
      <c r="C218" s="1" t="s">
        <v>40</v>
      </c>
      <c r="D218" s="7">
        <v>12</v>
      </c>
      <c r="E218" s="7">
        <v>32.299999999999997</v>
      </c>
      <c r="F218" s="7">
        <v>18.3</v>
      </c>
      <c r="G218" s="7">
        <v>0.48599999999999999</v>
      </c>
      <c r="H218" s="7">
        <v>2.2999999999999998</v>
      </c>
      <c r="I218" s="7">
        <v>5.8</v>
      </c>
      <c r="J218" s="7">
        <v>0.7</v>
      </c>
      <c r="K218" s="7">
        <v>8.3000000000000007</v>
      </c>
      <c r="L218" s="7">
        <v>7.5</v>
      </c>
      <c r="M218" s="7">
        <v>0.8</v>
      </c>
      <c r="N218" s="7">
        <v>0.4</v>
      </c>
      <c r="O218" s="7">
        <v>3.7</v>
      </c>
      <c r="P218" s="7">
        <v>24.2</v>
      </c>
    </row>
    <row r="219" spans="1:16" x14ac:dyDescent="0.35">
      <c r="A219" s="1" t="s">
        <v>699</v>
      </c>
      <c r="B219" s="1" t="s">
        <v>25</v>
      </c>
      <c r="C219" s="1" t="s">
        <v>80</v>
      </c>
      <c r="D219" s="7">
        <v>7</v>
      </c>
      <c r="E219" s="7">
        <v>19.600000000000001</v>
      </c>
      <c r="F219" s="7">
        <v>6.3</v>
      </c>
      <c r="G219" s="7">
        <v>0.34100000000000003</v>
      </c>
      <c r="H219" s="7">
        <v>1.6</v>
      </c>
      <c r="I219" s="7">
        <v>0.7</v>
      </c>
      <c r="J219" s="7">
        <v>1</v>
      </c>
      <c r="K219" s="7">
        <v>2.2999999999999998</v>
      </c>
      <c r="L219" s="7">
        <v>1.6</v>
      </c>
      <c r="M219" s="7">
        <v>0.6</v>
      </c>
      <c r="N219" s="7">
        <v>0.4</v>
      </c>
      <c r="O219" s="7">
        <v>0.4</v>
      </c>
      <c r="P219" s="7">
        <v>6.6</v>
      </c>
    </row>
    <row r="220" spans="1:16" x14ac:dyDescent="0.35">
      <c r="A220" s="1" t="s">
        <v>243</v>
      </c>
      <c r="B220" s="1" t="s">
        <v>15</v>
      </c>
      <c r="C220" s="1" t="s">
        <v>52</v>
      </c>
      <c r="D220" s="7">
        <v>11</v>
      </c>
      <c r="E220" s="7">
        <v>23.2</v>
      </c>
      <c r="F220" s="7">
        <v>9.3000000000000007</v>
      </c>
      <c r="G220" s="7">
        <v>0.47099999999999997</v>
      </c>
      <c r="H220" s="7">
        <v>2.5</v>
      </c>
      <c r="I220" s="7">
        <v>1.3</v>
      </c>
      <c r="J220" s="7">
        <v>0.85699999999999998</v>
      </c>
      <c r="K220" s="7">
        <v>3.2</v>
      </c>
      <c r="L220" s="7">
        <v>1.5</v>
      </c>
      <c r="M220" s="7">
        <v>0.5</v>
      </c>
      <c r="N220" s="7">
        <v>0.5</v>
      </c>
      <c r="O220" s="7">
        <v>0.5</v>
      </c>
      <c r="P220" s="7">
        <v>12.4</v>
      </c>
    </row>
    <row r="221" spans="1:16" x14ac:dyDescent="0.35">
      <c r="A221" s="1" t="s">
        <v>244</v>
      </c>
      <c r="B221" s="1" t="s">
        <v>15</v>
      </c>
      <c r="C221" s="1" t="s">
        <v>56</v>
      </c>
      <c r="D221" s="7">
        <v>9</v>
      </c>
      <c r="E221" s="7">
        <v>16.100000000000001</v>
      </c>
      <c r="F221" s="7">
        <v>4.4000000000000004</v>
      </c>
      <c r="G221" s="7">
        <v>0.4</v>
      </c>
      <c r="H221" s="7">
        <v>0.6</v>
      </c>
      <c r="I221" s="7">
        <v>1.6</v>
      </c>
      <c r="J221" s="7">
        <v>0.57099999999999995</v>
      </c>
      <c r="K221" s="7">
        <v>3.1</v>
      </c>
      <c r="L221" s="7">
        <v>2</v>
      </c>
      <c r="M221" s="7">
        <v>1.4</v>
      </c>
      <c r="N221" s="7">
        <v>0.3</v>
      </c>
      <c r="O221" s="7">
        <v>1</v>
      </c>
      <c r="P221" s="7">
        <v>5</v>
      </c>
    </row>
    <row r="222" spans="1:16" x14ac:dyDescent="0.35">
      <c r="A222" s="1" t="s">
        <v>245</v>
      </c>
      <c r="B222" s="1" t="s">
        <v>34</v>
      </c>
      <c r="C222" s="1" t="s">
        <v>23</v>
      </c>
      <c r="D222" s="7">
        <v>11</v>
      </c>
      <c r="E222" s="7">
        <v>32.1</v>
      </c>
      <c r="F222" s="7">
        <v>11</v>
      </c>
      <c r="G222" s="7">
        <v>0.44600000000000001</v>
      </c>
      <c r="H222" s="7">
        <v>1.2</v>
      </c>
      <c r="I222" s="7">
        <v>3.1</v>
      </c>
      <c r="J222" s="7">
        <v>0.82399999999999995</v>
      </c>
      <c r="K222" s="7">
        <v>7.4</v>
      </c>
      <c r="L222" s="7">
        <v>2.4</v>
      </c>
      <c r="M222" s="7">
        <v>1.3</v>
      </c>
      <c r="N222" s="7">
        <v>0.7</v>
      </c>
      <c r="O222" s="7">
        <v>1.6</v>
      </c>
      <c r="P222" s="7">
        <v>13.5</v>
      </c>
    </row>
    <row r="223" spans="1:16" x14ac:dyDescent="0.35">
      <c r="A223" s="1" t="s">
        <v>246</v>
      </c>
      <c r="B223" s="1" t="s">
        <v>15</v>
      </c>
      <c r="C223" s="1" t="s">
        <v>44</v>
      </c>
      <c r="D223" s="7">
        <v>8</v>
      </c>
      <c r="E223" s="7">
        <v>13.4</v>
      </c>
      <c r="F223" s="7">
        <v>2.5</v>
      </c>
      <c r="G223" s="7">
        <v>0.35</v>
      </c>
      <c r="H223" s="7">
        <v>0.3</v>
      </c>
      <c r="I223" s="7">
        <v>0.3</v>
      </c>
      <c r="J223" s="7">
        <v>0.5</v>
      </c>
      <c r="K223" s="7">
        <v>3.4</v>
      </c>
      <c r="L223" s="7">
        <v>1.3</v>
      </c>
      <c r="M223" s="7">
        <v>1.1000000000000001</v>
      </c>
      <c r="N223" s="7">
        <v>0.1</v>
      </c>
      <c r="O223" s="7">
        <v>0.6</v>
      </c>
      <c r="P223" s="7">
        <v>2.1</v>
      </c>
    </row>
    <row r="224" spans="1:16" x14ac:dyDescent="0.35">
      <c r="A224" s="1" t="s">
        <v>551</v>
      </c>
      <c r="B224" s="1" t="s">
        <v>25</v>
      </c>
      <c r="C224" s="1" t="s">
        <v>30</v>
      </c>
      <c r="D224" s="7">
        <v>4</v>
      </c>
      <c r="E224" s="7">
        <v>7.5</v>
      </c>
      <c r="F224" s="7">
        <v>1.8</v>
      </c>
      <c r="G224" s="7">
        <v>0.42899999999999999</v>
      </c>
      <c r="H224" s="7">
        <v>0.8</v>
      </c>
      <c r="I224" s="7">
        <v>0</v>
      </c>
      <c r="J224" s="7"/>
      <c r="K224" s="7">
        <v>0.5</v>
      </c>
      <c r="L224" s="7">
        <v>1.8</v>
      </c>
      <c r="M224" s="7">
        <v>0.8</v>
      </c>
      <c r="N224" s="7">
        <v>0</v>
      </c>
      <c r="O224" s="7">
        <v>0</v>
      </c>
      <c r="P224" s="7">
        <v>2.2999999999999998</v>
      </c>
    </row>
    <row r="225" spans="1:16" x14ac:dyDescent="0.35">
      <c r="A225" s="1" t="s">
        <v>608</v>
      </c>
      <c r="B225" s="1" t="s">
        <v>18</v>
      </c>
      <c r="C225" s="1" t="s">
        <v>59</v>
      </c>
      <c r="D225" s="7">
        <v>11</v>
      </c>
      <c r="E225" s="7">
        <v>35</v>
      </c>
      <c r="F225" s="7">
        <v>15.6</v>
      </c>
      <c r="G225" s="7">
        <v>0.57599999999999996</v>
      </c>
      <c r="H225" s="7">
        <v>1.3</v>
      </c>
      <c r="I225" s="7">
        <v>6.1</v>
      </c>
      <c r="J225" s="7">
        <v>0.82099999999999995</v>
      </c>
      <c r="K225" s="7">
        <v>10.9</v>
      </c>
      <c r="L225" s="7">
        <v>10.5</v>
      </c>
      <c r="M225" s="7">
        <v>1.8</v>
      </c>
      <c r="N225" s="7">
        <v>0.5</v>
      </c>
      <c r="O225" s="7">
        <v>4.2</v>
      </c>
      <c r="P225" s="7">
        <v>24.3</v>
      </c>
    </row>
    <row r="226" spans="1:16" x14ac:dyDescent="0.35">
      <c r="A226" s="1" t="s">
        <v>247</v>
      </c>
      <c r="B226" s="1" t="s">
        <v>18</v>
      </c>
      <c r="C226" s="1" t="s">
        <v>52</v>
      </c>
      <c r="D226" s="7">
        <v>5</v>
      </c>
      <c r="E226" s="7">
        <v>8.4</v>
      </c>
      <c r="F226" s="7">
        <v>1.2</v>
      </c>
      <c r="G226" s="7">
        <v>0.5</v>
      </c>
      <c r="H226" s="7">
        <v>0</v>
      </c>
      <c r="I226" s="7">
        <v>1</v>
      </c>
      <c r="J226" s="7">
        <v>0.4</v>
      </c>
      <c r="K226" s="7">
        <v>1.8</v>
      </c>
      <c r="L226" s="7">
        <v>0</v>
      </c>
      <c r="M226" s="7">
        <v>0.2</v>
      </c>
      <c r="N226" s="7">
        <v>0.6</v>
      </c>
      <c r="O226" s="7">
        <v>0.6</v>
      </c>
      <c r="P226" s="7">
        <v>1.6</v>
      </c>
    </row>
    <row r="227" spans="1:16" x14ac:dyDescent="0.35">
      <c r="A227" s="1" t="s">
        <v>639</v>
      </c>
      <c r="B227" s="1" t="s">
        <v>34</v>
      </c>
      <c r="C227" s="1" t="s">
        <v>43</v>
      </c>
      <c r="D227" s="7">
        <v>10</v>
      </c>
      <c r="E227" s="7">
        <v>27.3</v>
      </c>
      <c r="F227" s="7">
        <v>5.7</v>
      </c>
      <c r="G227" s="7">
        <v>0.38600000000000001</v>
      </c>
      <c r="H227" s="7">
        <v>0.7</v>
      </c>
      <c r="I227" s="7">
        <v>2.2000000000000002</v>
      </c>
      <c r="J227" s="7">
        <v>0.59099999999999997</v>
      </c>
      <c r="K227" s="7">
        <v>3.5</v>
      </c>
      <c r="L227" s="7">
        <v>0.8</v>
      </c>
      <c r="M227" s="7">
        <v>1.3</v>
      </c>
      <c r="N227" s="7">
        <v>0.7</v>
      </c>
      <c r="O227" s="7">
        <v>0.6</v>
      </c>
      <c r="P227" s="7">
        <v>6.4</v>
      </c>
    </row>
    <row r="228" spans="1:16" x14ac:dyDescent="0.35">
      <c r="A228" s="1" t="s">
        <v>742</v>
      </c>
      <c r="B228" s="1" t="s">
        <v>25</v>
      </c>
      <c r="C228" s="1" t="s">
        <v>36</v>
      </c>
      <c r="D228" s="7">
        <v>3</v>
      </c>
      <c r="E228" s="7">
        <v>7.3</v>
      </c>
      <c r="F228" s="7">
        <v>3</v>
      </c>
      <c r="G228" s="7">
        <v>0.33300000000000002</v>
      </c>
      <c r="H228" s="7">
        <v>0.3</v>
      </c>
      <c r="I228" s="7">
        <v>2</v>
      </c>
      <c r="J228" s="7">
        <v>0.5</v>
      </c>
      <c r="K228" s="7">
        <v>2.2999999999999998</v>
      </c>
      <c r="L228" s="7">
        <v>1</v>
      </c>
      <c r="M228" s="7">
        <v>0.3</v>
      </c>
      <c r="N228" s="7">
        <v>0</v>
      </c>
      <c r="O228" s="7">
        <v>0.3</v>
      </c>
      <c r="P228" s="7">
        <v>3.3</v>
      </c>
    </row>
    <row r="229" spans="1:16" x14ac:dyDescent="0.35">
      <c r="A229" s="1" t="s">
        <v>700</v>
      </c>
      <c r="B229" s="1" t="s">
        <v>46</v>
      </c>
      <c r="C229" s="1" t="s">
        <v>23</v>
      </c>
      <c r="D229" s="7">
        <v>3</v>
      </c>
      <c r="E229" s="7">
        <v>3.3</v>
      </c>
      <c r="F229" s="7">
        <v>2.2999999999999998</v>
      </c>
      <c r="G229" s="7">
        <v>0.57099999999999995</v>
      </c>
      <c r="H229" s="7">
        <v>0</v>
      </c>
      <c r="I229" s="7">
        <v>1</v>
      </c>
      <c r="J229" s="7">
        <v>1</v>
      </c>
      <c r="K229" s="7">
        <v>1</v>
      </c>
      <c r="L229" s="7">
        <v>0.3</v>
      </c>
      <c r="M229" s="7">
        <v>0</v>
      </c>
      <c r="N229" s="7">
        <v>0</v>
      </c>
      <c r="O229" s="7">
        <v>0</v>
      </c>
      <c r="P229" s="7">
        <v>3.7</v>
      </c>
    </row>
    <row r="230" spans="1:16" x14ac:dyDescent="0.35">
      <c r="A230" s="1" t="s">
        <v>249</v>
      </c>
      <c r="B230" s="1" t="s">
        <v>46</v>
      </c>
      <c r="C230" s="1" t="s">
        <v>28</v>
      </c>
      <c r="D230" s="7">
        <v>10</v>
      </c>
      <c r="E230" s="7">
        <v>26.9</v>
      </c>
      <c r="F230" s="7">
        <v>8.4</v>
      </c>
      <c r="G230" s="7">
        <v>0.42899999999999999</v>
      </c>
      <c r="H230" s="7">
        <v>0.6</v>
      </c>
      <c r="I230" s="7">
        <v>0.7</v>
      </c>
      <c r="J230" s="7">
        <v>0.71399999999999997</v>
      </c>
      <c r="K230" s="7">
        <v>2.8</v>
      </c>
      <c r="L230" s="7">
        <v>5.6</v>
      </c>
      <c r="M230" s="7">
        <v>1.6</v>
      </c>
      <c r="N230" s="7">
        <v>0.3</v>
      </c>
      <c r="O230" s="7">
        <v>1.1000000000000001</v>
      </c>
      <c r="P230" s="7">
        <v>8.3000000000000007</v>
      </c>
    </row>
    <row r="231" spans="1:16" x14ac:dyDescent="0.35">
      <c r="A231" s="1" t="s">
        <v>250</v>
      </c>
      <c r="B231" s="1" t="s">
        <v>18</v>
      </c>
      <c r="C231" s="1" t="s">
        <v>30</v>
      </c>
      <c r="D231" s="7">
        <v>11</v>
      </c>
      <c r="E231" s="7">
        <v>17.100000000000001</v>
      </c>
      <c r="F231" s="7">
        <v>2.2999999999999998</v>
      </c>
      <c r="G231" s="7">
        <v>0.76</v>
      </c>
      <c r="H231" s="7">
        <v>0</v>
      </c>
      <c r="I231" s="7">
        <v>1.4</v>
      </c>
      <c r="J231" s="7">
        <v>0.46700000000000003</v>
      </c>
      <c r="K231" s="7">
        <v>6.5</v>
      </c>
      <c r="L231" s="7">
        <v>1.7</v>
      </c>
      <c r="M231" s="7">
        <v>0.2</v>
      </c>
      <c r="N231" s="7">
        <v>1.2</v>
      </c>
      <c r="O231" s="7">
        <v>1.9</v>
      </c>
      <c r="P231" s="7">
        <v>4.0999999999999996</v>
      </c>
    </row>
    <row r="232" spans="1:16" x14ac:dyDescent="0.35">
      <c r="A232" s="1" t="s">
        <v>251</v>
      </c>
      <c r="B232" s="1" t="s">
        <v>46</v>
      </c>
      <c r="C232" s="1" t="s">
        <v>49</v>
      </c>
      <c r="D232" s="7">
        <v>11</v>
      </c>
      <c r="E232" s="7">
        <v>22.4</v>
      </c>
      <c r="F232" s="7">
        <v>6.4</v>
      </c>
      <c r="G232" s="7">
        <v>0.443</v>
      </c>
      <c r="H232" s="7">
        <v>0.6</v>
      </c>
      <c r="I232" s="7">
        <v>1.9</v>
      </c>
      <c r="J232" s="7">
        <v>0.76200000000000001</v>
      </c>
      <c r="K232" s="7">
        <v>2.5</v>
      </c>
      <c r="L232" s="7">
        <v>2.6</v>
      </c>
      <c r="M232" s="7">
        <v>0.7</v>
      </c>
      <c r="N232" s="7">
        <v>0.5</v>
      </c>
      <c r="O232" s="7">
        <v>1.3</v>
      </c>
      <c r="P232" s="7">
        <v>7.7</v>
      </c>
    </row>
    <row r="233" spans="1:16" x14ac:dyDescent="0.35">
      <c r="A233" s="1" t="s">
        <v>252</v>
      </c>
      <c r="B233" s="1" t="s">
        <v>15</v>
      </c>
      <c r="C233" s="1" t="s">
        <v>72</v>
      </c>
      <c r="D233" s="7">
        <v>7</v>
      </c>
      <c r="E233" s="7">
        <v>4.7</v>
      </c>
      <c r="F233" s="7">
        <v>1.3</v>
      </c>
      <c r="G233" s="7">
        <v>0.111</v>
      </c>
      <c r="H233" s="7">
        <v>0.1</v>
      </c>
      <c r="I233" s="7">
        <v>0.3</v>
      </c>
      <c r="J233" s="7">
        <v>1</v>
      </c>
      <c r="K233" s="7">
        <v>0.6</v>
      </c>
      <c r="L233" s="7">
        <v>0.3</v>
      </c>
      <c r="M233" s="7">
        <v>0.3</v>
      </c>
      <c r="N233" s="7">
        <v>0.1</v>
      </c>
      <c r="O233" s="7">
        <v>0.3</v>
      </c>
      <c r="P233" s="7">
        <v>0.7</v>
      </c>
    </row>
    <row r="234" spans="1:16" x14ac:dyDescent="0.35">
      <c r="A234" s="1" t="s">
        <v>253</v>
      </c>
      <c r="B234" s="1" t="s">
        <v>18</v>
      </c>
      <c r="C234" s="1" t="s">
        <v>52</v>
      </c>
      <c r="D234" s="7">
        <v>5</v>
      </c>
      <c r="E234" s="7">
        <v>8</v>
      </c>
      <c r="F234" s="7">
        <v>3.6</v>
      </c>
      <c r="G234" s="7">
        <v>0.38900000000000001</v>
      </c>
      <c r="H234" s="7">
        <v>0.2</v>
      </c>
      <c r="I234" s="7">
        <v>0.8</v>
      </c>
      <c r="J234" s="7">
        <v>0.5</v>
      </c>
      <c r="K234" s="7">
        <v>1.8</v>
      </c>
      <c r="L234" s="7">
        <v>0.8</v>
      </c>
      <c r="M234" s="7">
        <v>0</v>
      </c>
      <c r="N234" s="7">
        <v>0.2</v>
      </c>
      <c r="O234" s="7">
        <v>0.2</v>
      </c>
      <c r="P234" s="7">
        <v>3.4</v>
      </c>
    </row>
    <row r="235" spans="1:16" x14ac:dyDescent="0.35">
      <c r="A235" s="1" t="s">
        <v>254</v>
      </c>
      <c r="B235" s="1" t="s">
        <v>18</v>
      </c>
      <c r="C235" s="1" t="s">
        <v>43</v>
      </c>
      <c r="D235" s="7">
        <v>10</v>
      </c>
      <c r="E235" s="7">
        <v>19.100000000000001</v>
      </c>
      <c r="F235" s="7">
        <v>6.9</v>
      </c>
      <c r="G235" s="7">
        <v>0.68100000000000005</v>
      </c>
      <c r="H235" s="7">
        <v>0</v>
      </c>
      <c r="I235" s="7">
        <v>2.2999999999999998</v>
      </c>
      <c r="J235" s="7">
        <v>0.78300000000000003</v>
      </c>
      <c r="K235" s="7">
        <v>9.3000000000000007</v>
      </c>
      <c r="L235" s="7">
        <v>0.4</v>
      </c>
      <c r="M235" s="7">
        <v>0.5</v>
      </c>
      <c r="N235" s="7">
        <v>0.3</v>
      </c>
      <c r="O235" s="7">
        <v>0.9</v>
      </c>
      <c r="P235" s="7">
        <v>11.2</v>
      </c>
    </row>
    <row r="236" spans="1:16" x14ac:dyDescent="0.35">
      <c r="A236" s="1" t="s">
        <v>255</v>
      </c>
      <c r="B236" s="1" t="s">
        <v>25</v>
      </c>
      <c r="C236" s="1" t="s">
        <v>72</v>
      </c>
      <c r="D236" s="7">
        <v>11</v>
      </c>
      <c r="E236" s="7">
        <v>22.9</v>
      </c>
      <c r="F236" s="7">
        <v>6.5</v>
      </c>
      <c r="G236" s="7">
        <v>0.46500000000000002</v>
      </c>
      <c r="H236" s="7">
        <v>1.5</v>
      </c>
      <c r="I236" s="7">
        <v>0.8</v>
      </c>
      <c r="J236" s="7">
        <v>0.88900000000000001</v>
      </c>
      <c r="K236" s="7">
        <v>2.8</v>
      </c>
      <c r="L236" s="7">
        <v>1.6</v>
      </c>
      <c r="M236" s="7">
        <v>0.3</v>
      </c>
      <c r="N236" s="7">
        <v>0.2</v>
      </c>
      <c r="O236" s="7">
        <v>1.5</v>
      </c>
      <c r="P236" s="7">
        <v>8.1999999999999993</v>
      </c>
    </row>
    <row r="237" spans="1:16" x14ac:dyDescent="0.35">
      <c r="A237" s="1" t="s">
        <v>258</v>
      </c>
      <c r="B237" s="1" t="s">
        <v>15</v>
      </c>
      <c r="C237" s="1" t="s">
        <v>56</v>
      </c>
      <c r="D237" s="7">
        <v>9</v>
      </c>
      <c r="E237" s="7">
        <v>24.3</v>
      </c>
      <c r="F237" s="7">
        <v>4.5999999999999996</v>
      </c>
      <c r="G237" s="7">
        <v>0.439</v>
      </c>
      <c r="H237" s="7">
        <v>1.8</v>
      </c>
      <c r="I237" s="7">
        <v>1.8</v>
      </c>
      <c r="J237" s="7">
        <v>0.93799999999999994</v>
      </c>
      <c r="K237" s="7">
        <v>5.3</v>
      </c>
      <c r="L237" s="7">
        <v>1.3</v>
      </c>
      <c r="M237" s="7">
        <v>0.3</v>
      </c>
      <c r="N237" s="7">
        <v>0.9</v>
      </c>
      <c r="O237" s="7">
        <v>0.7</v>
      </c>
      <c r="P237" s="7">
        <v>7.4</v>
      </c>
    </row>
    <row r="238" spans="1:16" x14ac:dyDescent="0.35">
      <c r="A238" s="1" t="s">
        <v>701</v>
      </c>
      <c r="B238" s="1" t="s">
        <v>15</v>
      </c>
      <c r="C238" s="1" t="s">
        <v>70</v>
      </c>
      <c r="D238" s="7">
        <v>6</v>
      </c>
      <c r="E238" s="7">
        <v>5.8</v>
      </c>
      <c r="F238" s="7">
        <v>2.5</v>
      </c>
      <c r="G238" s="7">
        <v>0.33300000000000002</v>
      </c>
      <c r="H238" s="7">
        <v>0.5</v>
      </c>
      <c r="I238" s="7">
        <v>0.8</v>
      </c>
      <c r="J238" s="7">
        <v>0.8</v>
      </c>
      <c r="K238" s="7">
        <v>1.7</v>
      </c>
      <c r="L238" s="7">
        <v>0.2</v>
      </c>
      <c r="M238" s="7">
        <v>0</v>
      </c>
      <c r="N238" s="7">
        <v>0.5</v>
      </c>
      <c r="O238" s="7">
        <v>0.5</v>
      </c>
      <c r="P238" s="7">
        <v>2.8</v>
      </c>
    </row>
    <row r="239" spans="1:16" x14ac:dyDescent="0.35">
      <c r="A239" s="1" t="s">
        <v>260</v>
      </c>
      <c r="B239" s="1" t="s">
        <v>34</v>
      </c>
      <c r="C239" s="1" t="s">
        <v>31</v>
      </c>
      <c r="D239" s="7">
        <v>11</v>
      </c>
      <c r="E239" s="7">
        <v>21.8</v>
      </c>
      <c r="F239" s="7">
        <v>7.1</v>
      </c>
      <c r="G239" s="7">
        <v>0.41</v>
      </c>
      <c r="H239" s="7">
        <v>1.6</v>
      </c>
      <c r="I239" s="7">
        <v>0.6</v>
      </c>
      <c r="J239" s="7">
        <v>0.71399999999999997</v>
      </c>
      <c r="K239" s="7">
        <v>2.8</v>
      </c>
      <c r="L239" s="7">
        <v>1</v>
      </c>
      <c r="M239" s="7">
        <v>0.4</v>
      </c>
      <c r="N239" s="7">
        <v>0.5</v>
      </c>
      <c r="O239" s="7">
        <v>1.2</v>
      </c>
      <c r="P239" s="7">
        <v>7.9</v>
      </c>
    </row>
    <row r="240" spans="1:16" x14ac:dyDescent="0.35">
      <c r="A240" s="1" t="s">
        <v>261</v>
      </c>
      <c r="B240" s="1" t="s">
        <v>25</v>
      </c>
      <c r="C240" s="1" t="s">
        <v>28</v>
      </c>
      <c r="D240" s="7">
        <v>5</v>
      </c>
      <c r="E240" s="7">
        <v>19.600000000000001</v>
      </c>
      <c r="F240" s="7">
        <v>4.5999999999999996</v>
      </c>
      <c r="G240" s="7">
        <v>0.435</v>
      </c>
      <c r="H240" s="7">
        <v>0.6</v>
      </c>
      <c r="I240" s="7">
        <v>1.2</v>
      </c>
      <c r="J240" s="7">
        <v>1</v>
      </c>
      <c r="K240" s="7">
        <v>4.5999999999999996</v>
      </c>
      <c r="L240" s="7">
        <v>2.8</v>
      </c>
      <c r="M240" s="7">
        <v>1.4</v>
      </c>
      <c r="N240" s="7">
        <v>0.4</v>
      </c>
      <c r="O240" s="7">
        <v>0.2</v>
      </c>
      <c r="P240" s="7">
        <v>5.8</v>
      </c>
    </row>
    <row r="241" spans="1:16" x14ac:dyDescent="0.35">
      <c r="A241" s="1" t="s">
        <v>262</v>
      </c>
      <c r="B241" s="1" t="s">
        <v>25</v>
      </c>
      <c r="C241" s="1" t="s">
        <v>80</v>
      </c>
      <c r="D241" s="7">
        <v>3</v>
      </c>
      <c r="E241" s="7">
        <v>18.3</v>
      </c>
      <c r="F241" s="7">
        <v>8</v>
      </c>
      <c r="G241" s="7">
        <v>0.25</v>
      </c>
      <c r="H241" s="7">
        <v>1.3</v>
      </c>
      <c r="I241" s="7">
        <v>0.7</v>
      </c>
      <c r="J241" s="7">
        <v>1</v>
      </c>
      <c r="K241" s="7">
        <v>2</v>
      </c>
      <c r="L241" s="7">
        <v>1</v>
      </c>
      <c r="M241" s="7">
        <v>0.7</v>
      </c>
      <c r="N241" s="7">
        <v>0.7</v>
      </c>
      <c r="O241" s="7">
        <v>2</v>
      </c>
      <c r="P241" s="7">
        <v>6</v>
      </c>
    </row>
    <row r="242" spans="1:16" x14ac:dyDescent="0.35">
      <c r="A242" s="1" t="s">
        <v>263</v>
      </c>
      <c r="B242" s="1" t="s">
        <v>15</v>
      </c>
      <c r="C242" s="1" t="s">
        <v>47</v>
      </c>
      <c r="D242" s="7">
        <v>1</v>
      </c>
      <c r="E242" s="7">
        <v>7</v>
      </c>
      <c r="F242" s="7">
        <v>2</v>
      </c>
      <c r="G242" s="7">
        <v>0</v>
      </c>
      <c r="H242" s="7">
        <v>0</v>
      </c>
      <c r="I242" s="7">
        <v>2</v>
      </c>
      <c r="J242" s="7">
        <v>1</v>
      </c>
      <c r="K242" s="7">
        <v>1</v>
      </c>
      <c r="L242" s="7">
        <v>0</v>
      </c>
      <c r="M242" s="7">
        <v>1</v>
      </c>
      <c r="N242" s="7">
        <v>0</v>
      </c>
      <c r="O242" s="7">
        <v>1</v>
      </c>
      <c r="P242" s="7">
        <v>2</v>
      </c>
    </row>
    <row r="243" spans="1:16" x14ac:dyDescent="0.35">
      <c r="A243" s="1" t="s">
        <v>265</v>
      </c>
      <c r="B243" s="1" t="s">
        <v>15</v>
      </c>
      <c r="C243" s="1" t="s">
        <v>30</v>
      </c>
      <c r="D243" s="7">
        <v>5</v>
      </c>
      <c r="E243" s="7">
        <v>3.2</v>
      </c>
      <c r="F243" s="7">
        <v>0.6</v>
      </c>
      <c r="G243" s="7">
        <v>0.33300000000000002</v>
      </c>
      <c r="H243" s="7">
        <v>0.2</v>
      </c>
      <c r="I243" s="7">
        <v>0</v>
      </c>
      <c r="J243" s="7"/>
      <c r="K243" s="7">
        <v>0.6</v>
      </c>
      <c r="L243" s="7">
        <v>0.4</v>
      </c>
      <c r="M243" s="7">
        <v>0</v>
      </c>
      <c r="N243" s="7">
        <v>0</v>
      </c>
      <c r="O243" s="7">
        <v>0</v>
      </c>
      <c r="P243" s="7">
        <v>0.6</v>
      </c>
    </row>
    <row r="244" spans="1:16" x14ac:dyDescent="0.35">
      <c r="A244" s="1" t="s">
        <v>266</v>
      </c>
      <c r="B244" s="1" t="s">
        <v>34</v>
      </c>
      <c r="C244" s="1" t="s">
        <v>40</v>
      </c>
      <c r="D244" s="7">
        <v>12</v>
      </c>
      <c r="E244" s="7">
        <v>25.6</v>
      </c>
      <c r="F244" s="7">
        <v>9.5</v>
      </c>
      <c r="G244" s="7">
        <v>0.44700000000000001</v>
      </c>
      <c r="H244" s="7">
        <v>1.8</v>
      </c>
      <c r="I244" s="7">
        <v>0.8</v>
      </c>
      <c r="J244" s="7">
        <v>0.66700000000000004</v>
      </c>
      <c r="K244" s="7">
        <v>4.4000000000000004</v>
      </c>
      <c r="L244" s="7">
        <v>1.2</v>
      </c>
      <c r="M244" s="7">
        <v>0.2</v>
      </c>
      <c r="N244" s="7">
        <v>0.8</v>
      </c>
      <c r="O244" s="7">
        <v>1.7</v>
      </c>
      <c r="P244" s="7">
        <v>10.8</v>
      </c>
    </row>
    <row r="245" spans="1:16" x14ac:dyDescent="0.35">
      <c r="A245" s="1" t="s">
        <v>269</v>
      </c>
      <c r="B245" s="1" t="s">
        <v>25</v>
      </c>
      <c r="C245" s="1" t="s">
        <v>47</v>
      </c>
      <c r="D245" s="7">
        <v>11</v>
      </c>
      <c r="E245" s="7">
        <v>35.200000000000003</v>
      </c>
      <c r="F245" s="7">
        <v>19.8</v>
      </c>
      <c r="G245" s="7">
        <v>0.49099999999999999</v>
      </c>
      <c r="H245" s="7">
        <v>3.3</v>
      </c>
      <c r="I245" s="7">
        <v>5.6</v>
      </c>
      <c r="J245" s="7">
        <v>0.88700000000000001</v>
      </c>
      <c r="K245" s="7">
        <v>5.0999999999999996</v>
      </c>
      <c r="L245" s="7">
        <v>4.5999999999999996</v>
      </c>
      <c r="M245" s="7">
        <v>1.3</v>
      </c>
      <c r="N245" s="7">
        <v>0.6</v>
      </c>
      <c r="O245" s="7">
        <v>4.0999999999999996</v>
      </c>
      <c r="P245" s="7">
        <v>27.7</v>
      </c>
    </row>
    <row r="246" spans="1:16" x14ac:dyDescent="0.35">
      <c r="A246" s="1" t="s">
        <v>270</v>
      </c>
      <c r="B246" s="1" t="s">
        <v>34</v>
      </c>
      <c r="C246" s="1" t="s">
        <v>61</v>
      </c>
      <c r="D246" s="7">
        <v>9</v>
      </c>
      <c r="E246" s="7">
        <v>14.1</v>
      </c>
      <c r="F246" s="7">
        <v>3.6</v>
      </c>
      <c r="G246" s="7">
        <v>0.438</v>
      </c>
      <c r="H246" s="7">
        <v>0.2</v>
      </c>
      <c r="I246" s="7">
        <v>1.7</v>
      </c>
      <c r="J246" s="7">
        <v>0.86699999999999999</v>
      </c>
      <c r="K246" s="7">
        <v>0.8</v>
      </c>
      <c r="L246" s="7">
        <v>0.7</v>
      </c>
      <c r="M246" s="7">
        <v>0.8</v>
      </c>
      <c r="N246" s="7">
        <v>0.4</v>
      </c>
      <c r="O246" s="7">
        <v>0.4</v>
      </c>
      <c r="P246" s="7">
        <v>4.8</v>
      </c>
    </row>
    <row r="247" spans="1:16" x14ac:dyDescent="0.35">
      <c r="A247" s="1" t="s">
        <v>272</v>
      </c>
      <c r="B247" s="1" t="s">
        <v>46</v>
      </c>
      <c r="C247" s="1" t="s">
        <v>75</v>
      </c>
      <c r="D247" s="7">
        <v>2</v>
      </c>
      <c r="E247" s="7">
        <v>2</v>
      </c>
      <c r="F247" s="7">
        <v>1</v>
      </c>
      <c r="G247" s="7">
        <v>0.5</v>
      </c>
      <c r="H247" s="7">
        <v>0</v>
      </c>
      <c r="I247" s="7">
        <v>0.5</v>
      </c>
      <c r="J247" s="7">
        <v>1</v>
      </c>
      <c r="K247" s="7">
        <v>1.5</v>
      </c>
      <c r="L247" s="7">
        <v>0.5</v>
      </c>
      <c r="M247" s="7">
        <v>0</v>
      </c>
      <c r="N247" s="7">
        <v>0</v>
      </c>
      <c r="O247" s="7">
        <v>0</v>
      </c>
      <c r="P247" s="7">
        <v>1.5</v>
      </c>
    </row>
    <row r="248" spans="1:16" x14ac:dyDescent="0.35">
      <c r="A248" s="1" t="s">
        <v>274</v>
      </c>
      <c r="B248" s="1" t="s">
        <v>25</v>
      </c>
      <c r="C248" s="1" t="s">
        <v>87</v>
      </c>
      <c r="D248" s="7">
        <v>11</v>
      </c>
      <c r="E248" s="7">
        <v>19.100000000000001</v>
      </c>
      <c r="F248" s="7">
        <v>5.2</v>
      </c>
      <c r="G248" s="7">
        <v>0.47399999999999998</v>
      </c>
      <c r="H248" s="7">
        <v>1.9</v>
      </c>
      <c r="I248" s="7">
        <v>0.8</v>
      </c>
      <c r="J248" s="7">
        <v>0.88900000000000001</v>
      </c>
      <c r="K248" s="7">
        <v>3.5</v>
      </c>
      <c r="L248" s="7">
        <v>1.4</v>
      </c>
      <c r="M248" s="7">
        <v>0.7</v>
      </c>
      <c r="N248" s="7">
        <v>0</v>
      </c>
      <c r="O248" s="7">
        <v>0.4</v>
      </c>
      <c r="P248" s="7">
        <v>7.5</v>
      </c>
    </row>
    <row r="249" spans="1:16" x14ac:dyDescent="0.35">
      <c r="A249" s="1" t="s">
        <v>743</v>
      </c>
      <c r="B249" s="1" t="s">
        <v>46</v>
      </c>
      <c r="C249" s="1" t="s">
        <v>82</v>
      </c>
      <c r="D249" s="7">
        <v>1</v>
      </c>
      <c r="E249" s="7">
        <v>12</v>
      </c>
      <c r="F249" s="7">
        <v>5</v>
      </c>
      <c r="G249" s="7">
        <v>0.2</v>
      </c>
      <c r="H249" s="7">
        <v>0</v>
      </c>
      <c r="I249" s="7">
        <v>4</v>
      </c>
      <c r="J249" s="7">
        <v>0.5</v>
      </c>
      <c r="K249" s="7">
        <v>1</v>
      </c>
      <c r="L249" s="7">
        <v>1</v>
      </c>
      <c r="M249" s="7">
        <v>2</v>
      </c>
      <c r="N249" s="7">
        <v>0</v>
      </c>
      <c r="O249" s="7">
        <v>3</v>
      </c>
      <c r="P249" s="7">
        <v>4</v>
      </c>
    </row>
    <row r="250" spans="1:16" x14ac:dyDescent="0.35">
      <c r="A250" s="1" t="s">
        <v>275</v>
      </c>
      <c r="B250" s="1" t="s">
        <v>18</v>
      </c>
      <c r="C250" s="1" t="s">
        <v>44</v>
      </c>
      <c r="D250" s="7">
        <v>7</v>
      </c>
      <c r="E250" s="7">
        <v>10.9</v>
      </c>
      <c r="F250" s="7">
        <v>1.4</v>
      </c>
      <c r="G250" s="7">
        <v>0.5</v>
      </c>
      <c r="H250" s="7">
        <v>0.4</v>
      </c>
      <c r="I250" s="7">
        <v>0.9</v>
      </c>
      <c r="J250" s="7">
        <v>0.5</v>
      </c>
      <c r="K250" s="7">
        <v>1.6</v>
      </c>
      <c r="L250" s="7">
        <v>0.4</v>
      </c>
      <c r="M250" s="7">
        <v>0.1</v>
      </c>
      <c r="N250" s="7">
        <v>0.9</v>
      </c>
      <c r="O250" s="7">
        <v>1.1000000000000001</v>
      </c>
      <c r="P250" s="7">
        <v>2.2999999999999998</v>
      </c>
    </row>
    <row r="251" spans="1:16" x14ac:dyDescent="0.35">
      <c r="A251" s="1" t="s">
        <v>276</v>
      </c>
      <c r="B251" s="1" t="s">
        <v>34</v>
      </c>
      <c r="C251" s="1" t="s">
        <v>72</v>
      </c>
      <c r="D251" s="7">
        <v>9</v>
      </c>
      <c r="E251" s="7">
        <v>34.700000000000003</v>
      </c>
      <c r="F251" s="7">
        <v>18.899999999999999</v>
      </c>
      <c r="G251" s="7">
        <v>0.47099999999999997</v>
      </c>
      <c r="H251" s="7">
        <v>2.1</v>
      </c>
      <c r="I251" s="7">
        <v>5.3</v>
      </c>
      <c r="J251" s="7">
        <v>0.85399999999999998</v>
      </c>
      <c r="K251" s="7">
        <v>4.9000000000000004</v>
      </c>
      <c r="L251" s="7">
        <v>5.7</v>
      </c>
      <c r="M251" s="7">
        <v>2</v>
      </c>
      <c r="N251" s="7">
        <v>0.9</v>
      </c>
      <c r="O251" s="7">
        <v>2</v>
      </c>
      <c r="P251" s="7">
        <v>24.4</v>
      </c>
    </row>
    <row r="252" spans="1:16" x14ac:dyDescent="0.35">
      <c r="A252" s="1" t="s">
        <v>277</v>
      </c>
      <c r="B252" s="1" t="s">
        <v>18</v>
      </c>
      <c r="C252" s="1" t="s">
        <v>21</v>
      </c>
      <c r="D252" s="7">
        <v>3</v>
      </c>
      <c r="E252" s="7">
        <v>9.6999999999999993</v>
      </c>
      <c r="F252" s="7">
        <v>2.2999999999999998</v>
      </c>
      <c r="G252" s="7">
        <v>0.42899999999999999</v>
      </c>
      <c r="H252" s="7">
        <v>1</v>
      </c>
      <c r="I252" s="7">
        <v>0.7</v>
      </c>
      <c r="J252" s="7">
        <v>0.5</v>
      </c>
      <c r="K252" s="7">
        <v>2.2999999999999998</v>
      </c>
      <c r="L252" s="7">
        <v>0.7</v>
      </c>
      <c r="M252" s="7">
        <v>0</v>
      </c>
      <c r="N252" s="7">
        <v>0</v>
      </c>
      <c r="O252" s="7">
        <v>0.7</v>
      </c>
      <c r="P252" s="7">
        <v>3.3</v>
      </c>
    </row>
    <row r="253" spans="1:16" x14ac:dyDescent="0.35">
      <c r="A253" s="1" t="s">
        <v>278</v>
      </c>
      <c r="B253" s="1" t="s">
        <v>25</v>
      </c>
      <c r="C253" s="1" t="s">
        <v>30</v>
      </c>
      <c r="D253" s="7">
        <v>12</v>
      </c>
      <c r="E253" s="7">
        <v>27.8</v>
      </c>
      <c r="F253" s="7">
        <v>16.7</v>
      </c>
      <c r="G253" s="7">
        <v>0.435</v>
      </c>
      <c r="H253" s="7">
        <v>1.8</v>
      </c>
      <c r="I253" s="7">
        <v>2.8</v>
      </c>
      <c r="J253" s="7">
        <v>0.76500000000000001</v>
      </c>
      <c r="K253" s="7">
        <v>4.3</v>
      </c>
      <c r="L253" s="7">
        <v>6</v>
      </c>
      <c r="M253" s="7">
        <v>1.1000000000000001</v>
      </c>
      <c r="N253" s="7">
        <v>0.5</v>
      </c>
      <c r="O253" s="7">
        <v>2.2000000000000002</v>
      </c>
      <c r="P253" s="7">
        <v>18.5</v>
      </c>
    </row>
    <row r="254" spans="1:16" x14ac:dyDescent="0.35">
      <c r="A254" s="1" t="s">
        <v>702</v>
      </c>
      <c r="B254" s="1" t="s">
        <v>46</v>
      </c>
      <c r="C254" s="1" t="s">
        <v>26</v>
      </c>
      <c r="D254" s="7">
        <v>2</v>
      </c>
      <c r="E254" s="7">
        <v>6.5</v>
      </c>
      <c r="F254" s="7">
        <v>3.5</v>
      </c>
      <c r="G254" s="7">
        <v>0.28599999999999998</v>
      </c>
      <c r="H254" s="7">
        <v>0</v>
      </c>
      <c r="I254" s="7">
        <v>0</v>
      </c>
      <c r="J254" s="7"/>
      <c r="K254" s="7">
        <v>0</v>
      </c>
      <c r="L254" s="7">
        <v>0.5</v>
      </c>
      <c r="M254" s="7">
        <v>0.5</v>
      </c>
      <c r="N254" s="7">
        <v>0</v>
      </c>
      <c r="O254" s="7">
        <v>0</v>
      </c>
      <c r="P254" s="7">
        <v>2</v>
      </c>
    </row>
    <row r="255" spans="1:16" x14ac:dyDescent="0.35">
      <c r="A255" s="1" t="s">
        <v>279</v>
      </c>
      <c r="B255" s="1" t="s">
        <v>46</v>
      </c>
      <c r="C255" s="1" t="s">
        <v>43</v>
      </c>
      <c r="D255" s="7">
        <v>10</v>
      </c>
      <c r="E255" s="7">
        <v>35.1</v>
      </c>
      <c r="F255" s="7">
        <v>18.5</v>
      </c>
      <c r="G255" s="7">
        <v>0.438</v>
      </c>
      <c r="H255" s="7">
        <v>3.7</v>
      </c>
      <c r="I255" s="7">
        <v>6.8</v>
      </c>
      <c r="J255" s="7">
        <v>0.91200000000000003</v>
      </c>
      <c r="K255" s="7">
        <v>4.9000000000000004</v>
      </c>
      <c r="L255" s="7">
        <v>6.4</v>
      </c>
      <c r="M255" s="7">
        <v>0.8</v>
      </c>
      <c r="N255" s="7">
        <v>0.3</v>
      </c>
      <c r="O255" s="7">
        <v>3</v>
      </c>
      <c r="P255" s="7">
        <v>26.1</v>
      </c>
    </row>
    <row r="256" spans="1:16" x14ac:dyDescent="0.35">
      <c r="A256" s="1" t="s">
        <v>280</v>
      </c>
      <c r="B256" s="1" t="s">
        <v>15</v>
      </c>
      <c r="C256" s="1" t="s">
        <v>43</v>
      </c>
      <c r="D256" s="7">
        <v>2</v>
      </c>
      <c r="E256" s="7">
        <v>6.5</v>
      </c>
      <c r="F256" s="7">
        <v>1.5</v>
      </c>
      <c r="G256" s="7">
        <v>0.66700000000000004</v>
      </c>
      <c r="H256" s="7">
        <v>0.5</v>
      </c>
      <c r="I256" s="7">
        <v>0</v>
      </c>
      <c r="J256" s="7"/>
      <c r="K256" s="7">
        <v>1.5</v>
      </c>
      <c r="L256" s="7">
        <v>0</v>
      </c>
      <c r="M256" s="7">
        <v>0</v>
      </c>
      <c r="N256" s="7">
        <v>0.5</v>
      </c>
      <c r="O256" s="7">
        <v>0.5</v>
      </c>
      <c r="P256" s="7">
        <v>2.5</v>
      </c>
    </row>
    <row r="257" spans="1:16" x14ac:dyDescent="0.35">
      <c r="A257" s="1" t="s">
        <v>281</v>
      </c>
      <c r="B257" s="1" t="s">
        <v>18</v>
      </c>
      <c r="C257" s="1" t="s">
        <v>87</v>
      </c>
      <c r="D257" s="7">
        <v>11</v>
      </c>
      <c r="E257" s="7">
        <v>14.3</v>
      </c>
      <c r="F257" s="7">
        <v>2.5</v>
      </c>
      <c r="G257" s="7">
        <v>0.64300000000000002</v>
      </c>
      <c r="H257" s="7">
        <v>0</v>
      </c>
      <c r="I257" s="7">
        <v>1</v>
      </c>
      <c r="J257" s="7">
        <v>0.72699999999999998</v>
      </c>
      <c r="K257" s="7">
        <v>3.5</v>
      </c>
      <c r="L257" s="7">
        <v>1.5</v>
      </c>
      <c r="M257" s="7">
        <v>0.4</v>
      </c>
      <c r="N257" s="7">
        <v>0.2</v>
      </c>
      <c r="O257" s="7">
        <v>0.9</v>
      </c>
      <c r="P257" s="7">
        <v>4</v>
      </c>
    </row>
    <row r="258" spans="1:16" x14ac:dyDescent="0.35">
      <c r="A258" s="1" t="s">
        <v>282</v>
      </c>
      <c r="B258" s="1" t="s">
        <v>18</v>
      </c>
      <c r="C258" s="1" t="s">
        <v>38</v>
      </c>
      <c r="D258" s="7">
        <v>11</v>
      </c>
      <c r="E258" s="7">
        <v>25.7</v>
      </c>
      <c r="F258" s="7">
        <v>7.7</v>
      </c>
      <c r="G258" s="7">
        <v>0.42399999999999999</v>
      </c>
      <c r="H258" s="7">
        <v>1.7</v>
      </c>
      <c r="I258" s="7">
        <v>1</v>
      </c>
      <c r="J258" s="7">
        <v>0.90900000000000003</v>
      </c>
      <c r="K258" s="7">
        <v>4.3</v>
      </c>
      <c r="L258" s="7">
        <v>0.9</v>
      </c>
      <c r="M258" s="7">
        <v>0.7</v>
      </c>
      <c r="N258" s="7">
        <v>1.5</v>
      </c>
      <c r="O258" s="7">
        <v>0.6</v>
      </c>
      <c r="P258" s="7">
        <v>9.1999999999999993</v>
      </c>
    </row>
    <row r="259" spans="1:16" x14ac:dyDescent="0.35">
      <c r="A259" s="1" t="s">
        <v>283</v>
      </c>
      <c r="B259" s="1" t="s">
        <v>18</v>
      </c>
      <c r="C259" s="1" t="s">
        <v>67</v>
      </c>
      <c r="D259" s="7">
        <v>11</v>
      </c>
      <c r="E259" s="7">
        <v>16.2</v>
      </c>
      <c r="F259" s="7">
        <v>4.0999999999999996</v>
      </c>
      <c r="G259" s="7">
        <v>0.622</v>
      </c>
      <c r="H259" s="7">
        <v>0.2</v>
      </c>
      <c r="I259" s="7">
        <v>2.2999999999999998</v>
      </c>
      <c r="J259" s="7">
        <v>0.52</v>
      </c>
      <c r="K259" s="7">
        <v>4.2</v>
      </c>
      <c r="L259" s="7">
        <v>0.5</v>
      </c>
      <c r="M259" s="7">
        <v>0.1</v>
      </c>
      <c r="N259" s="7">
        <v>0.5</v>
      </c>
      <c r="O259" s="7">
        <v>0.6</v>
      </c>
      <c r="P259" s="7">
        <v>6.5</v>
      </c>
    </row>
    <row r="260" spans="1:16" x14ac:dyDescent="0.35">
      <c r="A260" s="1" t="s">
        <v>284</v>
      </c>
      <c r="B260" s="1" t="s">
        <v>15</v>
      </c>
      <c r="C260" s="1" t="s">
        <v>118</v>
      </c>
      <c r="D260" s="7">
        <v>2</v>
      </c>
      <c r="E260" s="7">
        <v>23</v>
      </c>
      <c r="F260" s="7">
        <v>9</v>
      </c>
      <c r="G260" s="7">
        <v>0.33300000000000002</v>
      </c>
      <c r="H260" s="7">
        <v>1.5</v>
      </c>
      <c r="I260" s="7">
        <v>2.5</v>
      </c>
      <c r="J260" s="7">
        <v>0.8</v>
      </c>
      <c r="K260" s="7">
        <v>6</v>
      </c>
      <c r="L260" s="7">
        <v>2.5</v>
      </c>
      <c r="M260" s="7">
        <v>0.5</v>
      </c>
      <c r="N260" s="7">
        <v>0</v>
      </c>
      <c r="O260" s="7">
        <v>1.5</v>
      </c>
      <c r="P260" s="7">
        <v>9.5</v>
      </c>
    </row>
    <row r="261" spans="1:16" x14ac:dyDescent="0.35">
      <c r="A261" s="1" t="s">
        <v>285</v>
      </c>
      <c r="B261" s="1" t="s">
        <v>46</v>
      </c>
      <c r="C261" s="1" t="s">
        <v>44</v>
      </c>
      <c r="D261" s="7">
        <v>9</v>
      </c>
      <c r="E261" s="7">
        <v>36.4</v>
      </c>
      <c r="F261" s="7">
        <v>14.4</v>
      </c>
      <c r="G261" s="7">
        <v>0.40799999999999997</v>
      </c>
      <c r="H261" s="7">
        <v>2.9</v>
      </c>
      <c r="I261" s="7">
        <v>5</v>
      </c>
      <c r="J261" s="7">
        <v>0.86699999999999999</v>
      </c>
      <c r="K261" s="7">
        <v>6</v>
      </c>
      <c r="L261" s="7">
        <v>6.7</v>
      </c>
      <c r="M261" s="7">
        <v>1.1000000000000001</v>
      </c>
      <c r="N261" s="7">
        <v>0</v>
      </c>
      <c r="O261" s="7">
        <v>3.1</v>
      </c>
      <c r="P261" s="7">
        <v>19</v>
      </c>
    </row>
    <row r="262" spans="1:16" x14ac:dyDescent="0.35">
      <c r="A262" s="1" t="s">
        <v>610</v>
      </c>
      <c r="B262" s="1" t="s">
        <v>34</v>
      </c>
      <c r="C262" s="1" t="s">
        <v>30</v>
      </c>
      <c r="D262" s="7">
        <v>12</v>
      </c>
      <c r="E262" s="7">
        <v>20.3</v>
      </c>
      <c r="F262" s="7">
        <v>7</v>
      </c>
      <c r="G262" s="7">
        <v>0.44</v>
      </c>
      <c r="H262" s="7">
        <v>1.8</v>
      </c>
      <c r="I262" s="7">
        <v>1.2</v>
      </c>
      <c r="J262" s="7">
        <v>0.78600000000000003</v>
      </c>
      <c r="K262" s="7">
        <v>2.2999999999999998</v>
      </c>
      <c r="L262" s="7">
        <v>1.2</v>
      </c>
      <c r="M262" s="7">
        <v>0.6</v>
      </c>
      <c r="N262" s="7">
        <v>0.2</v>
      </c>
      <c r="O262" s="7">
        <v>0.8</v>
      </c>
      <c r="P262" s="7">
        <v>8.8000000000000007</v>
      </c>
    </row>
    <row r="263" spans="1:16" x14ac:dyDescent="0.35">
      <c r="A263" s="1" t="s">
        <v>286</v>
      </c>
      <c r="B263" s="1" t="s">
        <v>15</v>
      </c>
      <c r="C263" s="1" t="s">
        <v>23</v>
      </c>
      <c r="D263" s="7">
        <v>6</v>
      </c>
      <c r="E263" s="7">
        <v>13.8</v>
      </c>
      <c r="F263" s="7">
        <v>2.7</v>
      </c>
      <c r="G263" s="7">
        <v>0.375</v>
      </c>
      <c r="H263" s="7">
        <v>0.3</v>
      </c>
      <c r="I263" s="7">
        <v>0.8</v>
      </c>
      <c r="J263" s="7">
        <v>0.4</v>
      </c>
      <c r="K263" s="7">
        <v>4.3</v>
      </c>
      <c r="L263" s="7">
        <v>0.5</v>
      </c>
      <c r="M263" s="7">
        <v>0</v>
      </c>
      <c r="N263" s="7">
        <v>0</v>
      </c>
      <c r="O263" s="7">
        <v>0</v>
      </c>
      <c r="P263" s="7">
        <v>2.7</v>
      </c>
    </row>
    <row r="264" spans="1:16" x14ac:dyDescent="0.35">
      <c r="A264" s="1" t="s">
        <v>288</v>
      </c>
      <c r="B264" s="1" t="s">
        <v>18</v>
      </c>
      <c r="C264" s="1" t="s">
        <v>118</v>
      </c>
      <c r="D264" s="7">
        <v>8</v>
      </c>
      <c r="E264" s="7">
        <v>9.5</v>
      </c>
      <c r="F264" s="7">
        <v>2.2999999999999998</v>
      </c>
      <c r="G264" s="7">
        <v>0.55600000000000005</v>
      </c>
      <c r="H264" s="7">
        <v>0</v>
      </c>
      <c r="I264" s="7">
        <v>1.4</v>
      </c>
      <c r="J264" s="7">
        <v>0.90900000000000003</v>
      </c>
      <c r="K264" s="7">
        <v>2.2999999999999998</v>
      </c>
      <c r="L264" s="7">
        <v>0.5</v>
      </c>
      <c r="M264" s="7">
        <v>0.3</v>
      </c>
      <c r="N264" s="7">
        <v>0.5</v>
      </c>
      <c r="O264" s="7">
        <v>0.4</v>
      </c>
      <c r="P264" s="7">
        <v>3.8</v>
      </c>
    </row>
    <row r="265" spans="1:16" x14ac:dyDescent="0.35">
      <c r="A265" s="1" t="s">
        <v>703</v>
      </c>
      <c r="B265" s="1" t="s">
        <v>46</v>
      </c>
      <c r="C265" s="1" t="s">
        <v>19</v>
      </c>
      <c r="D265" s="7">
        <v>10</v>
      </c>
      <c r="E265" s="7">
        <v>19.899999999999999</v>
      </c>
      <c r="F265" s="7">
        <v>6</v>
      </c>
      <c r="G265" s="7">
        <v>0.36699999999999999</v>
      </c>
      <c r="H265" s="7">
        <v>1</v>
      </c>
      <c r="I265" s="7">
        <v>1.1000000000000001</v>
      </c>
      <c r="J265" s="7">
        <v>0.45500000000000002</v>
      </c>
      <c r="K265" s="7">
        <v>2</v>
      </c>
      <c r="L265" s="7">
        <v>2.8</v>
      </c>
      <c r="M265" s="7">
        <v>0.7</v>
      </c>
      <c r="N265" s="7">
        <v>0</v>
      </c>
      <c r="O265" s="7">
        <v>2</v>
      </c>
      <c r="P265" s="7">
        <v>5.9</v>
      </c>
    </row>
    <row r="266" spans="1:16" x14ac:dyDescent="0.35">
      <c r="A266" s="1" t="s">
        <v>704</v>
      </c>
      <c r="B266" s="1" t="s">
        <v>46</v>
      </c>
      <c r="C266" s="1" t="s">
        <v>33</v>
      </c>
      <c r="D266" s="7">
        <v>5</v>
      </c>
      <c r="E266" s="7">
        <v>10</v>
      </c>
      <c r="F266" s="7">
        <v>1.4</v>
      </c>
      <c r="G266" s="7">
        <v>0</v>
      </c>
      <c r="H266" s="7">
        <v>0</v>
      </c>
      <c r="I266" s="7">
        <v>0.8</v>
      </c>
      <c r="J266" s="7">
        <v>1</v>
      </c>
      <c r="K266" s="7">
        <v>2</v>
      </c>
      <c r="L266" s="7">
        <v>0.2</v>
      </c>
      <c r="M266" s="7">
        <v>0</v>
      </c>
      <c r="N266" s="7">
        <v>0.2</v>
      </c>
      <c r="O266" s="7">
        <v>0.6</v>
      </c>
      <c r="P266" s="7">
        <v>0.8</v>
      </c>
    </row>
    <row r="267" spans="1:16" x14ac:dyDescent="0.35">
      <c r="A267" s="1" t="s">
        <v>289</v>
      </c>
      <c r="B267" s="1" t="s">
        <v>25</v>
      </c>
      <c r="C267" s="1" t="s">
        <v>72</v>
      </c>
      <c r="D267" s="7">
        <v>10</v>
      </c>
      <c r="E267" s="7">
        <v>7.9</v>
      </c>
      <c r="F267" s="7">
        <v>2.1</v>
      </c>
      <c r="G267" s="7">
        <v>0.33300000000000002</v>
      </c>
      <c r="H267" s="7">
        <v>0</v>
      </c>
      <c r="I267" s="7">
        <v>0</v>
      </c>
      <c r="J267" s="7"/>
      <c r="K267" s="7">
        <v>1.7</v>
      </c>
      <c r="L267" s="7">
        <v>0.5</v>
      </c>
      <c r="M267" s="7">
        <v>0</v>
      </c>
      <c r="N267" s="7">
        <v>0.2</v>
      </c>
      <c r="O267" s="7">
        <v>0.4</v>
      </c>
      <c r="P267" s="7">
        <v>1.4</v>
      </c>
    </row>
    <row r="268" spans="1:16" x14ac:dyDescent="0.35">
      <c r="A268" s="1" t="s">
        <v>748</v>
      </c>
      <c r="B268" s="1" t="s">
        <v>46</v>
      </c>
      <c r="C268" s="1" t="s">
        <v>87</v>
      </c>
      <c r="D268" s="7">
        <v>1</v>
      </c>
      <c r="E268" s="7">
        <v>8</v>
      </c>
      <c r="F268" s="7">
        <v>2</v>
      </c>
      <c r="G268" s="7">
        <v>0</v>
      </c>
      <c r="H268" s="7">
        <v>0</v>
      </c>
      <c r="I268" s="7">
        <v>0</v>
      </c>
      <c r="J268" s="7"/>
      <c r="K268" s="7">
        <v>2</v>
      </c>
      <c r="L268" s="7">
        <v>2</v>
      </c>
      <c r="M268" s="7">
        <v>0</v>
      </c>
      <c r="N268" s="7">
        <v>0</v>
      </c>
      <c r="O268" s="7">
        <v>0</v>
      </c>
      <c r="P268" s="7">
        <v>0</v>
      </c>
    </row>
    <row r="269" spans="1:16" x14ac:dyDescent="0.35">
      <c r="A269" s="1" t="s">
        <v>611</v>
      </c>
      <c r="B269" s="1" t="s">
        <v>18</v>
      </c>
      <c r="C269" s="1" t="s">
        <v>56</v>
      </c>
      <c r="D269" s="7">
        <v>6</v>
      </c>
      <c r="E269" s="7">
        <v>7.7</v>
      </c>
      <c r="F269" s="7">
        <v>3.7</v>
      </c>
      <c r="G269" s="7">
        <v>0.63600000000000001</v>
      </c>
      <c r="H269" s="7">
        <v>0</v>
      </c>
      <c r="I269" s="7">
        <v>0.7</v>
      </c>
      <c r="J269" s="7">
        <v>0.5</v>
      </c>
      <c r="K269" s="7">
        <v>2.8</v>
      </c>
      <c r="L269" s="7">
        <v>0</v>
      </c>
      <c r="M269" s="7">
        <v>0</v>
      </c>
      <c r="N269" s="7">
        <v>0</v>
      </c>
      <c r="O269" s="7">
        <v>0.2</v>
      </c>
      <c r="P269" s="7">
        <v>5</v>
      </c>
    </row>
    <row r="270" spans="1:16" x14ac:dyDescent="0.35">
      <c r="A270" s="1" t="s">
        <v>290</v>
      </c>
      <c r="B270" s="1" t="s">
        <v>15</v>
      </c>
      <c r="C270" s="1" t="s">
        <v>47</v>
      </c>
      <c r="D270" s="7">
        <v>4</v>
      </c>
      <c r="E270" s="7">
        <v>26.5</v>
      </c>
      <c r="F270" s="7">
        <v>11</v>
      </c>
      <c r="G270" s="7">
        <v>0.5</v>
      </c>
      <c r="H270" s="7">
        <v>2.8</v>
      </c>
      <c r="I270" s="7">
        <v>4.5</v>
      </c>
      <c r="J270" s="7">
        <v>0.77800000000000002</v>
      </c>
      <c r="K270" s="7">
        <v>6.8</v>
      </c>
      <c r="L270" s="7">
        <v>1.3</v>
      </c>
      <c r="M270" s="7">
        <v>0.8</v>
      </c>
      <c r="N270" s="7">
        <v>0.3</v>
      </c>
      <c r="O270" s="7">
        <v>1.8</v>
      </c>
      <c r="P270" s="7">
        <v>17.3</v>
      </c>
    </row>
    <row r="271" spans="1:16" x14ac:dyDescent="0.35">
      <c r="A271" s="1" t="s">
        <v>291</v>
      </c>
      <c r="B271" s="1" t="s">
        <v>34</v>
      </c>
      <c r="C271" s="1" t="s">
        <v>54</v>
      </c>
      <c r="D271" s="7">
        <v>10</v>
      </c>
      <c r="E271" s="7">
        <v>15.2</v>
      </c>
      <c r="F271" s="7">
        <v>5.2</v>
      </c>
      <c r="G271" s="7">
        <v>0.53800000000000003</v>
      </c>
      <c r="H271" s="7">
        <v>0.8</v>
      </c>
      <c r="I271" s="7">
        <v>1.1000000000000001</v>
      </c>
      <c r="J271" s="7">
        <v>0.54500000000000004</v>
      </c>
      <c r="K271" s="7">
        <v>2.1</v>
      </c>
      <c r="L271" s="7">
        <v>1.4</v>
      </c>
      <c r="M271" s="7">
        <v>0.8</v>
      </c>
      <c r="N271" s="7">
        <v>0.1</v>
      </c>
      <c r="O271" s="7">
        <v>0.6</v>
      </c>
      <c r="P271" s="7">
        <v>7</v>
      </c>
    </row>
    <row r="272" spans="1:16" x14ac:dyDescent="0.35">
      <c r="A272" s="1" t="s">
        <v>292</v>
      </c>
      <c r="B272" s="1" t="s">
        <v>34</v>
      </c>
      <c r="C272" s="1" t="s">
        <v>54</v>
      </c>
      <c r="D272" s="7">
        <v>9</v>
      </c>
      <c r="E272" s="7">
        <v>12.1</v>
      </c>
      <c r="F272" s="7">
        <v>2.6</v>
      </c>
      <c r="G272" s="7">
        <v>0.47799999999999998</v>
      </c>
      <c r="H272" s="7">
        <v>0.1</v>
      </c>
      <c r="I272" s="7">
        <v>0.8</v>
      </c>
      <c r="J272" s="7">
        <v>0.85699999999999998</v>
      </c>
      <c r="K272" s="7">
        <v>2.2000000000000002</v>
      </c>
      <c r="L272" s="7">
        <v>1.4</v>
      </c>
      <c r="M272" s="7">
        <v>0.4</v>
      </c>
      <c r="N272" s="7">
        <v>0</v>
      </c>
      <c r="O272" s="7">
        <v>0.7</v>
      </c>
      <c r="P272" s="7">
        <v>3.2</v>
      </c>
    </row>
    <row r="273" spans="1:16" x14ac:dyDescent="0.35">
      <c r="A273" s="1" t="s">
        <v>293</v>
      </c>
      <c r="B273" s="1" t="s">
        <v>34</v>
      </c>
      <c r="C273" s="1" t="s">
        <v>75</v>
      </c>
      <c r="D273" s="7">
        <v>4</v>
      </c>
      <c r="E273" s="7">
        <v>5.8</v>
      </c>
      <c r="F273" s="7">
        <v>2.8</v>
      </c>
      <c r="G273" s="7">
        <v>0.182</v>
      </c>
      <c r="H273" s="7">
        <v>0</v>
      </c>
      <c r="I273" s="7">
        <v>0</v>
      </c>
      <c r="J273" s="7"/>
      <c r="K273" s="7">
        <v>1.5</v>
      </c>
      <c r="L273" s="7">
        <v>0</v>
      </c>
      <c r="M273" s="7">
        <v>0.5</v>
      </c>
      <c r="N273" s="7">
        <v>0</v>
      </c>
      <c r="O273" s="7">
        <v>0.5</v>
      </c>
      <c r="P273" s="7">
        <v>1</v>
      </c>
    </row>
    <row r="274" spans="1:16" x14ac:dyDescent="0.35">
      <c r="A274" s="1" t="s">
        <v>765</v>
      </c>
      <c r="B274" s="1" t="s">
        <v>34</v>
      </c>
      <c r="C274" s="1" t="s">
        <v>36</v>
      </c>
      <c r="D274" s="7">
        <v>3</v>
      </c>
      <c r="E274" s="7">
        <v>4.7</v>
      </c>
      <c r="F274" s="7">
        <v>2.7</v>
      </c>
      <c r="G274" s="7">
        <v>0.375</v>
      </c>
      <c r="H274" s="7">
        <v>0.3</v>
      </c>
      <c r="I274" s="7">
        <v>0</v>
      </c>
      <c r="J274" s="7"/>
      <c r="K274" s="7">
        <v>1</v>
      </c>
      <c r="L274" s="7">
        <v>1</v>
      </c>
      <c r="M274" s="7">
        <v>0.3</v>
      </c>
      <c r="N274" s="7">
        <v>0</v>
      </c>
      <c r="O274" s="7">
        <v>0</v>
      </c>
      <c r="P274" s="7">
        <v>2.2999999999999998</v>
      </c>
    </row>
    <row r="275" spans="1:16" x14ac:dyDescent="0.35">
      <c r="A275" s="1" t="s">
        <v>295</v>
      </c>
      <c r="B275" s="1" t="s">
        <v>25</v>
      </c>
      <c r="C275" s="1" t="s">
        <v>67</v>
      </c>
      <c r="D275" s="7">
        <v>5</v>
      </c>
      <c r="E275" s="7">
        <v>12.8</v>
      </c>
      <c r="F275" s="7">
        <v>5.4</v>
      </c>
      <c r="G275" s="7">
        <v>0.44400000000000001</v>
      </c>
      <c r="H275" s="7">
        <v>1.6</v>
      </c>
      <c r="I275" s="7">
        <v>1.8</v>
      </c>
      <c r="J275" s="7">
        <v>0.88900000000000001</v>
      </c>
      <c r="K275" s="7">
        <v>1.6</v>
      </c>
      <c r="L275" s="7">
        <v>1</v>
      </c>
      <c r="M275" s="7">
        <v>0.8</v>
      </c>
      <c r="N275" s="7">
        <v>0.2</v>
      </c>
      <c r="O275" s="7">
        <v>0.2</v>
      </c>
      <c r="P275" s="7">
        <v>8</v>
      </c>
    </row>
    <row r="276" spans="1:16" x14ac:dyDescent="0.35">
      <c r="A276" s="1" t="s">
        <v>705</v>
      </c>
      <c r="B276" s="1" t="s">
        <v>25</v>
      </c>
      <c r="C276" s="1" t="s">
        <v>80</v>
      </c>
      <c r="D276" s="7">
        <v>7</v>
      </c>
      <c r="E276" s="7">
        <v>17.3</v>
      </c>
      <c r="F276" s="7">
        <v>6.7</v>
      </c>
      <c r="G276" s="7">
        <v>0.40400000000000003</v>
      </c>
      <c r="H276" s="7">
        <v>1.1000000000000001</v>
      </c>
      <c r="I276" s="7">
        <v>0.9</v>
      </c>
      <c r="J276" s="7">
        <v>0.33300000000000002</v>
      </c>
      <c r="K276" s="7">
        <v>1</v>
      </c>
      <c r="L276" s="7">
        <v>1.7</v>
      </c>
      <c r="M276" s="7">
        <v>0.1</v>
      </c>
      <c r="N276" s="7">
        <v>0.4</v>
      </c>
      <c r="O276" s="7">
        <v>0.1</v>
      </c>
      <c r="P276" s="7">
        <v>6.9</v>
      </c>
    </row>
    <row r="277" spans="1:16" x14ac:dyDescent="0.35">
      <c r="A277" s="1" t="s">
        <v>296</v>
      </c>
      <c r="B277" s="1" t="s">
        <v>25</v>
      </c>
      <c r="C277" s="1" t="s">
        <v>40</v>
      </c>
      <c r="D277" s="7">
        <v>10</v>
      </c>
      <c r="E277" s="7">
        <v>22.1</v>
      </c>
      <c r="F277" s="7">
        <v>4.5</v>
      </c>
      <c r="G277" s="7">
        <v>0.46700000000000003</v>
      </c>
      <c r="H277" s="7">
        <v>1.6</v>
      </c>
      <c r="I277" s="7">
        <v>0.4</v>
      </c>
      <c r="J277" s="7">
        <v>0.75</v>
      </c>
      <c r="K277" s="7">
        <v>1.4</v>
      </c>
      <c r="L277" s="7">
        <v>1.1000000000000001</v>
      </c>
      <c r="M277" s="7">
        <v>0.4</v>
      </c>
      <c r="N277" s="7">
        <v>0.4</v>
      </c>
      <c r="O277" s="7">
        <v>0.1</v>
      </c>
      <c r="P277" s="7">
        <v>6.1</v>
      </c>
    </row>
    <row r="278" spans="1:16" x14ac:dyDescent="0.35">
      <c r="A278" s="1" t="s">
        <v>706</v>
      </c>
      <c r="B278" s="1" t="s">
        <v>25</v>
      </c>
      <c r="C278" s="1" t="s">
        <v>80</v>
      </c>
      <c r="D278" s="7">
        <v>12</v>
      </c>
      <c r="E278" s="7">
        <v>21</v>
      </c>
      <c r="F278" s="7">
        <v>10.5</v>
      </c>
      <c r="G278" s="7">
        <v>0.47599999999999998</v>
      </c>
      <c r="H278" s="7">
        <v>0.8</v>
      </c>
      <c r="I278" s="7">
        <v>0.4</v>
      </c>
      <c r="J278" s="7">
        <v>0.6</v>
      </c>
      <c r="K278" s="7">
        <v>2.6</v>
      </c>
      <c r="L278" s="7">
        <v>2.7</v>
      </c>
      <c r="M278" s="7">
        <v>0.7</v>
      </c>
      <c r="N278" s="7">
        <v>0.3</v>
      </c>
      <c r="O278" s="7">
        <v>0.8</v>
      </c>
      <c r="P278" s="7">
        <v>11</v>
      </c>
    </row>
    <row r="279" spans="1:16" x14ac:dyDescent="0.35">
      <c r="A279" s="1" t="s">
        <v>707</v>
      </c>
      <c r="B279" s="1" t="s">
        <v>25</v>
      </c>
      <c r="C279" s="1" t="s">
        <v>70</v>
      </c>
      <c r="D279" s="7">
        <v>3</v>
      </c>
      <c r="E279" s="7">
        <v>3.7</v>
      </c>
      <c r="F279" s="7">
        <v>1</v>
      </c>
      <c r="G279" s="7">
        <v>0</v>
      </c>
      <c r="H279" s="7">
        <v>0</v>
      </c>
      <c r="I279" s="7">
        <v>0</v>
      </c>
      <c r="J279" s="7"/>
      <c r="K279" s="7">
        <v>0</v>
      </c>
      <c r="L279" s="7">
        <v>0.3</v>
      </c>
      <c r="M279" s="7">
        <v>0</v>
      </c>
      <c r="N279" s="7">
        <v>0</v>
      </c>
      <c r="O279" s="7">
        <v>0</v>
      </c>
      <c r="P279" s="7">
        <v>0</v>
      </c>
    </row>
    <row r="280" spans="1:16" x14ac:dyDescent="0.35">
      <c r="A280" s="1" t="s">
        <v>612</v>
      </c>
      <c r="B280" s="1" t="s">
        <v>25</v>
      </c>
      <c r="C280" s="1" t="s">
        <v>43</v>
      </c>
      <c r="D280" s="7">
        <v>10</v>
      </c>
      <c r="E280" s="7">
        <v>34.5</v>
      </c>
      <c r="F280" s="7">
        <v>20.8</v>
      </c>
      <c r="G280" s="7">
        <v>0.47599999999999998</v>
      </c>
      <c r="H280" s="7">
        <v>4.9000000000000004</v>
      </c>
      <c r="I280" s="7">
        <v>3.9</v>
      </c>
      <c r="J280" s="7">
        <v>0.872</v>
      </c>
      <c r="K280" s="7">
        <v>4.0999999999999996</v>
      </c>
      <c r="L280" s="7">
        <v>5</v>
      </c>
      <c r="M280" s="7">
        <v>1.6</v>
      </c>
      <c r="N280" s="7">
        <v>0.3</v>
      </c>
      <c r="O280" s="7">
        <v>1.1000000000000001</v>
      </c>
      <c r="P280" s="7">
        <v>28.1</v>
      </c>
    </row>
    <row r="281" spans="1:16" x14ac:dyDescent="0.35">
      <c r="A281" s="1" t="s">
        <v>298</v>
      </c>
      <c r="B281" s="1" t="s">
        <v>46</v>
      </c>
      <c r="C281" s="1" t="s">
        <v>75</v>
      </c>
      <c r="D281" s="7">
        <v>8</v>
      </c>
      <c r="E281" s="7">
        <v>17</v>
      </c>
      <c r="F281" s="7">
        <v>3.3</v>
      </c>
      <c r="G281" s="7">
        <v>0.53800000000000003</v>
      </c>
      <c r="H281" s="7">
        <v>0</v>
      </c>
      <c r="I281" s="7">
        <v>0.3</v>
      </c>
      <c r="J281" s="7">
        <v>0.5</v>
      </c>
      <c r="K281" s="7">
        <v>2.9</v>
      </c>
      <c r="L281" s="7">
        <v>4.4000000000000004</v>
      </c>
      <c r="M281" s="7">
        <v>1.5</v>
      </c>
      <c r="N281" s="7">
        <v>0</v>
      </c>
      <c r="O281" s="7">
        <v>1.4</v>
      </c>
      <c r="P281" s="7">
        <v>3.6</v>
      </c>
    </row>
    <row r="282" spans="1:16" x14ac:dyDescent="0.35">
      <c r="A282" s="1" t="s">
        <v>708</v>
      </c>
      <c r="B282" s="1" t="s">
        <v>15</v>
      </c>
      <c r="C282" s="1" t="s">
        <v>61</v>
      </c>
      <c r="D282" s="7">
        <v>5</v>
      </c>
      <c r="E282" s="7">
        <v>7.4</v>
      </c>
      <c r="F282" s="7">
        <v>2.2000000000000002</v>
      </c>
      <c r="G282" s="7">
        <v>0.54500000000000004</v>
      </c>
      <c r="H282" s="7">
        <v>0.8</v>
      </c>
      <c r="I282" s="7">
        <v>0.4</v>
      </c>
      <c r="J282" s="7">
        <v>0.5</v>
      </c>
      <c r="K282" s="7">
        <v>1.6</v>
      </c>
      <c r="L282" s="7">
        <v>0.8</v>
      </c>
      <c r="M282" s="7">
        <v>0.4</v>
      </c>
      <c r="N282" s="7">
        <v>0.2</v>
      </c>
      <c r="O282" s="7">
        <v>0.6</v>
      </c>
      <c r="P282" s="7">
        <v>3.4</v>
      </c>
    </row>
    <row r="283" spans="1:16" x14ac:dyDescent="0.35">
      <c r="A283" s="1" t="s">
        <v>299</v>
      </c>
      <c r="B283" s="1" t="s">
        <v>34</v>
      </c>
      <c r="C283" s="1" t="s">
        <v>54</v>
      </c>
      <c r="D283" s="7">
        <v>8</v>
      </c>
      <c r="E283" s="7">
        <v>10.3</v>
      </c>
      <c r="F283" s="7">
        <v>3</v>
      </c>
      <c r="G283" s="7">
        <v>0.54200000000000004</v>
      </c>
      <c r="H283" s="7">
        <v>0.3</v>
      </c>
      <c r="I283" s="7">
        <v>1.4</v>
      </c>
      <c r="J283" s="7">
        <v>0.63600000000000001</v>
      </c>
      <c r="K283" s="7">
        <v>2.4</v>
      </c>
      <c r="L283" s="7">
        <v>0.6</v>
      </c>
      <c r="M283" s="7">
        <v>0.3</v>
      </c>
      <c r="N283" s="7">
        <v>0</v>
      </c>
      <c r="O283" s="7">
        <v>1</v>
      </c>
      <c r="P283" s="7">
        <v>4.4000000000000004</v>
      </c>
    </row>
    <row r="284" spans="1:16" x14ac:dyDescent="0.35">
      <c r="A284" s="1" t="s">
        <v>300</v>
      </c>
      <c r="B284" s="1" t="s">
        <v>15</v>
      </c>
      <c r="C284" s="1" t="s">
        <v>75</v>
      </c>
      <c r="D284" s="7">
        <v>11</v>
      </c>
      <c r="E284" s="7">
        <v>23.5</v>
      </c>
      <c r="F284" s="7">
        <v>8.3000000000000007</v>
      </c>
      <c r="G284" s="7">
        <v>0.495</v>
      </c>
      <c r="H284" s="7">
        <v>1.7</v>
      </c>
      <c r="I284" s="7">
        <v>1.9</v>
      </c>
      <c r="J284" s="7">
        <v>0.76200000000000001</v>
      </c>
      <c r="K284" s="7">
        <v>3.6</v>
      </c>
      <c r="L284" s="7">
        <v>0.9</v>
      </c>
      <c r="M284" s="7">
        <v>0.3</v>
      </c>
      <c r="N284" s="7">
        <v>0</v>
      </c>
      <c r="O284" s="7">
        <v>0.8</v>
      </c>
      <c r="P284" s="7">
        <v>11.4</v>
      </c>
    </row>
    <row r="285" spans="1:16" x14ac:dyDescent="0.35">
      <c r="A285" s="1" t="s">
        <v>709</v>
      </c>
      <c r="B285" s="1" t="s">
        <v>34</v>
      </c>
      <c r="C285" s="1" t="s">
        <v>28</v>
      </c>
      <c r="D285" s="7">
        <v>3</v>
      </c>
      <c r="E285" s="7">
        <v>14</v>
      </c>
      <c r="F285" s="7">
        <v>2.2999999999999998</v>
      </c>
      <c r="G285" s="7">
        <v>0.28599999999999998</v>
      </c>
      <c r="H285" s="7">
        <v>0.3</v>
      </c>
      <c r="I285" s="7">
        <v>0.7</v>
      </c>
      <c r="J285" s="7">
        <v>1</v>
      </c>
      <c r="K285" s="7">
        <v>1</v>
      </c>
      <c r="L285" s="7">
        <v>1</v>
      </c>
      <c r="M285" s="7">
        <v>0</v>
      </c>
      <c r="N285" s="7">
        <v>0</v>
      </c>
      <c r="O285" s="7">
        <v>1</v>
      </c>
      <c r="P285" s="7">
        <v>2.2999999999999998</v>
      </c>
    </row>
    <row r="286" spans="1:16" x14ac:dyDescent="0.35">
      <c r="A286" s="1" t="s">
        <v>301</v>
      </c>
      <c r="B286" s="1" t="s">
        <v>18</v>
      </c>
      <c r="C286" s="1" t="s">
        <v>118</v>
      </c>
      <c r="D286" s="7">
        <v>12</v>
      </c>
      <c r="E286" s="7">
        <v>17.3</v>
      </c>
      <c r="F286" s="7">
        <v>7.5</v>
      </c>
      <c r="G286" s="7">
        <v>0.45600000000000002</v>
      </c>
      <c r="H286" s="7">
        <v>0.3</v>
      </c>
      <c r="I286" s="7">
        <v>2.2000000000000002</v>
      </c>
      <c r="J286" s="7">
        <v>0.61499999999999999</v>
      </c>
      <c r="K286" s="7">
        <v>6.7</v>
      </c>
      <c r="L286" s="7">
        <v>1.3</v>
      </c>
      <c r="M286" s="7">
        <v>0.6</v>
      </c>
      <c r="N286" s="7">
        <v>1.1000000000000001</v>
      </c>
      <c r="O286" s="7">
        <v>1.2</v>
      </c>
      <c r="P286" s="7">
        <v>8.5</v>
      </c>
    </row>
    <row r="287" spans="1:16" x14ac:dyDescent="0.35">
      <c r="A287" s="1" t="s">
        <v>302</v>
      </c>
      <c r="B287" s="1" t="s">
        <v>25</v>
      </c>
      <c r="C287" s="1" t="s">
        <v>82</v>
      </c>
      <c r="D287" s="7">
        <v>2</v>
      </c>
      <c r="E287" s="7">
        <v>6</v>
      </c>
      <c r="F287" s="7">
        <v>0.5</v>
      </c>
      <c r="G287" s="7">
        <v>1</v>
      </c>
      <c r="H287" s="7">
        <v>0</v>
      </c>
      <c r="I287" s="7">
        <v>0.5</v>
      </c>
      <c r="J287" s="7">
        <v>1</v>
      </c>
      <c r="K287" s="7">
        <v>0.5</v>
      </c>
      <c r="L287" s="7">
        <v>0</v>
      </c>
      <c r="M287" s="7">
        <v>0</v>
      </c>
      <c r="N287" s="7">
        <v>0</v>
      </c>
      <c r="O287" s="7">
        <v>0</v>
      </c>
      <c r="P287" s="7">
        <v>1.5</v>
      </c>
    </row>
    <row r="288" spans="1:16" x14ac:dyDescent="0.35">
      <c r="A288" s="1" t="s">
        <v>303</v>
      </c>
      <c r="B288" s="1" t="s">
        <v>34</v>
      </c>
      <c r="C288" s="1" t="s">
        <v>40</v>
      </c>
      <c r="D288" s="7">
        <v>7</v>
      </c>
      <c r="E288" s="7">
        <v>3.1</v>
      </c>
      <c r="F288" s="7">
        <v>1</v>
      </c>
      <c r="G288" s="7">
        <v>0.85699999999999998</v>
      </c>
      <c r="H288" s="7">
        <v>0.3</v>
      </c>
      <c r="I288" s="7">
        <v>0.3</v>
      </c>
      <c r="J288" s="7">
        <v>1</v>
      </c>
      <c r="K288" s="7">
        <v>0.9</v>
      </c>
      <c r="L288" s="7">
        <v>0</v>
      </c>
      <c r="M288" s="7">
        <v>0</v>
      </c>
      <c r="N288" s="7">
        <v>0</v>
      </c>
      <c r="O288" s="7">
        <v>0.1</v>
      </c>
      <c r="P288" s="7">
        <v>2.2999999999999998</v>
      </c>
    </row>
    <row r="289" spans="1:16" x14ac:dyDescent="0.35">
      <c r="A289" s="1" t="s">
        <v>304</v>
      </c>
      <c r="B289" s="1" t="s">
        <v>46</v>
      </c>
      <c r="C289" s="1" t="s">
        <v>61</v>
      </c>
      <c r="D289" s="7">
        <v>4</v>
      </c>
      <c r="E289" s="7">
        <v>16</v>
      </c>
      <c r="F289" s="7">
        <v>4.3</v>
      </c>
      <c r="G289" s="7">
        <v>0.41199999999999998</v>
      </c>
      <c r="H289" s="7">
        <v>0.5</v>
      </c>
      <c r="I289" s="7">
        <v>0</v>
      </c>
      <c r="J289" s="7"/>
      <c r="K289" s="7">
        <v>1.8</v>
      </c>
      <c r="L289" s="7">
        <v>3.5</v>
      </c>
      <c r="M289" s="7">
        <v>0.5</v>
      </c>
      <c r="N289" s="7">
        <v>0.3</v>
      </c>
      <c r="O289" s="7">
        <v>0.8</v>
      </c>
      <c r="P289" s="7">
        <v>4</v>
      </c>
    </row>
    <row r="290" spans="1:16" x14ac:dyDescent="0.35">
      <c r="A290" s="1" t="s">
        <v>305</v>
      </c>
      <c r="B290" s="1" t="s">
        <v>25</v>
      </c>
      <c r="C290" s="1" t="s">
        <v>36</v>
      </c>
      <c r="D290" s="7">
        <v>3</v>
      </c>
      <c r="E290" s="7">
        <v>16.3</v>
      </c>
      <c r="F290" s="7">
        <v>7</v>
      </c>
      <c r="G290" s="7">
        <v>0.52400000000000002</v>
      </c>
      <c r="H290" s="7">
        <v>3.3</v>
      </c>
      <c r="I290" s="7">
        <v>0</v>
      </c>
      <c r="J290" s="7"/>
      <c r="K290" s="7">
        <v>2.2999999999999998</v>
      </c>
      <c r="L290" s="7">
        <v>1.3</v>
      </c>
      <c r="M290" s="7">
        <v>0.7</v>
      </c>
      <c r="N290" s="7">
        <v>0</v>
      </c>
      <c r="O290" s="7">
        <v>2</v>
      </c>
      <c r="P290" s="7">
        <v>10.7</v>
      </c>
    </row>
    <row r="291" spans="1:16" x14ac:dyDescent="0.35">
      <c r="A291" s="1" t="s">
        <v>613</v>
      </c>
      <c r="B291" s="1" t="s">
        <v>15</v>
      </c>
      <c r="C291" s="1" t="s">
        <v>26</v>
      </c>
      <c r="D291" s="7">
        <v>6</v>
      </c>
      <c r="E291" s="7">
        <v>10</v>
      </c>
      <c r="F291" s="7">
        <v>2.2000000000000002</v>
      </c>
      <c r="G291" s="7">
        <v>0.23100000000000001</v>
      </c>
      <c r="H291" s="7">
        <v>0.3</v>
      </c>
      <c r="I291" s="7">
        <v>0.7</v>
      </c>
      <c r="J291" s="7">
        <v>0.75</v>
      </c>
      <c r="K291" s="7">
        <v>2.2000000000000002</v>
      </c>
      <c r="L291" s="7">
        <v>1.2</v>
      </c>
      <c r="M291" s="7">
        <v>0.3</v>
      </c>
      <c r="N291" s="7">
        <v>0</v>
      </c>
      <c r="O291" s="7">
        <v>0.7</v>
      </c>
      <c r="P291" s="7">
        <v>1.8</v>
      </c>
    </row>
    <row r="292" spans="1:16" x14ac:dyDescent="0.35">
      <c r="A292" s="1" t="s">
        <v>306</v>
      </c>
      <c r="B292" s="1" t="s">
        <v>46</v>
      </c>
      <c r="C292" s="1" t="s">
        <v>28</v>
      </c>
      <c r="D292" s="7">
        <v>5</v>
      </c>
      <c r="E292" s="7">
        <v>20.399999999999999</v>
      </c>
      <c r="F292" s="7">
        <v>7.2</v>
      </c>
      <c r="G292" s="7">
        <v>0.44400000000000001</v>
      </c>
      <c r="H292" s="7">
        <v>1</v>
      </c>
      <c r="I292" s="7">
        <v>0.4</v>
      </c>
      <c r="J292" s="7">
        <v>0.5</v>
      </c>
      <c r="K292" s="7">
        <v>2.8</v>
      </c>
      <c r="L292" s="7">
        <v>2.4</v>
      </c>
      <c r="M292" s="7">
        <v>1.2</v>
      </c>
      <c r="N292" s="7">
        <v>1</v>
      </c>
      <c r="O292" s="7">
        <v>1.6</v>
      </c>
      <c r="P292" s="7">
        <v>7.6</v>
      </c>
    </row>
    <row r="293" spans="1:16" x14ac:dyDescent="0.35">
      <c r="A293" s="1" t="s">
        <v>710</v>
      </c>
      <c r="B293" s="1" t="s">
        <v>25</v>
      </c>
      <c r="C293" s="1" t="s">
        <v>38</v>
      </c>
      <c r="D293" s="7">
        <v>7</v>
      </c>
      <c r="E293" s="7">
        <v>6.1</v>
      </c>
      <c r="F293" s="7">
        <v>1.1000000000000001</v>
      </c>
      <c r="G293" s="7">
        <v>0.5</v>
      </c>
      <c r="H293" s="7">
        <v>0.6</v>
      </c>
      <c r="I293" s="7">
        <v>0.3</v>
      </c>
      <c r="J293" s="7">
        <v>1</v>
      </c>
      <c r="K293" s="7">
        <v>1.3</v>
      </c>
      <c r="L293" s="7">
        <v>1.4</v>
      </c>
      <c r="M293" s="7">
        <v>0.1</v>
      </c>
      <c r="N293" s="7">
        <v>0</v>
      </c>
      <c r="O293" s="7">
        <v>0.4</v>
      </c>
      <c r="P293" s="7">
        <v>2</v>
      </c>
    </row>
    <row r="294" spans="1:16" x14ac:dyDescent="0.35">
      <c r="A294" s="1" t="s">
        <v>307</v>
      </c>
      <c r="B294" s="1" t="s">
        <v>18</v>
      </c>
      <c r="C294" s="1" t="s">
        <v>49</v>
      </c>
      <c r="D294" s="7">
        <v>2</v>
      </c>
      <c r="E294" s="7">
        <v>5.5</v>
      </c>
      <c r="F294" s="7">
        <v>3.5</v>
      </c>
      <c r="G294" s="7">
        <v>0.57099999999999995</v>
      </c>
      <c r="H294" s="7">
        <v>0.5</v>
      </c>
      <c r="I294" s="7">
        <v>2.5</v>
      </c>
      <c r="J294" s="7">
        <v>0.8</v>
      </c>
      <c r="K294" s="7">
        <v>1.5</v>
      </c>
      <c r="L294" s="7">
        <v>0.5</v>
      </c>
      <c r="M294" s="7">
        <v>0.5</v>
      </c>
      <c r="N294" s="7">
        <v>1</v>
      </c>
      <c r="O294" s="7">
        <v>0</v>
      </c>
      <c r="P294" s="7">
        <v>6.5</v>
      </c>
    </row>
    <row r="295" spans="1:16" x14ac:dyDescent="0.35">
      <c r="A295" s="1" t="s">
        <v>308</v>
      </c>
      <c r="B295" s="1" t="s">
        <v>34</v>
      </c>
      <c r="C295" s="1" t="s">
        <v>38</v>
      </c>
      <c r="D295" s="7">
        <v>11</v>
      </c>
      <c r="E295" s="7">
        <v>32</v>
      </c>
      <c r="F295" s="7">
        <v>15.3</v>
      </c>
      <c r="G295" s="7">
        <v>0.55400000000000005</v>
      </c>
      <c r="H295" s="7">
        <v>2.8</v>
      </c>
      <c r="I295" s="7">
        <v>2.9</v>
      </c>
      <c r="J295" s="7">
        <v>0.93799999999999994</v>
      </c>
      <c r="K295" s="7">
        <v>6.7</v>
      </c>
      <c r="L295" s="7">
        <v>5.6</v>
      </c>
      <c r="M295" s="7">
        <v>0.9</v>
      </c>
      <c r="N295" s="7">
        <v>0.2</v>
      </c>
      <c r="O295" s="7">
        <v>2.6</v>
      </c>
      <c r="P295" s="7">
        <v>22.5</v>
      </c>
    </row>
    <row r="296" spans="1:16" x14ac:dyDescent="0.35">
      <c r="A296" s="1" t="s">
        <v>517</v>
      </c>
      <c r="B296" s="1" t="s">
        <v>34</v>
      </c>
      <c r="C296" s="1" t="s">
        <v>19</v>
      </c>
      <c r="D296" s="7">
        <v>2</v>
      </c>
      <c r="E296" s="7">
        <v>3.5</v>
      </c>
      <c r="F296" s="7">
        <v>1.5</v>
      </c>
      <c r="G296" s="7">
        <v>0.33300000000000002</v>
      </c>
      <c r="H296" s="7">
        <v>0.5</v>
      </c>
      <c r="I296" s="7">
        <v>0</v>
      </c>
      <c r="J296" s="7"/>
      <c r="K296" s="7">
        <v>0</v>
      </c>
      <c r="L296" s="7">
        <v>0</v>
      </c>
      <c r="M296" s="7">
        <v>0</v>
      </c>
      <c r="N296" s="7">
        <v>0</v>
      </c>
      <c r="O296" s="7">
        <v>0.5</v>
      </c>
      <c r="P296" s="7">
        <v>1.5</v>
      </c>
    </row>
    <row r="297" spans="1:16" x14ac:dyDescent="0.35">
      <c r="A297" s="1" t="s">
        <v>310</v>
      </c>
      <c r="B297" s="1" t="s">
        <v>46</v>
      </c>
      <c r="C297" s="1" t="s">
        <v>23</v>
      </c>
      <c r="D297" s="7">
        <v>11</v>
      </c>
      <c r="E297" s="7">
        <v>25.5</v>
      </c>
      <c r="F297" s="7">
        <v>11</v>
      </c>
      <c r="G297" s="7">
        <v>0.47899999999999998</v>
      </c>
      <c r="H297" s="7">
        <v>3.2</v>
      </c>
      <c r="I297" s="7">
        <v>1.5</v>
      </c>
      <c r="J297" s="7">
        <v>0.94099999999999995</v>
      </c>
      <c r="K297" s="7">
        <v>1.5</v>
      </c>
      <c r="L297" s="7">
        <v>3.3</v>
      </c>
      <c r="M297" s="7">
        <v>0.3</v>
      </c>
      <c r="N297" s="7">
        <v>0.1</v>
      </c>
      <c r="O297" s="7">
        <v>0.7</v>
      </c>
      <c r="P297" s="7">
        <v>15.2</v>
      </c>
    </row>
    <row r="298" spans="1:16" x14ac:dyDescent="0.35">
      <c r="A298" s="1" t="s">
        <v>311</v>
      </c>
      <c r="B298" s="1" t="s">
        <v>15</v>
      </c>
      <c r="C298" s="1" t="s">
        <v>59</v>
      </c>
      <c r="D298" s="7">
        <v>11</v>
      </c>
      <c r="E298" s="7">
        <v>24</v>
      </c>
      <c r="F298" s="7">
        <v>7.4</v>
      </c>
      <c r="G298" s="7">
        <v>0.51900000000000002</v>
      </c>
      <c r="H298" s="7">
        <v>1.5</v>
      </c>
      <c r="I298" s="7">
        <v>2.5</v>
      </c>
      <c r="J298" s="7">
        <v>0.70399999999999996</v>
      </c>
      <c r="K298" s="7">
        <v>4.2</v>
      </c>
      <c r="L298" s="7">
        <v>1.3</v>
      </c>
      <c r="M298" s="7">
        <v>0.6</v>
      </c>
      <c r="N298" s="7">
        <v>0.2</v>
      </c>
      <c r="O298" s="7">
        <v>1.4</v>
      </c>
      <c r="P298" s="7">
        <v>10.8</v>
      </c>
    </row>
    <row r="299" spans="1:16" x14ac:dyDescent="0.35">
      <c r="A299" s="1" t="s">
        <v>312</v>
      </c>
      <c r="B299" s="1" t="s">
        <v>25</v>
      </c>
      <c r="C299" s="1" t="s">
        <v>80</v>
      </c>
      <c r="D299" s="7">
        <v>9</v>
      </c>
      <c r="E299" s="7">
        <v>25.9</v>
      </c>
      <c r="F299" s="7">
        <v>10.7</v>
      </c>
      <c r="G299" s="7">
        <v>0.45800000000000002</v>
      </c>
      <c r="H299" s="7">
        <v>1.2</v>
      </c>
      <c r="I299" s="7">
        <v>3.8</v>
      </c>
      <c r="J299" s="7">
        <v>0.82399999999999995</v>
      </c>
      <c r="K299" s="7">
        <v>1.7</v>
      </c>
      <c r="L299" s="7">
        <v>3.3</v>
      </c>
      <c r="M299" s="7">
        <v>1</v>
      </c>
      <c r="N299" s="7">
        <v>0.2</v>
      </c>
      <c r="O299" s="7">
        <v>1.4</v>
      </c>
      <c r="P299" s="7">
        <v>14.1</v>
      </c>
    </row>
    <row r="300" spans="1:16" x14ac:dyDescent="0.35">
      <c r="A300" s="1" t="s">
        <v>313</v>
      </c>
      <c r="B300" s="1" t="s">
        <v>25</v>
      </c>
      <c r="C300" s="1" t="s">
        <v>79</v>
      </c>
      <c r="D300" s="7">
        <v>11</v>
      </c>
      <c r="E300" s="7">
        <v>33.5</v>
      </c>
      <c r="F300" s="7">
        <v>19.8</v>
      </c>
      <c r="G300" s="7">
        <v>0.41699999999999998</v>
      </c>
      <c r="H300" s="7">
        <v>3.4</v>
      </c>
      <c r="I300" s="7">
        <v>4.4000000000000004</v>
      </c>
      <c r="J300" s="7">
        <v>0.79200000000000004</v>
      </c>
      <c r="K300" s="7">
        <v>3.5</v>
      </c>
      <c r="L300" s="7">
        <v>4.9000000000000004</v>
      </c>
      <c r="M300" s="7">
        <v>0.6</v>
      </c>
      <c r="N300" s="7">
        <v>0.4</v>
      </c>
      <c r="O300" s="7">
        <v>3</v>
      </c>
      <c r="P300" s="7">
        <v>23.4</v>
      </c>
    </row>
    <row r="301" spans="1:16" x14ac:dyDescent="0.35">
      <c r="A301" s="1" t="s">
        <v>314</v>
      </c>
      <c r="B301" s="1" t="s">
        <v>25</v>
      </c>
      <c r="C301" s="1" t="s">
        <v>47</v>
      </c>
      <c r="D301" s="7">
        <v>5</v>
      </c>
      <c r="E301" s="7">
        <v>7.8</v>
      </c>
      <c r="F301" s="7">
        <v>2.8</v>
      </c>
      <c r="G301" s="7">
        <v>0.35699999999999998</v>
      </c>
      <c r="H301" s="7">
        <v>0.2</v>
      </c>
      <c r="I301" s="7">
        <v>0</v>
      </c>
      <c r="J301" s="7"/>
      <c r="K301" s="7">
        <v>0.8</v>
      </c>
      <c r="L301" s="7">
        <v>0.8</v>
      </c>
      <c r="M301" s="7">
        <v>0.4</v>
      </c>
      <c r="N301" s="7">
        <v>0.2</v>
      </c>
      <c r="O301" s="7">
        <v>0.4</v>
      </c>
      <c r="P301" s="7">
        <v>2.2000000000000002</v>
      </c>
    </row>
    <row r="302" spans="1:16" x14ac:dyDescent="0.35">
      <c r="A302" s="1" t="s">
        <v>315</v>
      </c>
      <c r="B302" s="1" t="s">
        <v>25</v>
      </c>
      <c r="C302" s="1" t="s">
        <v>54</v>
      </c>
      <c r="D302" s="7">
        <v>1</v>
      </c>
      <c r="E302" s="7">
        <v>10</v>
      </c>
      <c r="F302" s="7">
        <v>1</v>
      </c>
      <c r="G302" s="7">
        <v>0</v>
      </c>
      <c r="H302" s="7">
        <v>0</v>
      </c>
      <c r="I302" s="7">
        <v>2</v>
      </c>
      <c r="J302" s="7">
        <v>0.5</v>
      </c>
      <c r="K302" s="7">
        <v>0</v>
      </c>
      <c r="L302" s="7">
        <v>3</v>
      </c>
      <c r="M302" s="7">
        <v>0</v>
      </c>
      <c r="N302" s="7">
        <v>0</v>
      </c>
      <c r="O302" s="7">
        <v>1</v>
      </c>
      <c r="P302" s="7">
        <v>1</v>
      </c>
    </row>
    <row r="303" spans="1:16" x14ac:dyDescent="0.35">
      <c r="A303" s="1" t="s">
        <v>317</v>
      </c>
      <c r="B303" s="1" t="s">
        <v>25</v>
      </c>
      <c r="C303" s="1" t="s">
        <v>52</v>
      </c>
      <c r="D303" s="7">
        <v>2</v>
      </c>
      <c r="E303" s="7">
        <v>4.5</v>
      </c>
      <c r="F303" s="7">
        <v>2</v>
      </c>
      <c r="G303" s="7">
        <v>0.25</v>
      </c>
      <c r="H303" s="7">
        <v>0</v>
      </c>
      <c r="I303" s="7">
        <v>0</v>
      </c>
      <c r="J303" s="7"/>
      <c r="K303" s="7">
        <v>0.5</v>
      </c>
      <c r="L303" s="7">
        <v>0</v>
      </c>
      <c r="M303" s="7">
        <v>0</v>
      </c>
      <c r="N303" s="7">
        <v>0</v>
      </c>
      <c r="O303" s="7">
        <v>1</v>
      </c>
      <c r="P303" s="7">
        <v>1</v>
      </c>
    </row>
    <row r="304" spans="1:16" x14ac:dyDescent="0.35">
      <c r="A304" s="1" t="s">
        <v>318</v>
      </c>
      <c r="B304" s="1" t="s">
        <v>46</v>
      </c>
      <c r="C304" s="1" t="s">
        <v>28</v>
      </c>
      <c r="D304" s="7">
        <v>3</v>
      </c>
      <c r="E304" s="7">
        <v>27</v>
      </c>
      <c r="F304" s="7">
        <v>18.3</v>
      </c>
      <c r="G304" s="7">
        <v>0.54500000000000004</v>
      </c>
      <c r="H304" s="7">
        <v>1</v>
      </c>
      <c r="I304" s="7">
        <v>6.3</v>
      </c>
      <c r="J304" s="7">
        <v>0.84199999999999997</v>
      </c>
      <c r="K304" s="7">
        <v>2.2999999999999998</v>
      </c>
      <c r="L304" s="7">
        <v>6.3</v>
      </c>
      <c r="M304" s="7">
        <v>0.7</v>
      </c>
      <c r="N304" s="7">
        <v>0.7</v>
      </c>
      <c r="O304" s="7">
        <v>2.2999999999999998</v>
      </c>
      <c r="P304" s="7">
        <v>26.3</v>
      </c>
    </row>
    <row r="305" spans="1:16" x14ac:dyDescent="0.35">
      <c r="A305" s="1" t="s">
        <v>319</v>
      </c>
      <c r="B305" s="1" t="s">
        <v>15</v>
      </c>
      <c r="C305" s="1" t="s">
        <v>79</v>
      </c>
      <c r="D305" s="7">
        <v>3</v>
      </c>
      <c r="E305" s="7">
        <v>3.3</v>
      </c>
      <c r="F305" s="7">
        <v>0.3</v>
      </c>
      <c r="G305" s="7">
        <v>0</v>
      </c>
      <c r="H305" s="7">
        <v>0</v>
      </c>
      <c r="I305" s="7">
        <v>0</v>
      </c>
      <c r="J305" s="7"/>
      <c r="K305" s="7">
        <v>1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</row>
    <row r="306" spans="1:16" x14ac:dyDescent="0.35">
      <c r="A306" s="1" t="s">
        <v>320</v>
      </c>
      <c r="B306" s="1" t="s">
        <v>15</v>
      </c>
      <c r="C306" s="1" t="s">
        <v>72</v>
      </c>
      <c r="D306" s="7">
        <v>3</v>
      </c>
      <c r="E306" s="7">
        <v>20.3</v>
      </c>
      <c r="F306" s="7">
        <v>8</v>
      </c>
      <c r="G306" s="7">
        <v>0.33300000000000002</v>
      </c>
      <c r="H306" s="7">
        <v>1.7</v>
      </c>
      <c r="I306" s="7">
        <v>1.3</v>
      </c>
      <c r="J306" s="7">
        <v>1</v>
      </c>
      <c r="K306" s="7">
        <v>3.7</v>
      </c>
      <c r="L306" s="7">
        <v>1</v>
      </c>
      <c r="M306" s="7">
        <v>0</v>
      </c>
      <c r="N306" s="7">
        <v>0</v>
      </c>
      <c r="O306" s="7">
        <v>1.7</v>
      </c>
      <c r="P306" s="7">
        <v>8.3000000000000007</v>
      </c>
    </row>
    <row r="307" spans="1:16" x14ac:dyDescent="0.35">
      <c r="A307" s="1" t="s">
        <v>321</v>
      </c>
      <c r="B307" s="1" t="s">
        <v>15</v>
      </c>
      <c r="C307" s="1" t="s">
        <v>40</v>
      </c>
      <c r="D307" s="7">
        <v>12</v>
      </c>
      <c r="E307" s="7">
        <v>14.8</v>
      </c>
      <c r="F307" s="7">
        <v>3.6</v>
      </c>
      <c r="G307" s="7">
        <v>0.41899999999999998</v>
      </c>
      <c r="H307" s="7">
        <v>0.8</v>
      </c>
      <c r="I307" s="7">
        <v>0.4</v>
      </c>
      <c r="J307" s="7">
        <v>0.8</v>
      </c>
      <c r="K307" s="7">
        <v>4</v>
      </c>
      <c r="L307" s="7">
        <v>0.8</v>
      </c>
      <c r="M307" s="7">
        <v>0.1</v>
      </c>
      <c r="N307" s="7">
        <v>0.4</v>
      </c>
      <c r="O307" s="7">
        <v>0.5</v>
      </c>
      <c r="P307" s="7">
        <v>4.0999999999999996</v>
      </c>
    </row>
    <row r="308" spans="1:16" x14ac:dyDescent="0.35">
      <c r="A308" s="1" t="s">
        <v>322</v>
      </c>
      <c r="B308" s="1" t="s">
        <v>46</v>
      </c>
      <c r="C308" s="1" t="s">
        <v>59</v>
      </c>
      <c r="D308" s="7">
        <v>11</v>
      </c>
      <c r="E308" s="7">
        <v>25.8</v>
      </c>
      <c r="F308" s="7">
        <v>8.1</v>
      </c>
      <c r="G308" s="7">
        <v>0.52800000000000002</v>
      </c>
      <c r="H308" s="7">
        <v>1.3</v>
      </c>
      <c r="I308" s="7">
        <v>2.2999999999999998</v>
      </c>
      <c r="J308" s="7">
        <v>0.68</v>
      </c>
      <c r="K308" s="7">
        <v>2.2000000000000002</v>
      </c>
      <c r="L308" s="7">
        <v>3.2</v>
      </c>
      <c r="M308" s="7">
        <v>0.9</v>
      </c>
      <c r="N308" s="7">
        <v>0.3</v>
      </c>
      <c r="O308" s="7">
        <v>0.3</v>
      </c>
      <c r="P308" s="7">
        <v>11.4</v>
      </c>
    </row>
    <row r="309" spans="1:16" x14ac:dyDescent="0.35">
      <c r="A309" s="1" t="s">
        <v>464</v>
      </c>
      <c r="B309" s="1" t="s">
        <v>46</v>
      </c>
      <c r="C309" s="1" t="s">
        <v>87</v>
      </c>
      <c r="D309" s="7">
        <v>11</v>
      </c>
      <c r="E309" s="7">
        <v>10.6</v>
      </c>
      <c r="F309" s="7">
        <v>2.9</v>
      </c>
      <c r="G309" s="7">
        <v>0.46899999999999997</v>
      </c>
      <c r="H309" s="7">
        <v>1.1000000000000001</v>
      </c>
      <c r="I309" s="7">
        <v>0.6</v>
      </c>
      <c r="J309" s="7">
        <v>0.57099999999999995</v>
      </c>
      <c r="K309" s="7">
        <v>1</v>
      </c>
      <c r="L309" s="7">
        <v>0.5</v>
      </c>
      <c r="M309" s="7">
        <v>0.2</v>
      </c>
      <c r="N309" s="7">
        <v>0.1</v>
      </c>
      <c r="O309" s="7">
        <v>0.4</v>
      </c>
      <c r="P309" s="7">
        <v>4.2</v>
      </c>
    </row>
    <row r="310" spans="1:16" x14ac:dyDescent="0.35">
      <c r="A310" s="1" t="s">
        <v>325</v>
      </c>
      <c r="B310" s="1" t="s">
        <v>46</v>
      </c>
      <c r="C310" s="1" t="s">
        <v>23</v>
      </c>
      <c r="D310" s="7">
        <v>11</v>
      </c>
      <c r="E310" s="7">
        <v>32.5</v>
      </c>
      <c r="F310" s="7">
        <v>14.7</v>
      </c>
      <c r="G310" s="7">
        <v>0.44400000000000001</v>
      </c>
      <c r="H310" s="7">
        <v>1.1000000000000001</v>
      </c>
      <c r="I310" s="7">
        <v>2.5</v>
      </c>
      <c r="J310" s="7">
        <v>0.81499999999999995</v>
      </c>
      <c r="K310" s="7">
        <v>7</v>
      </c>
      <c r="L310" s="7">
        <v>5.3</v>
      </c>
      <c r="M310" s="7">
        <v>1.1000000000000001</v>
      </c>
      <c r="N310" s="7">
        <v>0.1</v>
      </c>
      <c r="O310" s="7">
        <v>2</v>
      </c>
      <c r="P310" s="7">
        <v>16.2</v>
      </c>
    </row>
    <row r="311" spans="1:16" x14ac:dyDescent="0.35">
      <c r="A311" s="1" t="s">
        <v>326</v>
      </c>
      <c r="B311" s="1" t="s">
        <v>46</v>
      </c>
      <c r="C311" s="1" t="s">
        <v>59</v>
      </c>
      <c r="D311" s="7">
        <v>10</v>
      </c>
      <c r="E311" s="7">
        <v>35</v>
      </c>
      <c r="F311" s="7">
        <v>15.1</v>
      </c>
      <c r="G311" s="7">
        <v>0.47699999999999998</v>
      </c>
      <c r="H311" s="7">
        <v>2.4</v>
      </c>
      <c r="I311" s="7">
        <v>3.8</v>
      </c>
      <c r="J311" s="7">
        <v>0.76300000000000001</v>
      </c>
      <c r="K311" s="7">
        <v>2.9</v>
      </c>
      <c r="L311" s="7">
        <v>3.8</v>
      </c>
      <c r="M311" s="7">
        <v>0.9</v>
      </c>
      <c r="N311" s="7">
        <v>0.1</v>
      </c>
      <c r="O311" s="7">
        <v>2</v>
      </c>
      <c r="P311" s="7">
        <v>19.7</v>
      </c>
    </row>
    <row r="312" spans="1:16" x14ac:dyDescent="0.35">
      <c r="A312" s="1" t="s">
        <v>327</v>
      </c>
      <c r="B312" s="1" t="s">
        <v>18</v>
      </c>
      <c r="C312" s="1" t="s">
        <v>19</v>
      </c>
      <c r="D312" s="7">
        <v>9</v>
      </c>
      <c r="E312" s="7">
        <v>17.7</v>
      </c>
      <c r="F312" s="7">
        <v>6.9</v>
      </c>
      <c r="G312" s="7">
        <v>0.46800000000000003</v>
      </c>
      <c r="H312" s="7">
        <v>2.1</v>
      </c>
      <c r="I312" s="7">
        <v>1</v>
      </c>
      <c r="J312" s="7">
        <v>0.88900000000000001</v>
      </c>
      <c r="K312" s="7">
        <v>3.1</v>
      </c>
      <c r="L312" s="7">
        <v>0.8</v>
      </c>
      <c r="M312" s="7">
        <v>0.2</v>
      </c>
      <c r="N312" s="7">
        <v>0.4</v>
      </c>
      <c r="O312" s="7">
        <v>0.4</v>
      </c>
      <c r="P312" s="7">
        <v>9.4</v>
      </c>
    </row>
    <row r="313" spans="1:16" x14ac:dyDescent="0.35">
      <c r="A313" s="1" t="s">
        <v>560</v>
      </c>
      <c r="B313" s="1" t="s">
        <v>34</v>
      </c>
      <c r="C313" s="1" t="s">
        <v>82</v>
      </c>
      <c r="D313" s="7">
        <v>10</v>
      </c>
      <c r="E313" s="7">
        <v>17.399999999999999</v>
      </c>
      <c r="F313" s="7">
        <v>7.4</v>
      </c>
      <c r="G313" s="7">
        <v>0.33800000000000002</v>
      </c>
      <c r="H313" s="7">
        <v>1.8</v>
      </c>
      <c r="I313" s="7">
        <v>1.1000000000000001</v>
      </c>
      <c r="J313" s="7">
        <v>1</v>
      </c>
      <c r="K313" s="7">
        <v>1.6</v>
      </c>
      <c r="L313" s="7">
        <v>1.2</v>
      </c>
      <c r="M313" s="7">
        <v>0.8</v>
      </c>
      <c r="N313" s="7">
        <v>0.2</v>
      </c>
      <c r="O313" s="7">
        <v>0.4</v>
      </c>
      <c r="P313" s="7">
        <v>7.9</v>
      </c>
    </row>
    <row r="314" spans="1:16" x14ac:dyDescent="0.35">
      <c r="A314" s="1" t="s">
        <v>328</v>
      </c>
      <c r="B314" s="1" t="s">
        <v>34</v>
      </c>
      <c r="C314" s="1" t="s">
        <v>52</v>
      </c>
      <c r="D314" s="7">
        <v>1</v>
      </c>
      <c r="E314" s="7">
        <v>3</v>
      </c>
      <c r="F314" s="7">
        <v>0</v>
      </c>
      <c r="G314" s="7"/>
      <c r="H314" s="7">
        <v>0</v>
      </c>
      <c r="I314" s="7">
        <v>2</v>
      </c>
      <c r="J314" s="7">
        <v>1</v>
      </c>
      <c r="K314" s="7">
        <v>1</v>
      </c>
      <c r="L314" s="7">
        <v>1</v>
      </c>
      <c r="M314" s="7">
        <v>0</v>
      </c>
      <c r="N314" s="7">
        <v>0</v>
      </c>
      <c r="O314" s="7">
        <v>0</v>
      </c>
      <c r="P314" s="7">
        <v>2</v>
      </c>
    </row>
    <row r="315" spans="1:16" x14ac:dyDescent="0.35">
      <c r="A315" s="1" t="s">
        <v>640</v>
      </c>
      <c r="B315" s="1" t="s">
        <v>15</v>
      </c>
      <c r="C315" s="1" t="s">
        <v>118</v>
      </c>
      <c r="D315" s="7">
        <v>12</v>
      </c>
      <c r="E315" s="7">
        <v>34.799999999999997</v>
      </c>
      <c r="F315" s="7">
        <v>8.1</v>
      </c>
      <c r="G315" s="7">
        <v>0.48499999999999999</v>
      </c>
      <c r="H315" s="7">
        <v>1.6</v>
      </c>
      <c r="I315" s="7">
        <v>1.3</v>
      </c>
      <c r="J315" s="7">
        <v>0.56299999999999994</v>
      </c>
      <c r="K315" s="7">
        <v>5.8</v>
      </c>
      <c r="L315" s="7">
        <v>3.7</v>
      </c>
      <c r="M315" s="7">
        <v>2.4</v>
      </c>
      <c r="N315" s="7">
        <v>0.5</v>
      </c>
      <c r="O315" s="7">
        <v>1.8</v>
      </c>
      <c r="P315" s="7">
        <v>10.199999999999999</v>
      </c>
    </row>
    <row r="316" spans="1:16" x14ac:dyDescent="0.35">
      <c r="A316" s="1" t="s">
        <v>711</v>
      </c>
      <c r="B316" s="1" t="s">
        <v>34</v>
      </c>
      <c r="C316" s="1" t="s">
        <v>98</v>
      </c>
      <c r="D316" s="7">
        <v>3</v>
      </c>
      <c r="E316" s="7">
        <v>13</v>
      </c>
      <c r="F316" s="7">
        <v>4</v>
      </c>
      <c r="G316" s="7">
        <v>0.25</v>
      </c>
      <c r="H316" s="7">
        <v>0.7</v>
      </c>
      <c r="I316" s="7">
        <v>0</v>
      </c>
      <c r="J316" s="7"/>
      <c r="K316" s="7">
        <v>1.7</v>
      </c>
      <c r="L316" s="7">
        <v>0.3</v>
      </c>
      <c r="M316" s="7">
        <v>0</v>
      </c>
      <c r="N316" s="7">
        <v>0.3</v>
      </c>
      <c r="O316" s="7">
        <v>0.7</v>
      </c>
      <c r="P316" s="7">
        <v>2.7</v>
      </c>
    </row>
    <row r="317" spans="1:16" x14ac:dyDescent="0.35">
      <c r="A317" s="1" t="s">
        <v>561</v>
      </c>
      <c r="B317" s="1" t="s">
        <v>46</v>
      </c>
      <c r="C317" s="1" t="s">
        <v>67</v>
      </c>
      <c r="D317" s="7">
        <v>11</v>
      </c>
      <c r="E317" s="7">
        <v>16.899999999999999</v>
      </c>
      <c r="F317" s="7">
        <v>6.7</v>
      </c>
      <c r="G317" s="7">
        <v>0.52700000000000002</v>
      </c>
      <c r="H317" s="7">
        <v>1.3</v>
      </c>
      <c r="I317" s="7">
        <v>0.8</v>
      </c>
      <c r="J317" s="7">
        <v>0.66700000000000004</v>
      </c>
      <c r="K317" s="7">
        <v>1.3</v>
      </c>
      <c r="L317" s="7">
        <v>1.6</v>
      </c>
      <c r="M317" s="7">
        <v>1</v>
      </c>
      <c r="N317" s="7">
        <v>0</v>
      </c>
      <c r="O317" s="7">
        <v>0.8</v>
      </c>
      <c r="P317" s="7">
        <v>8.9</v>
      </c>
    </row>
    <row r="318" spans="1:16" x14ac:dyDescent="0.35">
      <c r="A318" s="1" t="s">
        <v>331</v>
      </c>
      <c r="B318" s="1" t="s">
        <v>15</v>
      </c>
      <c r="C318" s="1" t="s">
        <v>79</v>
      </c>
      <c r="D318" s="7">
        <v>11</v>
      </c>
      <c r="E318" s="7">
        <v>9.3000000000000007</v>
      </c>
      <c r="F318" s="7">
        <v>2.7</v>
      </c>
      <c r="G318" s="7">
        <v>0.36699999999999999</v>
      </c>
      <c r="H318" s="7">
        <v>0.5</v>
      </c>
      <c r="I318" s="7">
        <v>0</v>
      </c>
      <c r="J318" s="7"/>
      <c r="K318" s="7">
        <v>1.7</v>
      </c>
      <c r="L318" s="7">
        <v>0.2</v>
      </c>
      <c r="M318" s="7">
        <v>0.1</v>
      </c>
      <c r="N318" s="7">
        <v>0</v>
      </c>
      <c r="O318" s="7">
        <v>0.3</v>
      </c>
      <c r="P318" s="7">
        <v>2.5</v>
      </c>
    </row>
    <row r="319" spans="1:16" x14ac:dyDescent="0.35">
      <c r="A319" s="1" t="s">
        <v>712</v>
      </c>
      <c r="B319" s="1" t="s">
        <v>15</v>
      </c>
      <c r="C319" s="1" t="s">
        <v>59</v>
      </c>
      <c r="D319" s="7">
        <v>5</v>
      </c>
      <c r="E319" s="7">
        <v>2.2000000000000002</v>
      </c>
      <c r="F319" s="7">
        <v>0.8</v>
      </c>
      <c r="G319" s="7">
        <v>0.25</v>
      </c>
      <c r="H319" s="7">
        <v>0</v>
      </c>
      <c r="I319" s="7">
        <v>0</v>
      </c>
      <c r="J319" s="7"/>
      <c r="K319" s="7">
        <v>0.4</v>
      </c>
      <c r="L319" s="7">
        <v>0</v>
      </c>
      <c r="M319" s="7">
        <v>0</v>
      </c>
      <c r="N319" s="7">
        <v>0</v>
      </c>
      <c r="O319" s="7">
        <v>0</v>
      </c>
      <c r="P319" s="7">
        <v>0.4</v>
      </c>
    </row>
    <row r="320" spans="1:16" x14ac:dyDescent="0.35">
      <c r="A320" s="1" t="s">
        <v>332</v>
      </c>
      <c r="B320" s="1" t="s">
        <v>18</v>
      </c>
      <c r="C320" s="1" t="s">
        <v>31</v>
      </c>
      <c r="D320" s="7">
        <v>9</v>
      </c>
      <c r="E320" s="7">
        <v>14.3</v>
      </c>
      <c r="F320" s="7">
        <v>2.6</v>
      </c>
      <c r="G320" s="7">
        <v>0.52200000000000002</v>
      </c>
      <c r="H320" s="7">
        <v>0</v>
      </c>
      <c r="I320" s="7">
        <v>0.6</v>
      </c>
      <c r="J320" s="7">
        <v>0.6</v>
      </c>
      <c r="K320" s="7">
        <v>4.4000000000000004</v>
      </c>
      <c r="L320" s="7">
        <v>0.3</v>
      </c>
      <c r="M320" s="7">
        <v>0.8</v>
      </c>
      <c r="N320" s="7">
        <v>1.2</v>
      </c>
      <c r="O320" s="7">
        <v>1.4</v>
      </c>
      <c r="P320" s="7">
        <v>3</v>
      </c>
    </row>
    <row r="321" spans="1:16" x14ac:dyDescent="0.35">
      <c r="A321" s="1" t="s">
        <v>333</v>
      </c>
      <c r="B321" s="1" t="s">
        <v>25</v>
      </c>
      <c r="C321" s="1" t="s">
        <v>61</v>
      </c>
      <c r="D321" s="7">
        <v>1</v>
      </c>
      <c r="E321" s="7">
        <v>8</v>
      </c>
      <c r="F321" s="7">
        <v>3</v>
      </c>
      <c r="G321" s="7">
        <v>0.33300000000000002</v>
      </c>
      <c r="H321" s="7">
        <v>0</v>
      </c>
      <c r="I321" s="7">
        <v>0</v>
      </c>
      <c r="J321" s="7"/>
      <c r="K321" s="7">
        <v>1</v>
      </c>
      <c r="L321" s="7">
        <v>1</v>
      </c>
      <c r="M321" s="7">
        <v>0</v>
      </c>
      <c r="N321" s="7">
        <v>0</v>
      </c>
      <c r="O321" s="7">
        <v>0</v>
      </c>
      <c r="P321" s="7">
        <v>2</v>
      </c>
    </row>
    <row r="322" spans="1:16" x14ac:dyDescent="0.35">
      <c r="A322" s="1" t="s">
        <v>334</v>
      </c>
      <c r="B322" s="1" t="s">
        <v>46</v>
      </c>
      <c r="C322" s="1" t="s">
        <v>31</v>
      </c>
      <c r="D322" s="7">
        <v>4</v>
      </c>
      <c r="E322" s="7">
        <v>10.5</v>
      </c>
      <c r="F322" s="7">
        <v>3.5</v>
      </c>
      <c r="G322" s="7">
        <v>0.42899999999999999</v>
      </c>
      <c r="H322" s="7">
        <v>1.3</v>
      </c>
      <c r="I322" s="7">
        <v>0.8</v>
      </c>
      <c r="J322" s="7">
        <v>0.33300000000000002</v>
      </c>
      <c r="K322" s="7">
        <v>1</v>
      </c>
      <c r="L322" s="7">
        <v>0.8</v>
      </c>
      <c r="M322" s="7">
        <v>0.8</v>
      </c>
      <c r="N322" s="7">
        <v>0</v>
      </c>
      <c r="O322" s="7">
        <v>0.5</v>
      </c>
      <c r="P322" s="7">
        <v>4.5</v>
      </c>
    </row>
    <row r="323" spans="1:16" x14ac:dyDescent="0.35">
      <c r="A323" s="1" t="s">
        <v>335</v>
      </c>
      <c r="B323" s="1" t="s">
        <v>46</v>
      </c>
      <c r="C323" s="1" t="s">
        <v>21</v>
      </c>
      <c r="D323" s="7">
        <v>5</v>
      </c>
      <c r="E323" s="7">
        <v>12.2</v>
      </c>
      <c r="F323" s="7">
        <v>5.8</v>
      </c>
      <c r="G323" s="7">
        <v>0.379</v>
      </c>
      <c r="H323" s="7">
        <v>0.2</v>
      </c>
      <c r="I323" s="7">
        <v>0.6</v>
      </c>
      <c r="J323" s="7">
        <v>1</v>
      </c>
      <c r="K323" s="7">
        <v>1</v>
      </c>
      <c r="L323" s="7">
        <v>1.8</v>
      </c>
      <c r="M323" s="7">
        <v>0.4</v>
      </c>
      <c r="N323" s="7">
        <v>0.2</v>
      </c>
      <c r="O323" s="7">
        <v>0.6</v>
      </c>
      <c r="P323" s="7">
        <v>5.2</v>
      </c>
    </row>
    <row r="324" spans="1:16" x14ac:dyDescent="0.35">
      <c r="A324" s="1" t="s">
        <v>627</v>
      </c>
      <c r="B324" s="1" t="s">
        <v>18</v>
      </c>
      <c r="C324" s="1" t="s">
        <v>43</v>
      </c>
      <c r="D324" s="7">
        <v>10</v>
      </c>
      <c r="E324" s="7">
        <v>22.9</v>
      </c>
      <c r="F324" s="7">
        <v>8.6999999999999993</v>
      </c>
      <c r="G324" s="7">
        <v>0.48299999999999998</v>
      </c>
      <c r="H324" s="7">
        <v>0.2</v>
      </c>
      <c r="I324" s="7">
        <v>1.8</v>
      </c>
      <c r="J324" s="7">
        <v>0.5</v>
      </c>
      <c r="K324" s="7">
        <v>7.2</v>
      </c>
      <c r="L324" s="7">
        <v>3.1</v>
      </c>
      <c r="M324" s="7">
        <v>0.9</v>
      </c>
      <c r="N324" s="7">
        <v>0.7</v>
      </c>
      <c r="O324" s="7">
        <v>1.8</v>
      </c>
      <c r="P324" s="7">
        <v>9.5</v>
      </c>
    </row>
    <row r="325" spans="1:16" x14ac:dyDescent="0.35">
      <c r="A325" s="1" t="s">
        <v>564</v>
      </c>
      <c r="B325" s="1" t="s">
        <v>34</v>
      </c>
      <c r="C325" s="1" t="s">
        <v>36</v>
      </c>
      <c r="D325" s="7">
        <v>8</v>
      </c>
      <c r="E325" s="7">
        <v>23.1</v>
      </c>
      <c r="F325" s="7">
        <v>6.9</v>
      </c>
      <c r="G325" s="7">
        <v>0.436</v>
      </c>
      <c r="H325" s="7">
        <v>0.6</v>
      </c>
      <c r="I325" s="7">
        <v>2.1</v>
      </c>
      <c r="J325" s="7">
        <v>0.47099999999999997</v>
      </c>
      <c r="K325" s="7">
        <v>2.4</v>
      </c>
      <c r="L325" s="7">
        <v>0.4</v>
      </c>
      <c r="M325" s="7">
        <v>0.8</v>
      </c>
      <c r="N325" s="7">
        <v>0.9</v>
      </c>
      <c r="O325" s="7">
        <v>0.5</v>
      </c>
      <c r="P325" s="7">
        <v>7.6</v>
      </c>
    </row>
    <row r="326" spans="1:16" x14ac:dyDescent="0.35">
      <c r="A326" s="1" t="s">
        <v>713</v>
      </c>
      <c r="B326" s="1" t="s">
        <v>34</v>
      </c>
      <c r="C326" s="1" t="s">
        <v>38</v>
      </c>
      <c r="D326" s="7">
        <v>8</v>
      </c>
      <c r="E326" s="7">
        <v>8.9</v>
      </c>
      <c r="F326" s="7">
        <v>4</v>
      </c>
      <c r="G326" s="7">
        <v>0.5</v>
      </c>
      <c r="H326" s="7">
        <v>0.9</v>
      </c>
      <c r="I326" s="7">
        <v>1.3</v>
      </c>
      <c r="J326" s="7">
        <v>0.9</v>
      </c>
      <c r="K326" s="7">
        <v>1.9</v>
      </c>
      <c r="L326" s="7">
        <v>0</v>
      </c>
      <c r="M326" s="7">
        <v>0.5</v>
      </c>
      <c r="N326" s="7">
        <v>0.1</v>
      </c>
      <c r="O326" s="7">
        <v>1</v>
      </c>
      <c r="P326" s="7">
        <v>6</v>
      </c>
    </row>
    <row r="327" spans="1:16" x14ac:dyDescent="0.35">
      <c r="A327" s="1" t="s">
        <v>336</v>
      </c>
      <c r="B327" s="1" t="s">
        <v>34</v>
      </c>
      <c r="C327" s="1" t="s">
        <v>79</v>
      </c>
      <c r="D327" s="7">
        <v>11</v>
      </c>
      <c r="E327" s="7">
        <v>31.6</v>
      </c>
      <c r="F327" s="7">
        <v>5.2</v>
      </c>
      <c r="G327" s="7">
        <v>0.49099999999999999</v>
      </c>
      <c r="H327" s="7">
        <v>1.9</v>
      </c>
      <c r="I327" s="7">
        <v>0.5</v>
      </c>
      <c r="J327" s="7">
        <v>0.5</v>
      </c>
      <c r="K327" s="7">
        <v>7.5</v>
      </c>
      <c r="L327" s="7">
        <v>2.1</v>
      </c>
      <c r="M327" s="7">
        <v>0.8</v>
      </c>
      <c r="N327" s="7">
        <v>0.4</v>
      </c>
      <c r="O327" s="7">
        <v>1.1000000000000001</v>
      </c>
      <c r="P327" s="7">
        <v>7.3</v>
      </c>
    </row>
    <row r="328" spans="1:16" x14ac:dyDescent="0.35">
      <c r="A328" s="1" t="s">
        <v>338</v>
      </c>
      <c r="B328" s="1" t="s">
        <v>15</v>
      </c>
      <c r="C328" s="1" t="s">
        <v>98</v>
      </c>
      <c r="D328" s="7">
        <v>9</v>
      </c>
      <c r="E328" s="7">
        <v>17.3</v>
      </c>
      <c r="F328" s="7">
        <v>4.9000000000000004</v>
      </c>
      <c r="G328" s="7">
        <v>0.432</v>
      </c>
      <c r="H328" s="7">
        <v>1.2</v>
      </c>
      <c r="I328" s="7">
        <v>1</v>
      </c>
      <c r="J328" s="7">
        <v>0.55600000000000005</v>
      </c>
      <c r="K328" s="7">
        <v>3.2</v>
      </c>
      <c r="L328" s="7">
        <v>0.6</v>
      </c>
      <c r="M328" s="7">
        <v>0</v>
      </c>
      <c r="N328" s="7">
        <v>0</v>
      </c>
      <c r="O328" s="7">
        <v>0.6</v>
      </c>
      <c r="P328" s="7">
        <v>6</v>
      </c>
    </row>
    <row r="329" spans="1:16" x14ac:dyDescent="0.35">
      <c r="A329" s="1" t="s">
        <v>339</v>
      </c>
      <c r="B329" s="1" t="s">
        <v>18</v>
      </c>
      <c r="C329" s="1" t="s">
        <v>82</v>
      </c>
      <c r="D329" s="7">
        <v>7</v>
      </c>
      <c r="E329" s="7">
        <v>10.7</v>
      </c>
      <c r="F329" s="7">
        <v>4</v>
      </c>
      <c r="G329" s="7">
        <v>0.67900000000000005</v>
      </c>
      <c r="H329" s="7">
        <v>0</v>
      </c>
      <c r="I329" s="7">
        <v>0</v>
      </c>
      <c r="J329" s="7"/>
      <c r="K329" s="7">
        <v>2.9</v>
      </c>
      <c r="L329" s="7">
        <v>0.3</v>
      </c>
      <c r="M329" s="7">
        <v>0.3</v>
      </c>
      <c r="N329" s="7">
        <v>0.1</v>
      </c>
      <c r="O329" s="7">
        <v>0.6</v>
      </c>
      <c r="P329" s="7">
        <v>5.4</v>
      </c>
    </row>
    <row r="330" spans="1:16" x14ac:dyDescent="0.35">
      <c r="A330" s="1" t="s">
        <v>714</v>
      </c>
      <c r="B330" s="1" t="s">
        <v>15</v>
      </c>
      <c r="C330" s="1" t="s">
        <v>33</v>
      </c>
      <c r="D330" s="7">
        <v>5</v>
      </c>
      <c r="E330" s="7">
        <v>18.2</v>
      </c>
      <c r="F330" s="7">
        <v>2.8</v>
      </c>
      <c r="G330" s="7">
        <v>0.35699999999999998</v>
      </c>
      <c r="H330" s="7">
        <v>0.4</v>
      </c>
      <c r="I330" s="7">
        <v>1.2</v>
      </c>
      <c r="J330" s="7">
        <v>0.5</v>
      </c>
      <c r="K330" s="7">
        <v>2.6</v>
      </c>
      <c r="L330" s="7">
        <v>1.6</v>
      </c>
      <c r="M330" s="7">
        <v>0.6</v>
      </c>
      <c r="N330" s="7">
        <v>0.2</v>
      </c>
      <c r="O330" s="7">
        <v>0.6</v>
      </c>
      <c r="P330" s="7">
        <v>3</v>
      </c>
    </row>
    <row r="331" spans="1:16" x14ac:dyDescent="0.35">
      <c r="A331" s="1" t="s">
        <v>341</v>
      </c>
      <c r="B331" s="1" t="s">
        <v>25</v>
      </c>
      <c r="C331" s="1" t="s">
        <v>61</v>
      </c>
      <c r="D331" s="7">
        <v>4</v>
      </c>
      <c r="E331" s="7">
        <v>23.8</v>
      </c>
      <c r="F331" s="7">
        <v>6.5</v>
      </c>
      <c r="G331" s="7">
        <v>0.5</v>
      </c>
      <c r="H331" s="7">
        <v>0.3</v>
      </c>
      <c r="I331" s="7">
        <v>1.3</v>
      </c>
      <c r="J331" s="7">
        <v>0.6</v>
      </c>
      <c r="K331" s="7">
        <v>3.5</v>
      </c>
      <c r="L331" s="7">
        <v>1.3</v>
      </c>
      <c r="M331" s="7">
        <v>0</v>
      </c>
      <c r="N331" s="7">
        <v>0.5</v>
      </c>
      <c r="O331" s="7">
        <v>1</v>
      </c>
      <c r="P331" s="7">
        <v>7.5</v>
      </c>
    </row>
    <row r="332" spans="1:16" x14ac:dyDescent="0.35">
      <c r="A332" s="1" t="s">
        <v>672</v>
      </c>
      <c r="B332" s="1" t="s">
        <v>25</v>
      </c>
      <c r="C332" s="1" t="s">
        <v>118</v>
      </c>
      <c r="D332" s="7">
        <v>7</v>
      </c>
      <c r="E332" s="7">
        <v>36</v>
      </c>
      <c r="F332" s="7">
        <v>8</v>
      </c>
      <c r="G332" s="7">
        <v>0.39300000000000002</v>
      </c>
      <c r="H332" s="7">
        <v>0.9</v>
      </c>
      <c r="I332" s="7">
        <v>1.7</v>
      </c>
      <c r="J332" s="7">
        <v>0.5</v>
      </c>
      <c r="K332" s="7">
        <v>2.1</v>
      </c>
      <c r="L332" s="7">
        <v>2</v>
      </c>
      <c r="M332" s="7">
        <v>1</v>
      </c>
      <c r="N332" s="7">
        <v>0.3</v>
      </c>
      <c r="O332" s="7">
        <v>1.7</v>
      </c>
      <c r="P332" s="7">
        <v>8</v>
      </c>
    </row>
    <row r="333" spans="1:16" x14ac:dyDescent="0.35">
      <c r="A333" s="1" t="s">
        <v>342</v>
      </c>
      <c r="B333" s="1" t="s">
        <v>15</v>
      </c>
      <c r="C333" s="1" t="s">
        <v>21</v>
      </c>
      <c r="D333" s="7">
        <v>4</v>
      </c>
      <c r="E333" s="7">
        <v>10.3</v>
      </c>
      <c r="F333" s="7">
        <v>2</v>
      </c>
      <c r="G333" s="7">
        <v>0.25</v>
      </c>
      <c r="H333" s="7">
        <v>0</v>
      </c>
      <c r="I333" s="7">
        <v>1</v>
      </c>
      <c r="J333" s="7">
        <v>0.25</v>
      </c>
      <c r="K333" s="7">
        <v>2</v>
      </c>
      <c r="L333" s="7">
        <v>0.3</v>
      </c>
      <c r="M333" s="7">
        <v>0.5</v>
      </c>
      <c r="N333" s="7">
        <v>0</v>
      </c>
      <c r="O333" s="7">
        <v>0.3</v>
      </c>
      <c r="P333" s="7">
        <v>1.3</v>
      </c>
    </row>
    <row r="334" spans="1:16" x14ac:dyDescent="0.35">
      <c r="A334" s="1" t="s">
        <v>454</v>
      </c>
      <c r="B334" s="1" t="s">
        <v>25</v>
      </c>
      <c r="C334" s="1" t="s">
        <v>75</v>
      </c>
      <c r="D334" s="7">
        <v>9</v>
      </c>
      <c r="E334" s="7">
        <v>33.299999999999997</v>
      </c>
      <c r="F334" s="7">
        <v>16.899999999999999</v>
      </c>
      <c r="G334" s="7">
        <v>0.42099999999999999</v>
      </c>
      <c r="H334" s="7">
        <v>2.8</v>
      </c>
      <c r="I334" s="7">
        <v>4.0999999999999996</v>
      </c>
      <c r="J334" s="7">
        <v>0.73</v>
      </c>
      <c r="K334" s="7">
        <v>5.7</v>
      </c>
      <c r="L334" s="7">
        <v>4.2</v>
      </c>
      <c r="M334" s="7">
        <v>1.7</v>
      </c>
      <c r="N334" s="7">
        <v>0.2</v>
      </c>
      <c r="O334" s="7">
        <v>2</v>
      </c>
      <c r="P334" s="7">
        <v>20</v>
      </c>
    </row>
    <row r="335" spans="1:16" x14ac:dyDescent="0.35">
      <c r="A335" s="1" t="s">
        <v>343</v>
      </c>
      <c r="B335" s="1" t="s">
        <v>18</v>
      </c>
      <c r="C335" s="1" t="s">
        <v>21</v>
      </c>
      <c r="D335" s="7">
        <v>8</v>
      </c>
      <c r="E335" s="7">
        <v>28.5</v>
      </c>
      <c r="F335" s="7">
        <v>9.3000000000000007</v>
      </c>
      <c r="G335" s="7">
        <v>0.47299999999999998</v>
      </c>
      <c r="H335" s="7">
        <v>2.8</v>
      </c>
      <c r="I335" s="7">
        <v>0.8</v>
      </c>
      <c r="J335" s="7">
        <v>0.66700000000000004</v>
      </c>
      <c r="K335" s="7">
        <v>5.8</v>
      </c>
      <c r="L335" s="7">
        <v>2.4</v>
      </c>
      <c r="M335" s="7">
        <v>1.1000000000000001</v>
      </c>
      <c r="N335" s="7">
        <v>0.9</v>
      </c>
      <c r="O335" s="7">
        <v>1.5</v>
      </c>
      <c r="P335" s="7">
        <v>12</v>
      </c>
    </row>
    <row r="336" spans="1:16" x14ac:dyDescent="0.35">
      <c r="A336" s="1" t="s">
        <v>344</v>
      </c>
      <c r="B336" s="1" t="s">
        <v>25</v>
      </c>
      <c r="C336" s="1" t="s">
        <v>79</v>
      </c>
      <c r="D336" s="7">
        <v>6</v>
      </c>
      <c r="E336" s="7">
        <v>7.5</v>
      </c>
      <c r="F336" s="7">
        <v>1.5</v>
      </c>
      <c r="G336" s="7">
        <v>0.33300000000000002</v>
      </c>
      <c r="H336" s="7">
        <v>0.5</v>
      </c>
      <c r="I336" s="7">
        <v>0</v>
      </c>
      <c r="J336" s="7"/>
      <c r="K336" s="7">
        <v>1.5</v>
      </c>
      <c r="L336" s="7">
        <v>0.8</v>
      </c>
      <c r="M336" s="7">
        <v>0</v>
      </c>
      <c r="N336" s="7">
        <v>0.7</v>
      </c>
      <c r="O336" s="7">
        <v>0.2</v>
      </c>
      <c r="P336" s="7">
        <v>1.5</v>
      </c>
    </row>
    <row r="337" spans="1:16" x14ac:dyDescent="0.35">
      <c r="A337" s="1" t="s">
        <v>345</v>
      </c>
      <c r="B337" s="1" t="s">
        <v>34</v>
      </c>
      <c r="C337" s="1" t="s">
        <v>118</v>
      </c>
      <c r="D337" s="7">
        <v>12</v>
      </c>
      <c r="E337" s="7">
        <v>29.4</v>
      </c>
      <c r="F337" s="7">
        <v>12.3</v>
      </c>
      <c r="G337" s="7">
        <v>0.35399999999999998</v>
      </c>
      <c r="H337" s="7">
        <v>2.1</v>
      </c>
      <c r="I337" s="7">
        <v>1.8</v>
      </c>
      <c r="J337" s="7">
        <v>0.72699999999999998</v>
      </c>
      <c r="K337" s="7">
        <v>3.8</v>
      </c>
      <c r="L337" s="7">
        <v>3.6</v>
      </c>
      <c r="M337" s="7">
        <v>0.9</v>
      </c>
      <c r="N337" s="7">
        <v>0.3</v>
      </c>
      <c r="O337" s="7">
        <v>1.5</v>
      </c>
      <c r="P337" s="7">
        <v>12.1</v>
      </c>
    </row>
    <row r="338" spans="1:16" x14ac:dyDescent="0.35">
      <c r="A338" s="1" t="s">
        <v>715</v>
      </c>
      <c r="B338" s="1" t="s">
        <v>18</v>
      </c>
      <c r="C338" s="1" t="s">
        <v>72</v>
      </c>
      <c r="D338" s="7">
        <v>5</v>
      </c>
      <c r="E338" s="7">
        <v>4.5999999999999996</v>
      </c>
      <c r="F338" s="7">
        <v>1.6</v>
      </c>
      <c r="G338" s="7">
        <v>0.625</v>
      </c>
      <c r="H338" s="7">
        <v>0</v>
      </c>
      <c r="I338" s="7">
        <v>0</v>
      </c>
      <c r="J338" s="7"/>
      <c r="K338" s="7">
        <v>1.4</v>
      </c>
      <c r="L338" s="7">
        <v>0.4</v>
      </c>
      <c r="M338" s="7">
        <v>0</v>
      </c>
      <c r="N338" s="7">
        <v>0.4</v>
      </c>
      <c r="O338" s="7">
        <v>0.2</v>
      </c>
      <c r="P338" s="7">
        <v>2</v>
      </c>
    </row>
    <row r="339" spans="1:16" x14ac:dyDescent="0.35">
      <c r="A339" s="1" t="s">
        <v>641</v>
      </c>
      <c r="B339" s="1" t="s">
        <v>34</v>
      </c>
      <c r="C339" s="1" t="s">
        <v>87</v>
      </c>
      <c r="D339" s="7">
        <v>11</v>
      </c>
      <c r="E339" s="7">
        <v>26.8</v>
      </c>
      <c r="F339" s="7">
        <v>12.1</v>
      </c>
      <c r="G339" s="7">
        <v>0.35299999999999998</v>
      </c>
      <c r="H339" s="7">
        <v>0.9</v>
      </c>
      <c r="I339" s="7">
        <v>1.7</v>
      </c>
      <c r="J339" s="7">
        <v>0.78900000000000003</v>
      </c>
      <c r="K339" s="7">
        <v>5.5</v>
      </c>
      <c r="L339" s="7">
        <v>0.9</v>
      </c>
      <c r="M339" s="7">
        <v>1.3</v>
      </c>
      <c r="N339" s="7">
        <v>0.9</v>
      </c>
      <c r="O339" s="7">
        <v>1.8</v>
      </c>
      <c r="P339" s="7">
        <v>10.8</v>
      </c>
    </row>
    <row r="340" spans="1:16" x14ac:dyDescent="0.35">
      <c r="A340" s="1" t="s">
        <v>348</v>
      </c>
      <c r="B340" s="1" t="s">
        <v>15</v>
      </c>
      <c r="C340" s="1" t="s">
        <v>87</v>
      </c>
      <c r="D340" s="7">
        <v>10</v>
      </c>
      <c r="E340" s="7">
        <v>19.3</v>
      </c>
      <c r="F340" s="7">
        <v>8.3000000000000007</v>
      </c>
      <c r="G340" s="7">
        <v>0.54200000000000004</v>
      </c>
      <c r="H340" s="7">
        <v>0.7</v>
      </c>
      <c r="I340" s="7">
        <v>2.9</v>
      </c>
      <c r="J340" s="7">
        <v>0.82799999999999996</v>
      </c>
      <c r="K340" s="7">
        <v>3.2</v>
      </c>
      <c r="L340" s="7">
        <v>1.3</v>
      </c>
      <c r="M340" s="7">
        <v>0.3</v>
      </c>
      <c r="N340" s="7">
        <v>0.2</v>
      </c>
      <c r="O340" s="7">
        <v>0.4</v>
      </c>
      <c r="P340" s="7">
        <v>12.1</v>
      </c>
    </row>
    <row r="341" spans="1:16" x14ac:dyDescent="0.35">
      <c r="A341" s="1" t="s">
        <v>615</v>
      </c>
      <c r="B341" s="1" t="s">
        <v>18</v>
      </c>
      <c r="C341" s="1" t="s">
        <v>67</v>
      </c>
      <c r="D341" s="7">
        <v>1</v>
      </c>
      <c r="E341" s="7">
        <v>6</v>
      </c>
      <c r="F341" s="7">
        <v>1</v>
      </c>
      <c r="G341" s="7">
        <v>0</v>
      </c>
      <c r="H341" s="7">
        <v>0</v>
      </c>
      <c r="I341" s="7">
        <v>0</v>
      </c>
      <c r="J341" s="7"/>
      <c r="K341" s="7">
        <v>1</v>
      </c>
      <c r="L341" s="7">
        <v>1</v>
      </c>
      <c r="M341" s="7">
        <v>0</v>
      </c>
      <c r="N341" s="7">
        <v>0</v>
      </c>
      <c r="O341" s="7">
        <v>5</v>
      </c>
      <c r="P341" s="7">
        <v>0</v>
      </c>
    </row>
    <row r="342" spans="1:16" x14ac:dyDescent="0.35">
      <c r="A342" s="1" t="s">
        <v>349</v>
      </c>
      <c r="B342" s="1" t="s">
        <v>15</v>
      </c>
      <c r="C342" s="1" t="s">
        <v>72</v>
      </c>
      <c r="D342" s="7">
        <v>5</v>
      </c>
      <c r="E342" s="7">
        <v>11.4</v>
      </c>
      <c r="F342" s="7">
        <v>2.8</v>
      </c>
      <c r="G342" s="7">
        <v>0.35699999999999998</v>
      </c>
      <c r="H342" s="7">
        <v>0.6</v>
      </c>
      <c r="I342" s="7">
        <v>0.4</v>
      </c>
      <c r="J342" s="7">
        <v>1</v>
      </c>
      <c r="K342" s="7">
        <v>2</v>
      </c>
      <c r="L342" s="7">
        <v>0.6</v>
      </c>
      <c r="M342" s="7">
        <v>0.4</v>
      </c>
      <c r="N342" s="7">
        <v>0</v>
      </c>
      <c r="O342" s="7">
        <v>0.6</v>
      </c>
      <c r="P342" s="7">
        <v>3</v>
      </c>
    </row>
    <row r="343" spans="1:16" x14ac:dyDescent="0.35">
      <c r="A343" s="1" t="s">
        <v>350</v>
      </c>
      <c r="B343" s="1" t="s">
        <v>46</v>
      </c>
      <c r="C343" s="1" t="s">
        <v>52</v>
      </c>
      <c r="D343" s="7">
        <v>11</v>
      </c>
      <c r="E343" s="7">
        <v>31.6</v>
      </c>
      <c r="F343" s="7">
        <v>11.1</v>
      </c>
      <c r="G343" s="7">
        <v>0.434</v>
      </c>
      <c r="H343" s="7">
        <v>0.7</v>
      </c>
      <c r="I343" s="7">
        <v>3</v>
      </c>
      <c r="J343" s="7">
        <v>0.97</v>
      </c>
      <c r="K343" s="7">
        <v>4.5999999999999996</v>
      </c>
      <c r="L343" s="7">
        <v>8.6999999999999993</v>
      </c>
      <c r="M343" s="7">
        <v>0.7</v>
      </c>
      <c r="N343" s="7">
        <v>0.3</v>
      </c>
      <c r="O343" s="7">
        <v>1.6</v>
      </c>
      <c r="P343" s="7">
        <v>13.3</v>
      </c>
    </row>
    <row r="344" spans="1:16" x14ac:dyDescent="0.35">
      <c r="A344" s="1" t="s">
        <v>647</v>
      </c>
      <c r="B344" s="1" t="s">
        <v>46</v>
      </c>
      <c r="C344" s="1" t="s">
        <v>52</v>
      </c>
      <c r="D344" s="7">
        <v>9</v>
      </c>
      <c r="E344" s="7">
        <v>17.8</v>
      </c>
      <c r="F344" s="7">
        <v>6.2</v>
      </c>
      <c r="G344" s="7">
        <v>0.5</v>
      </c>
      <c r="H344" s="7">
        <v>1</v>
      </c>
      <c r="I344" s="7">
        <v>0.4</v>
      </c>
      <c r="J344" s="7">
        <v>1</v>
      </c>
      <c r="K344" s="7">
        <v>2.4</v>
      </c>
      <c r="L344" s="7">
        <v>4.3</v>
      </c>
      <c r="M344" s="7">
        <v>0.7</v>
      </c>
      <c r="N344" s="7">
        <v>0.1</v>
      </c>
      <c r="O344" s="7">
        <v>1.3</v>
      </c>
      <c r="P344" s="7">
        <v>7.7</v>
      </c>
    </row>
    <row r="345" spans="1:16" x14ac:dyDescent="0.35">
      <c r="A345" s="1" t="s">
        <v>351</v>
      </c>
      <c r="B345" s="1" t="s">
        <v>46</v>
      </c>
      <c r="C345" s="1" t="s">
        <v>31</v>
      </c>
      <c r="D345" s="7">
        <v>11</v>
      </c>
      <c r="E345" s="7">
        <v>29.7</v>
      </c>
      <c r="F345" s="7">
        <v>13.4</v>
      </c>
      <c r="G345" s="7">
        <v>0.45600000000000002</v>
      </c>
      <c r="H345" s="7">
        <v>0.7</v>
      </c>
      <c r="I345" s="7">
        <v>2.5</v>
      </c>
      <c r="J345" s="7">
        <v>0.64300000000000002</v>
      </c>
      <c r="K345" s="7">
        <v>4.3</v>
      </c>
      <c r="L345" s="7">
        <v>4.5</v>
      </c>
      <c r="M345" s="7">
        <v>0.6</v>
      </c>
      <c r="N345" s="7">
        <v>0.2</v>
      </c>
      <c r="O345" s="7">
        <v>2.4</v>
      </c>
      <c r="P345" s="7">
        <v>14.5</v>
      </c>
    </row>
    <row r="346" spans="1:16" x14ac:dyDescent="0.35">
      <c r="A346" s="1" t="s">
        <v>716</v>
      </c>
      <c r="B346" s="1" t="s">
        <v>15</v>
      </c>
      <c r="C346" s="1" t="s">
        <v>30</v>
      </c>
      <c r="D346" s="7">
        <v>4</v>
      </c>
      <c r="E346" s="7">
        <v>5</v>
      </c>
      <c r="F346" s="7">
        <v>2.2999999999999998</v>
      </c>
      <c r="G346" s="7">
        <v>0.33300000000000002</v>
      </c>
      <c r="H346" s="7">
        <v>0</v>
      </c>
      <c r="I346" s="7">
        <v>0.3</v>
      </c>
      <c r="J346" s="7">
        <v>1</v>
      </c>
      <c r="K346" s="7">
        <v>2</v>
      </c>
      <c r="L346" s="7">
        <v>1</v>
      </c>
      <c r="M346" s="7">
        <v>0</v>
      </c>
      <c r="N346" s="7">
        <v>0</v>
      </c>
      <c r="O346" s="7">
        <v>0.8</v>
      </c>
      <c r="P346" s="7">
        <v>1.8</v>
      </c>
    </row>
    <row r="347" spans="1:16" x14ac:dyDescent="0.35">
      <c r="A347" s="1" t="s">
        <v>354</v>
      </c>
      <c r="B347" s="1" t="s">
        <v>25</v>
      </c>
      <c r="C347" s="1" t="s">
        <v>31</v>
      </c>
      <c r="D347" s="7">
        <v>5</v>
      </c>
      <c r="E347" s="7">
        <v>2.4</v>
      </c>
      <c r="F347" s="7">
        <v>0.8</v>
      </c>
      <c r="G347" s="7">
        <v>0</v>
      </c>
      <c r="H347" s="7">
        <v>0</v>
      </c>
      <c r="I347" s="7">
        <v>0</v>
      </c>
      <c r="J347" s="7"/>
      <c r="K347" s="7">
        <v>0.2</v>
      </c>
      <c r="L347" s="7">
        <v>0</v>
      </c>
      <c r="M347" s="7">
        <v>0</v>
      </c>
      <c r="N347" s="7">
        <v>0</v>
      </c>
      <c r="O347" s="7">
        <v>0</v>
      </c>
      <c r="P347" s="7">
        <v>0</v>
      </c>
    </row>
    <row r="348" spans="1:16" x14ac:dyDescent="0.35">
      <c r="A348" s="1" t="s">
        <v>355</v>
      </c>
      <c r="B348" s="1" t="s">
        <v>18</v>
      </c>
      <c r="C348" s="1" t="s">
        <v>82</v>
      </c>
      <c r="D348" s="7">
        <v>10</v>
      </c>
      <c r="E348" s="7">
        <v>27.3</v>
      </c>
      <c r="F348" s="7">
        <v>5.3</v>
      </c>
      <c r="G348" s="7">
        <v>0.54700000000000004</v>
      </c>
      <c r="H348" s="7">
        <v>0</v>
      </c>
      <c r="I348" s="7">
        <v>2.5</v>
      </c>
      <c r="J348" s="7">
        <v>0.8</v>
      </c>
      <c r="K348" s="7">
        <v>9.1</v>
      </c>
      <c r="L348" s="7">
        <v>3.5</v>
      </c>
      <c r="M348" s="7">
        <v>1.5</v>
      </c>
      <c r="N348" s="7">
        <v>0.6</v>
      </c>
      <c r="O348" s="7">
        <v>1.5</v>
      </c>
      <c r="P348" s="7">
        <v>7.8</v>
      </c>
    </row>
    <row r="349" spans="1:16" x14ac:dyDescent="0.35">
      <c r="A349" s="1" t="s">
        <v>520</v>
      </c>
      <c r="B349" s="1" t="s">
        <v>18</v>
      </c>
      <c r="C349" s="1" t="s">
        <v>23</v>
      </c>
      <c r="D349" s="7">
        <v>11</v>
      </c>
      <c r="E349" s="7">
        <v>19</v>
      </c>
      <c r="F349" s="7">
        <v>3.8</v>
      </c>
      <c r="G349" s="7">
        <v>0.52400000000000002</v>
      </c>
      <c r="H349" s="7">
        <v>0</v>
      </c>
      <c r="I349" s="7">
        <v>1.2</v>
      </c>
      <c r="J349" s="7">
        <v>0.23100000000000001</v>
      </c>
      <c r="K349" s="7">
        <v>5.8</v>
      </c>
      <c r="L349" s="7">
        <v>1.9</v>
      </c>
      <c r="M349" s="7">
        <v>0.5</v>
      </c>
      <c r="N349" s="7">
        <v>0.5</v>
      </c>
      <c r="O349" s="7">
        <v>0.9</v>
      </c>
      <c r="P349" s="7">
        <v>4.3</v>
      </c>
    </row>
    <row r="350" spans="1:16" x14ac:dyDescent="0.35">
      <c r="A350" s="1" t="s">
        <v>356</v>
      </c>
      <c r="B350" s="1" t="s">
        <v>18</v>
      </c>
      <c r="C350" s="1" t="s">
        <v>80</v>
      </c>
      <c r="D350" s="7">
        <v>3</v>
      </c>
      <c r="E350" s="7">
        <v>4.7</v>
      </c>
      <c r="F350" s="7">
        <v>1</v>
      </c>
      <c r="G350" s="7">
        <v>0.33300000000000002</v>
      </c>
      <c r="H350" s="7">
        <v>0</v>
      </c>
      <c r="I350" s="7">
        <v>1.3</v>
      </c>
      <c r="J350" s="7">
        <v>0.5</v>
      </c>
      <c r="K350" s="7">
        <v>1</v>
      </c>
      <c r="L350" s="7">
        <v>0.3</v>
      </c>
      <c r="M350" s="7">
        <v>0</v>
      </c>
      <c r="N350" s="7">
        <v>0.3</v>
      </c>
      <c r="O350" s="7">
        <v>0.3</v>
      </c>
      <c r="P350" s="7">
        <v>1.3</v>
      </c>
    </row>
    <row r="351" spans="1:16" x14ac:dyDescent="0.35">
      <c r="A351" s="1" t="s">
        <v>717</v>
      </c>
      <c r="B351" s="1" t="s">
        <v>15</v>
      </c>
      <c r="C351" s="1" t="s">
        <v>19</v>
      </c>
      <c r="D351" s="7">
        <v>8</v>
      </c>
      <c r="E351" s="7">
        <v>16</v>
      </c>
      <c r="F351" s="7">
        <v>4.5</v>
      </c>
      <c r="G351" s="7">
        <v>0.222</v>
      </c>
      <c r="H351" s="7">
        <v>0.4</v>
      </c>
      <c r="I351" s="7">
        <v>0</v>
      </c>
      <c r="J351" s="7"/>
      <c r="K351" s="7">
        <v>4.0999999999999996</v>
      </c>
      <c r="L351" s="7">
        <v>1</v>
      </c>
      <c r="M351" s="7">
        <v>0.6</v>
      </c>
      <c r="N351" s="7">
        <v>1</v>
      </c>
      <c r="O351" s="7">
        <v>1.8</v>
      </c>
      <c r="P351" s="7">
        <v>2.4</v>
      </c>
    </row>
    <row r="352" spans="1:16" x14ac:dyDescent="0.35">
      <c r="A352" s="1" t="s">
        <v>357</v>
      </c>
      <c r="B352" s="1" t="s">
        <v>25</v>
      </c>
      <c r="C352" s="1" t="s">
        <v>87</v>
      </c>
      <c r="D352" s="7">
        <v>6</v>
      </c>
      <c r="E352" s="7">
        <v>11.8</v>
      </c>
      <c r="F352" s="7">
        <v>4.8</v>
      </c>
      <c r="G352" s="7">
        <v>0.41399999999999998</v>
      </c>
      <c r="H352" s="7">
        <v>0.8</v>
      </c>
      <c r="I352" s="7">
        <v>1.5</v>
      </c>
      <c r="J352" s="7">
        <v>1</v>
      </c>
      <c r="K352" s="7">
        <v>1.3</v>
      </c>
      <c r="L352" s="7">
        <v>0.8</v>
      </c>
      <c r="M352" s="7">
        <v>0.2</v>
      </c>
      <c r="N352" s="7">
        <v>0</v>
      </c>
      <c r="O352" s="7">
        <v>0.7</v>
      </c>
      <c r="P352" s="7">
        <v>6.3</v>
      </c>
    </row>
    <row r="353" spans="1:16" x14ac:dyDescent="0.35">
      <c r="A353" s="1" t="s">
        <v>643</v>
      </c>
      <c r="B353" s="1" t="s">
        <v>34</v>
      </c>
      <c r="C353" s="1" t="s">
        <v>59</v>
      </c>
      <c r="D353" s="7">
        <v>4</v>
      </c>
      <c r="E353" s="7">
        <v>29.3</v>
      </c>
      <c r="F353" s="7">
        <v>13.3</v>
      </c>
      <c r="G353" s="7">
        <v>0.56599999999999995</v>
      </c>
      <c r="H353" s="7">
        <v>2.8</v>
      </c>
      <c r="I353" s="7">
        <v>2</v>
      </c>
      <c r="J353" s="7">
        <v>0.875</v>
      </c>
      <c r="K353" s="7">
        <v>6.8</v>
      </c>
      <c r="L353" s="7">
        <v>1.8</v>
      </c>
      <c r="M353" s="7">
        <v>1</v>
      </c>
      <c r="N353" s="7">
        <v>1.5</v>
      </c>
      <c r="O353" s="7">
        <v>0.5</v>
      </c>
      <c r="P353" s="7">
        <v>19.5</v>
      </c>
    </row>
    <row r="354" spans="1:16" x14ac:dyDescent="0.35">
      <c r="A354" s="1" t="s">
        <v>360</v>
      </c>
      <c r="B354" s="1" t="s">
        <v>34</v>
      </c>
      <c r="C354" s="1" t="s">
        <v>47</v>
      </c>
      <c r="D354" s="7">
        <v>10</v>
      </c>
      <c r="E354" s="7">
        <v>23.5</v>
      </c>
      <c r="F354" s="7">
        <v>9.6</v>
      </c>
      <c r="G354" s="7">
        <v>0.438</v>
      </c>
      <c r="H354" s="7">
        <v>2</v>
      </c>
      <c r="I354" s="7">
        <v>2.7</v>
      </c>
      <c r="J354" s="7">
        <v>0.88900000000000001</v>
      </c>
      <c r="K354" s="7">
        <v>6.3</v>
      </c>
      <c r="L354" s="7">
        <v>2</v>
      </c>
      <c r="M354" s="7">
        <v>0.8</v>
      </c>
      <c r="N354" s="7">
        <v>0</v>
      </c>
      <c r="O354" s="7">
        <v>1</v>
      </c>
      <c r="P354" s="7">
        <v>12.8</v>
      </c>
    </row>
    <row r="355" spans="1:16" x14ac:dyDescent="0.35">
      <c r="A355" s="1" t="s">
        <v>361</v>
      </c>
      <c r="B355" s="1" t="s">
        <v>18</v>
      </c>
      <c r="C355" s="1" t="s">
        <v>38</v>
      </c>
      <c r="D355" s="7">
        <v>11</v>
      </c>
      <c r="E355" s="7">
        <v>24.2</v>
      </c>
      <c r="F355" s="7">
        <v>8.6999999999999993</v>
      </c>
      <c r="G355" s="7">
        <v>0.56299999999999994</v>
      </c>
      <c r="H355" s="7">
        <v>0.9</v>
      </c>
      <c r="I355" s="7">
        <v>1.4</v>
      </c>
      <c r="J355" s="7">
        <v>0.8</v>
      </c>
      <c r="K355" s="7">
        <v>8</v>
      </c>
      <c r="L355" s="7">
        <v>1.4</v>
      </c>
      <c r="M355" s="7">
        <v>0.9</v>
      </c>
      <c r="N355" s="7">
        <v>0.5</v>
      </c>
      <c r="O355" s="7">
        <v>1.4</v>
      </c>
      <c r="P355" s="7">
        <v>11.8</v>
      </c>
    </row>
    <row r="356" spans="1:16" x14ac:dyDescent="0.35">
      <c r="A356" s="1" t="s">
        <v>362</v>
      </c>
      <c r="B356" s="1" t="s">
        <v>18</v>
      </c>
      <c r="C356" s="1" t="s">
        <v>56</v>
      </c>
      <c r="D356" s="7">
        <v>9</v>
      </c>
      <c r="E356" s="7">
        <v>19.8</v>
      </c>
      <c r="F356" s="7">
        <v>3.3</v>
      </c>
      <c r="G356" s="7">
        <v>0.46700000000000003</v>
      </c>
      <c r="H356" s="7">
        <v>0.1</v>
      </c>
      <c r="I356" s="7">
        <v>2.4</v>
      </c>
      <c r="J356" s="7">
        <v>0.72699999999999998</v>
      </c>
      <c r="K356" s="7">
        <v>3.6</v>
      </c>
      <c r="L356" s="7">
        <v>1.2</v>
      </c>
      <c r="M356" s="7">
        <v>1.2</v>
      </c>
      <c r="N356" s="7">
        <v>0.6</v>
      </c>
      <c r="O356" s="7">
        <v>0.9</v>
      </c>
      <c r="P356" s="7">
        <v>5</v>
      </c>
    </row>
    <row r="357" spans="1:16" x14ac:dyDescent="0.35">
      <c r="A357" s="1" t="s">
        <v>363</v>
      </c>
      <c r="B357" s="1" t="s">
        <v>25</v>
      </c>
      <c r="C357" s="1" t="s">
        <v>44</v>
      </c>
      <c r="D357" s="7">
        <v>10</v>
      </c>
      <c r="E357" s="7">
        <v>22.9</v>
      </c>
      <c r="F357" s="7">
        <v>8.4</v>
      </c>
      <c r="G357" s="7">
        <v>0.36899999999999999</v>
      </c>
      <c r="H357" s="7">
        <v>1.8</v>
      </c>
      <c r="I357" s="7">
        <v>2.9</v>
      </c>
      <c r="J357" s="7">
        <v>0.86199999999999999</v>
      </c>
      <c r="K357" s="7">
        <v>1.8</v>
      </c>
      <c r="L357" s="7">
        <v>0.6</v>
      </c>
      <c r="M357" s="7">
        <v>1.1000000000000001</v>
      </c>
      <c r="N357" s="7">
        <v>0.2</v>
      </c>
      <c r="O357" s="7">
        <v>1.1000000000000001</v>
      </c>
      <c r="P357" s="7">
        <v>10.5</v>
      </c>
    </row>
    <row r="358" spans="1:16" x14ac:dyDescent="0.35">
      <c r="A358" s="1" t="s">
        <v>522</v>
      </c>
      <c r="B358" s="1" t="s">
        <v>15</v>
      </c>
      <c r="C358" s="1" t="s">
        <v>30</v>
      </c>
      <c r="D358" s="7">
        <v>12</v>
      </c>
      <c r="E358" s="7">
        <v>18.2</v>
      </c>
      <c r="F358" s="7">
        <v>6.2</v>
      </c>
      <c r="G358" s="7">
        <v>0.40500000000000003</v>
      </c>
      <c r="H358" s="7">
        <v>1.1000000000000001</v>
      </c>
      <c r="I358" s="7">
        <v>2.2999999999999998</v>
      </c>
      <c r="J358" s="7">
        <v>0.88900000000000001</v>
      </c>
      <c r="K358" s="7">
        <v>2.8</v>
      </c>
      <c r="L358" s="7">
        <v>0.6</v>
      </c>
      <c r="M358" s="7">
        <v>0.7</v>
      </c>
      <c r="N358" s="7">
        <v>0.7</v>
      </c>
      <c r="O358" s="7">
        <v>0.9</v>
      </c>
      <c r="P358" s="7">
        <v>8.1</v>
      </c>
    </row>
    <row r="359" spans="1:16" x14ac:dyDescent="0.35">
      <c r="A359" s="1" t="s">
        <v>718</v>
      </c>
      <c r="B359" s="1" t="s">
        <v>25</v>
      </c>
      <c r="C359" s="1" t="s">
        <v>98</v>
      </c>
      <c r="D359" s="7">
        <v>10</v>
      </c>
      <c r="E359" s="7">
        <v>22.9</v>
      </c>
      <c r="F359" s="7">
        <v>6.4</v>
      </c>
      <c r="G359" s="7">
        <v>0.51600000000000001</v>
      </c>
      <c r="H359" s="7">
        <v>1.1000000000000001</v>
      </c>
      <c r="I359" s="7">
        <v>1</v>
      </c>
      <c r="J359" s="7">
        <v>0.9</v>
      </c>
      <c r="K359" s="7">
        <v>2.4</v>
      </c>
      <c r="L359" s="7">
        <v>3.1</v>
      </c>
      <c r="M359" s="7">
        <v>1.3</v>
      </c>
      <c r="N359" s="7">
        <v>0.3</v>
      </c>
      <c r="O359" s="7">
        <v>1.9</v>
      </c>
      <c r="P359" s="7">
        <v>8.6</v>
      </c>
    </row>
    <row r="360" spans="1:16" x14ac:dyDescent="0.35">
      <c r="A360" s="1" t="s">
        <v>719</v>
      </c>
      <c r="B360" s="1" t="s">
        <v>46</v>
      </c>
      <c r="C360" s="1" t="s">
        <v>31</v>
      </c>
      <c r="D360" s="7">
        <v>7</v>
      </c>
      <c r="E360" s="7">
        <v>15.9</v>
      </c>
      <c r="F360" s="7">
        <v>5.4</v>
      </c>
      <c r="G360" s="7">
        <v>0.26300000000000001</v>
      </c>
      <c r="H360" s="7">
        <v>0.6</v>
      </c>
      <c r="I360" s="7">
        <v>2.2999999999999998</v>
      </c>
      <c r="J360" s="7">
        <v>1</v>
      </c>
      <c r="K360" s="7">
        <v>1.4</v>
      </c>
      <c r="L360" s="7">
        <v>1.7</v>
      </c>
      <c r="M360" s="7">
        <v>0.6</v>
      </c>
      <c r="N360" s="7">
        <v>0.3</v>
      </c>
      <c r="O360" s="7">
        <v>0.9</v>
      </c>
      <c r="P360" s="7">
        <v>5.7</v>
      </c>
    </row>
    <row r="361" spans="1:16" x14ac:dyDescent="0.35">
      <c r="A361" s="1" t="s">
        <v>720</v>
      </c>
      <c r="B361" s="1" t="s">
        <v>25</v>
      </c>
      <c r="C361" s="1" t="s">
        <v>49</v>
      </c>
      <c r="D361" s="7">
        <v>4</v>
      </c>
      <c r="E361" s="7">
        <v>4</v>
      </c>
      <c r="F361" s="7">
        <v>1</v>
      </c>
      <c r="G361" s="7">
        <v>0.5</v>
      </c>
      <c r="H361" s="7">
        <v>0.3</v>
      </c>
      <c r="I361" s="7">
        <v>0</v>
      </c>
      <c r="J361" s="7"/>
      <c r="K361" s="7">
        <v>1</v>
      </c>
      <c r="L361" s="7">
        <v>0.3</v>
      </c>
      <c r="M361" s="7">
        <v>0</v>
      </c>
      <c r="N361" s="7">
        <v>0.3</v>
      </c>
      <c r="O361" s="7">
        <v>0.3</v>
      </c>
      <c r="P361" s="7">
        <v>1.3</v>
      </c>
    </row>
    <row r="362" spans="1:16" x14ac:dyDescent="0.35">
      <c r="A362" s="1" t="s">
        <v>364</v>
      </c>
      <c r="B362" s="1" t="s">
        <v>15</v>
      </c>
      <c r="C362" s="1" t="s">
        <v>31</v>
      </c>
      <c r="D362" s="7">
        <v>11</v>
      </c>
      <c r="E362" s="7">
        <v>37.1</v>
      </c>
      <c r="F362" s="7">
        <v>16</v>
      </c>
      <c r="G362" s="7">
        <v>0.49399999999999999</v>
      </c>
      <c r="H362" s="7">
        <v>1.3</v>
      </c>
      <c r="I362" s="7">
        <v>6.5</v>
      </c>
      <c r="J362" s="7">
        <v>0.77500000000000002</v>
      </c>
      <c r="K362" s="7">
        <v>11.2</v>
      </c>
      <c r="L362" s="7">
        <v>6.9</v>
      </c>
      <c r="M362" s="7">
        <v>0.5</v>
      </c>
      <c r="N362" s="7">
        <v>0.3</v>
      </c>
      <c r="O362" s="7">
        <v>4.4000000000000004</v>
      </c>
      <c r="P362" s="7">
        <v>22.1</v>
      </c>
    </row>
    <row r="363" spans="1:16" x14ac:dyDescent="0.35">
      <c r="A363" s="1" t="s">
        <v>366</v>
      </c>
      <c r="B363" s="1" t="s">
        <v>34</v>
      </c>
      <c r="C363" s="1" t="s">
        <v>70</v>
      </c>
      <c r="D363" s="7">
        <v>10</v>
      </c>
      <c r="E363" s="7">
        <v>28.5</v>
      </c>
      <c r="F363" s="7">
        <v>10.6</v>
      </c>
      <c r="G363" s="7">
        <v>0.34899999999999998</v>
      </c>
      <c r="H363" s="7">
        <v>1.5</v>
      </c>
      <c r="I363" s="7">
        <v>3</v>
      </c>
      <c r="J363" s="7">
        <v>0.83299999999999996</v>
      </c>
      <c r="K363" s="7">
        <v>4.5999999999999996</v>
      </c>
      <c r="L363" s="7">
        <v>1.2</v>
      </c>
      <c r="M363" s="7">
        <v>1.4</v>
      </c>
      <c r="N363" s="7">
        <v>0.2</v>
      </c>
      <c r="O363" s="7">
        <v>1.5</v>
      </c>
      <c r="P363" s="7">
        <v>11.4</v>
      </c>
    </row>
    <row r="364" spans="1:16" x14ac:dyDescent="0.35">
      <c r="A364" s="1" t="s">
        <v>367</v>
      </c>
      <c r="B364" s="1" t="s">
        <v>25</v>
      </c>
      <c r="C364" s="1" t="s">
        <v>26</v>
      </c>
      <c r="D364" s="7">
        <v>9</v>
      </c>
      <c r="E364" s="7">
        <v>21</v>
      </c>
      <c r="F364" s="7">
        <v>7</v>
      </c>
      <c r="G364" s="7">
        <v>0.317</v>
      </c>
      <c r="H364" s="7">
        <v>1.4</v>
      </c>
      <c r="I364" s="7">
        <v>1.4</v>
      </c>
      <c r="J364" s="7">
        <v>1</v>
      </c>
      <c r="K364" s="7">
        <v>1.4</v>
      </c>
      <c r="L364" s="7">
        <v>1</v>
      </c>
      <c r="M364" s="7">
        <v>0.2</v>
      </c>
      <c r="N364" s="7">
        <v>0</v>
      </c>
      <c r="O364" s="7">
        <v>0.6</v>
      </c>
      <c r="P364" s="7">
        <v>7.3</v>
      </c>
    </row>
    <row r="365" spans="1:16" x14ac:dyDescent="0.35">
      <c r="A365" s="1" t="s">
        <v>763</v>
      </c>
      <c r="B365" s="1" t="s">
        <v>15</v>
      </c>
      <c r="C365" s="1" t="s">
        <v>80</v>
      </c>
      <c r="D365" s="7">
        <v>3</v>
      </c>
      <c r="E365" s="7">
        <v>16</v>
      </c>
      <c r="F365" s="7">
        <v>5.7</v>
      </c>
      <c r="G365" s="7">
        <v>0.41199999999999998</v>
      </c>
      <c r="H365" s="7">
        <v>0</v>
      </c>
      <c r="I365" s="7">
        <v>0</v>
      </c>
      <c r="J365" s="7"/>
      <c r="K365" s="7">
        <v>3.3</v>
      </c>
      <c r="L365" s="7">
        <v>1</v>
      </c>
      <c r="M365" s="7">
        <v>0.3</v>
      </c>
      <c r="N365" s="7">
        <v>1.3</v>
      </c>
      <c r="O365" s="7">
        <v>1.3</v>
      </c>
      <c r="P365" s="7">
        <v>4.7</v>
      </c>
    </row>
    <row r="366" spans="1:16" x14ac:dyDescent="0.35">
      <c r="A366" s="1" t="s">
        <v>368</v>
      </c>
      <c r="B366" s="1" t="s">
        <v>18</v>
      </c>
      <c r="C366" s="1" t="s">
        <v>61</v>
      </c>
      <c r="D366" s="7">
        <v>10</v>
      </c>
      <c r="E366" s="7">
        <v>20.2</v>
      </c>
      <c r="F366" s="7">
        <v>7.5</v>
      </c>
      <c r="G366" s="7">
        <v>0.54700000000000004</v>
      </c>
      <c r="H366" s="7">
        <v>1</v>
      </c>
      <c r="I366" s="7">
        <v>2.6</v>
      </c>
      <c r="J366" s="7">
        <v>0.69199999999999995</v>
      </c>
      <c r="K366" s="7">
        <v>4.4000000000000004</v>
      </c>
      <c r="L366" s="7">
        <v>1.3</v>
      </c>
      <c r="M366" s="7">
        <v>0.4</v>
      </c>
      <c r="N366" s="7">
        <v>1.1000000000000001</v>
      </c>
      <c r="O366" s="7">
        <v>1.3</v>
      </c>
      <c r="P366" s="7">
        <v>11</v>
      </c>
    </row>
    <row r="367" spans="1:16" x14ac:dyDescent="0.35">
      <c r="A367" s="1" t="s">
        <v>721</v>
      </c>
      <c r="B367" s="1" t="s">
        <v>15</v>
      </c>
      <c r="C367" s="1" t="s">
        <v>54</v>
      </c>
      <c r="D367" s="7">
        <v>4</v>
      </c>
      <c r="E367" s="7">
        <v>3</v>
      </c>
      <c r="F367" s="7">
        <v>0.5</v>
      </c>
      <c r="G367" s="7">
        <v>1</v>
      </c>
      <c r="H367" s="7">
        <v>0</v>
      </c>
      <c r="I367" s="7">
        <v>0.5</v>
      </c>
      <c r="J367" s="7">
        <v>0.5</v>
      </c>
      <c r="K367" s="7">
        <v>1</v>
      </c>
      <c r="L367" s="7">
        <v>0</v>
      </c>
      <c r="M367" s="7">
        <v>0</v>
      </c>
      <c r="N367" s="7">
        <v>0</v>
      </c>
      <c r="O367" s="7">
        <v>0</v>
      </c>
      <c r="P367" s="7">
        <v>1.3</v>
      </c>
    </row>
    <row r="368" spans="1:16" x14ac:dyDescent="0.35">
      <c r="A368" s="1" t="s">
        <v>369</v>
      </c>
      <c r="B368" s="1" t="s">
        <v>25</v>
      </c>
      <c r="C368" s="1" t="s">
        <v>56</v>
      </c>
      <c r="D368" s="7">
        <v>8</v>
      </c>
      <c r="E368" s="7">
        <v>32.5</v>
      </c>
      <c r="F368" s="7">
        <v>11.9</v>
      </c>
      <c r="G368" s="7">
        <v>0.41099999999999998</v>
      </c>
      <c r="H368" s="7">
        <v>2</v>
      </c>
      <c r="I368" s="7">
        <v>2.1</v>
      </c>
      <c r="J368" s="7">
        <v>0.94099999999999995</v>
      </c>
      <c r="K368" s="7">
        <v>2.9</v>
      </c>
      <c r="L368" s="7">
        <v>1.6</v>
      </c>
      <c r="M368" s="7">
        <v>0.9</v>
      </c>
      <c r="N368" s="7">
        <v>0.3</v>
      </c>
      <c r="O368" s="7">
        <v>1.3</v>
      </c>
      <c r="P368" s="7">
        <v>13.8</v>
      </c>
    </row>
    <row r="369" spans="1:16" x14ac:dyDescent="0.35">
      <c r="A369" s="1" t="s">
        <v>370</v>
      </c>
      <c r="B369" s="1" t="s">
        <v>25</v>
      </c>
      <c r="C369" s="1" t="s">
        <v>31</v>
      </c>
      <c r="D369" s="7">
        <v>7</v>
      </c>
      <c r="E369" s="7">
        <v>28</v>
      </c>
      <c r="F369" s="7">
        <v>9.3000000000000007</v>
      </c>
      <c r="G369" s="7">
        <v>0.50800000000000001</v>
      </c>
      <c r="H369" s="7">
        <v>2.6</v>
      </c>
      <c r="I369" s="7">
        <v>0</v>
      </c>
      <c r="J369" s="7"/>
      <c r="K369" s="7">
        <v>2.4</v>
      </c>
      <c r="L369" s="7">
        <v>2.6</v>
      </c>
      <c r="M369" s="7">
        <v>0.7</v>
      </c>
      <c r="N369" s="7">
        <v>0</v>
      </c>
      <c r="O369" s="7">
        <v>1.6</v>
      </c>
      <c r="P369" s="7">
        <v>12</v>
      </c>
    </row>
    <row r="370" spans="1:16" x14ac:dyDescent="0.35">
      <c r="A370" s="1" t="s">
        <v>371</v>
      </c>
      <c r="B370" s="1" t="s">
        <v>34</v>
      </c>
      <c r="C370" s="1" t="s">
        <v>21</v>
      </c>
      <c r="D370" s="7">
        <v>9</v>
      </c>
      <c r="E370" s="7">
        <v>32</v>
      </c>
      <c r="F370" s="7">
        <v>9.6</v>
      </c>
      <c r="G370" s="7">
        <v>0.40699999999999997</v>
      </c>
      <c r="H370" s="7">
        <v>3.4</v>
      </c>
      <c r="I370" s="7">
        <v>2.1</v>
      </c>
      <c r="J370" s="7">
        <v>0.78900000000000003</v>
      </c>
      <c r="K370" s="7">
        <v>4.2</v>
      </c>
      <c r="L370" s="7">
        <v>1.4</v>
      </c>
      <c r="M370" s="7">
        <v>0.8</v>
      </c>
      <c r="N370" s="7">
        <v>0.3</v>
      </c>
      <c r="O370" s="7">
        <v>1.4</v>
      </c>
      <c r="P370" s="7">
        <v>12.9</v>
      </c>
    </row>
    <row r="371" spans="1:16" x14ac:dyDescent="0.35">
      <c r="A371" s="1" t="s">
        <v>644</v>
      </c>
      <c r="B371" s="1" t="s">
        <v>34</v>
      </c>
      <c r="C371" s="1" t="s">
        <v>49</v>
      </c>
      <c r="D371" s="7">
        <v>8</v>
      </c>
      <c r="E371" s="7">
        <v>19.399999999999999</v>
      </c>
      <c r="F371" s="7">
        <v>5.3</v>
      </c>
      <c r="G371" s="7">
        <v>0.5</v>
      </c>
      <c r="H371" s="7">
        <v>0.9</v>
      </c>
      <c r="I371" s="7">
        <v>1.8</v>
      </c>
      <c r="J371" s="7">
        <v>0.92900000000000005</v>
      </c>
      <c r="K371" s="7">
        <v>2.6</v>
      </c>
      <c r="L371" s="7">
        <v>1.1000000000000001</v>
      </c>
      <c r="M371" s="7">
        <v>0</v>
      </c>
      <c r="N371" s="7">
        <v>0.1</v>
      </c>
      <c r="O371" s="7">
        <v>0.4</v>
      </c>
      <c r="P371" s="7">
        <v>7.8</v>
      </c>
    </row>
    <row r="372" spans="1:16" x14ac:dyDescent="0.35">
      <c r="A372" s="1" t="s">
        <v>373</v>
      </c>
      <c r="B372" s="1" t="s">
        <v>25</v>
      </c>
      <c r="C372" s="1" t="s">
        <v>67</v>
      </c>
      <c r="D372" s="7">
        <v>6</v>
      </c>
      <c r="E372" s="7">
        <v>15</v>
      </c>
      <c r="F372" s="7">
        <v>3.8</v>
      </c>
      <c r="G372" s="7">
        <v>0.39100000000000001</v>
      </c>
      <c r="H372" s="7">
        <v>0.7</v>
      </c>
      <c r="I372" s="7">
        <v>0.8</v>
      </c>
      <c r="J372" s="7">
        <v>1</v>
      </c>
      <c r="K372" s="7">
        <v>1.7</v>
      </c>
      <c r="L372" s="7">
        <v>1.3</v>
      </c>
      <c r="M372" s="7">
        <v>0.5</v>
      </c>
      <c r="N372" s="7">
        <v>0</v>
      </c>
      <c r="O372" s="7">
        <v>0.7</v>
      </c>
      <c r="P372" s="7">
        <v>4.5</v>
      </c>
    </row>
    <row r="373" spans="1:16" x14ac:dyDescent="0.35">
      <c r="A373" s="1" t="s">
        <v>374</v>
      </c>
      <c r="B373" s="1" t="s">
        <v>18</v>
      </c>
      <c r="C373" s="1" t="s">
        <v>31</v>
      </c>
      <c r="D373" s="7">
        <v>11</v>
      </c>
      <c r="E373" s="7">
        <v>30.1</v>
      </c>
      <c r="F373" s="7">
        <v>6</v>
      </c>
      <c r="G373" s="7">
        <v>0.68200000000000005</v>
      </c>
      <c r="H373" s="7">
        <v>0</v>
      </c>
      <c r="I373" s="7">
        <v>1.5</v>
      </c>
      <c r="J373" s="7">
        <v>0.47099999999999997</v>
      </c>
      <c r="K373" s="7">
        <v>8.1</v>
      </c>
      <c r="L373" s="7">
        <v>0.5</v>
      </c>
      <c r="M373" s="7">
        <v>1.5</v>
      </c>
      <c r="N373" s="7">
        <v>1.9</v>
      </c>
      <c r="O373" s="7">
        <v>0.8</v>
      </c>
      <c r="P373" s="7">
        <v>8.9</v>
      </c>
    </row>
    <row r="374" spans="1:16" x14ac:dyDescent="0.35">
      <c r="A374" s="1" t="s">
        <v>456</v>
      </c>
      <c r="B374" s="1" t="s">
        <v>15</v>
      </c>
      <c r="C374" s="1" t="s">
        <v>19</v>
      </c>
      <c r="D374" s="7">
        <v>7</v>
      </c>
      <c r="E374" s="7">
        <v>16.899999999999999</v>
      </c>
      <c r="F374" s="7">
        <v>5</v>
      </c>
      <c r="G374" s="7">
        <v>0.629</v>
      </c>
      <c r="H374" s="7">
        <v>0.7</v>
      </c>
      <c r="I374" s="7">
        <v>1.7</v>
      </c>
      <c r="J374" s="7">
        <v>0.5</v>
      </c>
      <c r="K374" s="7">
        <v>4</v>
      </c>
      <c r="L374" s="7">
        <v>0.4</v>
      </c>
      <c r="M374" s="7">
        <v>0.1</v>
      </c>
      <c r="N374" s="7">
        <v>0.6</v>
      </c>
      <c r="O374" s="7">
        <v>1</v>
      </c>
      <c r="P374" s="7">
        <v>7.9</v>
      </c>
    </row>
    <row r="375" spans="1:16" x14ac:dyDescent="0.35">
      <c r="A375" s="1" t="s">
        <v>375</v>
      </c>
      <c r="B375" s="1" t="s">
        <v>46</v>
      </c>
      <c r="C375" s="1" t="s">
        <v>70</v>
      </c>
      <c r="D375" s="7">
        <v>2</v>
      </c>
      <c r="E375" s="7">
        <v>15.5</v>
      </c>
      <c r="F375" s="7">
        <v>5</v>
      </c>
      <c r="G375" s="7">
        <v>0.5</v>
      </c>
      <c r="H375" s="7">
        <v>1</v>
      </c>
      <c r="I375" s="7">
        <v>0</v>
      </c>
      <c r="J375" s="7"/>
      <c r="K375" s="7">
        <v>1</v>
      </c>
      <c r="L375" s="7">
        <v>7</v>
      </c>
      <c r="M375" s="7">
        <v>0.5</v>
      </c>
      <c r="N375" s="7">
        <v>0.5</v>
      </c>
      <c r="O375" s="7">
        <v>1</v>
      </c>
      <c r="P375" s="7">
        <v>6</v>
      </c>
    </row>
    <row r="376" spans="1:16" x14ac:dyDescent="0.35">
      <c r="A376" s="1" t="s">
        <v>376</v>
      </c>
      <c r="B376" s="1" t="s">
        <v>46</v>
      </c>
      <c r="C376" s="1" t="s">
        <v>82</v>
      </c>
      <c r="D376" s="7">
        <v>8</v>
      </c>
      <c r="E376" s="7">
        <v>23.6</v>
      </c>
      <c r="F376" s="7">
        <v>12.8</v>
      </c>
      <c r="G376" s="7">
        <v>0.40200000000000002</v>
      </c>
      <c r="H376" s="7">
        <v>0.8</v>
      </c>
      <c r="I376" s="7">
        <v>3.5</v>
      </c>
      <c r="J376" s="7">
        <v>0.82099999999999995</v>
      </c>
      <c r="K376" s="7">
        <v>2</v>
      </c>
      <c r="L376" s="7">
        <v>5.4</v>
      </c>
      <c r="M376" s="7">
        <v>1</v>
      </c>
      <c r="N376" s="7">
        <v>0.4</v>
      </c>
      <c r="O376" s="7">
        <v>2.4</v>
      </c>
      <c r="P376" s="7">
        <v>13.9</v>
      </c>
    </row>
    <row r="377" spans="1:16" x14ac:dyDescent="0.35">
      <c r="A377" s="1" t="s">
        <v>377</v>
      </c>
      <c r="B377" s="1" t="s">
        <v>25</v>
      </c>
      <c r="C377" s="1" t="s">
        <v>33</v>
      </c>
      <c r="D377" s="7">
        <v>10</v>
      </c>
      <c r="E377" s="7">
        <v>27.3</v>
      </c>
      <c r="F377" s="7">
        <v>12.6</v>
      </c>
      <c r="G377" s="7">
        <v>0.44400000000000001</v>
      </c>
      <c r="H377" s="7">
        <v>2.2000000000000002</v>
      </c>
      <c r="I377" s="7">
        <v>3.4</v>
      </c>
      <c r="J377" s="7">
        <v>0.91200000000000003</v>
      </c>
      <c r="K377" s="7">
        <v>2.4</v>
      </c>
      <c r="L377" s="7">
        <v>1.5</v>
      </c>
      <c r="M377" s="7">
        <v>1.4</v>
      </c>
      <c r="N377" s="7">
        <v>0.2</v>
      </c>
      <c r="O377" s="7">
        <v>1.8</v>
      </c>
      <c r="P377" s="7">
        <v>16.5</v>
      </c>
    </row>
    <row r="378" spans="1:16" x14ac:dyDescent="0.35">
      <c r="A378" s="1" t="s">
        <v>378</v>
      </c>
      <c r="B378" s="1" t="s">
        <v>25</v>
      </c>
      <c r="C378" s="1" t="s">
        <v>54</v>
      </c>
      <c r="D378" s="7">
        <v>11</v>
      </c>
      <c r="E378" s="7">
        <v>32.1</v>
      </c>
      <c r="F378" s="7">
        <v>14</v>
      </c>
      <c r="G378" s="7">
        <v>0.46800000000000003</v>
      </c>
      <c r="H378" s="7">
        <v>3.4</v>
      </c>
      <c r="I378" s="7">
        <v>4</v>
      </c>
      <c r="J378" s="7">
        <v>0.77300000000000002</v>
      </c>
      <c r="K378" s="7">
        <v>3.5</v>
      </c>
      <c r="L378" s="7">
        <v>2.8</v>
      </c>
      <c r="M378" s="7">
        <v>1.5</v>
      </c>
      <c r="N378" s="7">
        <v>0.5</v>
      </c>
      <c r="O378" s="7">
        <v>2</v>
      </c>
      <c r="P378" s="7">
        <v>19.5</v>
      </c>
    </row>
    <row r="379" spans="1:16" x14ac:dyDescent="0.35">
      <c r="A379" s="1" t="s">
        <v>379</v>
      </c>
      <c r="B379" s="1" t="s">
        <v>46</v>
      </c>
      <c r="C379" s="1" t="s">
        <v>61</v>
      </c>
      <c r="D379" s="7">
        <v>10</v>
      </c>
      <c r="E379" s="7">
        <v>24.4</v>
      </c>
      <c r="F379" s="7">
        <v>5.8</v>
      </c>
      <c r="G379" s="7">
        <v>0.39700000000000002</v>
      </c>
      <c r="H379" s="7">
        <v>0.5</v>
      </c>
      <c r="I379" s="7">
        <v>1.3</v>
      </c>
      <c r="J379" s="7">
        <v>0.92300000000000004</v>
      </c>
      <c r="K379" s="7">
        <v>2.9</v>
      </c>
      <c r="L379" s="7">
        <v>5.3</v>
      </c>
      <c r="M379" s="7">
        <v>1.5</v>
      </c>
      <c r="N379" s="7">
        <v>0</v>
      </c>
      <c r="O379" s="7">
        <v>1.5</v>
      </c>
      <c r="P379" s="7">
        <v>6.3</v>
      </c>
    </row>
    <row r="380" spans="1:16" x14ac:dyDescent="0.35">
      <c r="A380" s="1" t="s">
        <v>380</v>
      </c>
      <c r="B380" s="1" t="s">
        <v>46</v>
      </c>
      <c r="C380" s="1" t="s">
        <v>61</v>
      </c>
      <c r="D380" s="7">
        <v>10</v>
      </c>
      <c r="E380" s="7">
        <v>31</v>
      </c>
      <c r="F380" s="7">
        <v>17.399999999999999</v>
      </c>
      <c r="G380" s="7">
        <v>0.43099999999999999</v>
      </c>
      <c r="H380" s="7">
        <v>2.9</v>
      </c>
      <c r="I380" s="7">
        <v>3.5</v>
      </c>
      <c r="J380" s="7">
        <v>0.68600000000000005</v>
      </c>
      <c r="K380" s="7">
        <v>3.2</v>
      </c>
      <c r="L380" s="7">
        <v>5.2</v>
      </c>
      <c r="M380" s="7">
        <v>1.2</v>
      </c>
      <c r="N380" s="7">
        <v>0.4</v>
      </c>
      <c r="O380" s="7">
        <v>3.3</v>
      </c>
      <c r="P380" s="7">
        <v>20.3</v>
      </c>
    </row>
    <row r="381" spans="1:16" x14ac:dyDescent="0.35">
      <c r="A381" s="1" t="s">
        <v>381</v>
      </c>
      <c r="B381" s="1" t="s">
        <v>15</v>
      </c>
      <c r="C381" s="1" t="s">
        <v>75</v>
      </c>
      <c r="D381" s="7">
        <v>11</v>
      </c>
      <c r="E381" s="7">
        <v>37.700000000000003</v>
      </c>
      <c r="F381" s="7">
        <v>15.5</v>
      </c>
      <c r="G381" s="7">
        <v>0.55600000000000005</v>
      </c>
      <c r="H381" s="7">
        <v>0.8</v>
      </c>
      <c r="I381" s="7">
        <v>5.5</v>
      </c>
      <c r="J381" s="7">
        <v>0.68300000000000005</v>
      </c>
      <c r="K381" s="7">
        <v>12.5</v>
      </c>
      <c r="L381" s="7">
        <v>5.8</v>
      </c>
      <c r="M381" s="7">
        <v>0.5</v>
      </c>
      <c r="N381" s="7">
        <v>0.5</v>
      </c>
      <c r="O381" s="7">
        <v>3.6</v>
      </c>
      <c r="P381" s="7">
        <v>21.8</v>
      </c>
    </row>
    <row r="382" spans="1:16" x14ac:dyDescent="0.35">
      <c r="A382" s="1" t="s">
        <v>618</v>
      </c>
      <c r="B382" s="1" t="s">
        <v>15</v>
      </c>
      <c r="C382" s="1" t="s">
        <v>23</v>
      </c>
      <c r="D382" s="7">
        <v>3</v>
      </c>
      <c r="E382" s="7">
        <v>2.7</v>
      </c>
      <c r="F382" s="7">
        <v>1.7</v>
      </c>
      <c r="G382" s="7">
        <v>0.2</v>
      </c>
      <c r="H382" s="7">
        <v>0.3</v>
      </c>
      <c r="I382" s="7">
        <v>0.7</v>
      </c>
      <c r="J382" s="7">
        <v>0.5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1.3</v>
      </c>
    </row>
    <row r="383" spans="1:16" x14ac:dyDescent="0.35">
      <c r="A383" s="1" t="s">
        <v>382</v>
      </c>
      <c r="B383" s="1" t="s">
        <v>15</v>
      </c>
      <c r="C383" s="1" t="s">
        <v>75</v>
      </c>
      <c r="D383" s="7">
        <v>6</v>
      </c>
      <c r="E383" s="7">
        <v>6.7</v>
      </c>
      <c r="F383" s="7">
        <v>1.8</v>
      </c>
      <c r="G383" s="7">
        <v>0.54500000000000004</v>
      </c>
      <c r="H383" s="7">
        <v>0</v>
      </c>
      <c r="I383" s="7">
        <v>0.5</v>
      </c>
      <c r="J383" s="7">
        <v>1</v>
      </c>
      <c r="K383" s="7">
        <v>1.7</v>
      </c>
      <c r="L383" s="7">
        <v>0</v>
      </c>
      <c r="M383" s="7">
        <v>0.2</v>
      </c>
      <c r="N383" s="7">
        <v>0.3</v>
      </c>
      <c r="O383" s="7">
        <v>0.2</v>
      </c>
      <c r="P383" s="7">
        <v>2.5</v>
      </c>
    </row>
    <row r="384" spans="1:16" x14ac:dyDescent="0.35">
      <c r="A384" s="1" t="s">
        <v>619</v>
      </c>
      <c r="B384" s="1" t="s">
        <v>15</v>
      </c>
      <c r="C384" s="1" t="s">
        <v>52</v>
      </c>
      <c r="D384" s="7">
        <v>7</v>
      </c>
      <c r="E384" s="7">
        <v>18.899999999999999</v>
      </c>
      <c r="F384" s="7">
        <v>8.3000000000000007</v>
      </c>
      <c r="G384" s="7">
        <v>0.44800000000000001</v>
      </c>
      <c r="H384" s="7">
        <v>1.4</v>
      </c>
      <c r="I384" s="7">
        <v>1.9</v>
      </c>
      <c r="J384" s="7">
        <v>0.92300000000000004</v>
      </c>
      <c r="K384" s="7">
        <v>4.5999999999999996</v>
      </c>
      <c r="L384" s="7">
        <v>1</v>
      </c>
      <c r="M384" s="7">
        <v>0.6</v>
      </c>
      <c r="N384" s="7">
        <v>0.1</v>
      </c>
      <c r="O384" s="7">
        <v>1.6</v>
      </c>
      <c r="P384" s="7">
        <v>10.6</v>
      </c>
    </row>
    <row r="385" spans="1:16" x14ac:dyDescent="0.35">
      <c r="A385" s="1" t="s">
        <v>620</v>
      </c>
      <c r="B385" s="1" t="s">
        <v>25</v>
      </c>
      <c r="C385" s="1" t="s">
        <v>47</v>
      </c>
      <c r="D385" s="7">
        <v>3</v>
      </c>
      <c r="E385" s="7">
        <v>22.7</v>
      </c>
      <c r="F385" s="7">
        <v>5</v>
      </c>
      <c r="G385" s="7">
        <v>0.46700000000000003</v>
      </c>
      <c r="H385" s="7">
        <v>0.7</v>
      </c>
      <c r="I385" s="7">
        <v>1</v>
      </c>
      <c r="J385" s="7">
        <v>1</v>
      </c>
      <c r="K385" s="7">
        <v>2.2999999999999998</v>
      </c>
      <c r="L385" s="7">
        <v>6</v>
      </c>
      <c r="M385" s="7">
        <v>1.3</v>
      </c>
      <c r="N385" s="7">
        <v>0.3</v>
      </c>
      <c r="O385" s="7">
        <v>2.7</v>
      </c>
      <c r="P385" s="7">
        <v>6.3</v>
      </c>
    </row>
    <row r="386" spans="1:16" x14ac:dyDescent="0.35">
      <c r="A386" s="1" t="s">
        <v>621</v>
      </c>
      <c r="B386" s="1" t="s">
        <v>25</v>
      </c>
      <c r="C386" s="1" t="s">
        <v>40</v>
      </c>
      <c r="D386" s="7">
        <v>12</v>
      </c>
      <c r="E386" s="7">
        <v>30.8</v>
      </c>
      <c r="F386" s="7">
        <v>12.6</v>
      </c>
      <c r="G386" s="7">
        <v>0.437</v>
      </c>
      <c r="H386" s="7">
        <v>1.3</v>
      </c>
      <c r="I386" s="7">
        <v>2.6</v>
      </c>
      <c r="J386" s="7">
        <v>0.77400000000000002</v>
      </c>
      <c r="K386" s="7">
        <v>4</v>
      </c>
      <c r="L386" s="7">
        <v>4.8</v>
      </c>
      <c r="M386" s="7">
        <v>0.8</v>
      </c>
      <c r="N386" s="7">
        <v>0.3</v>
      </c>
      <c r="O386" s="7">
        <v>2.6</v>
      </c>
      <c r="P386" s="7">
        <v>14.3</v>
      </c>
    </row>
    <row r="387" spans="1:16" x14ac:dyDescent="0.35">
      <c r="A387" s="1" t="s">
        <v>384</v>
      </c>
      <c r="B387" s="1" t="s">
        <v>15</v>
      </c>
      <c r="C387" s="1" t="s">
        <v>80</v>
      </c>
      <c r="D387" s="7">
        <v>7</v>
      </c>
      <c r="E387" s="7">
        <v>21.1</v>
      </c>
      <c r="F387" s="7">
        <v>6.3</v>
      </c>
      <c r="G387" s="7">
        <v>0.318</v>
      </c>
      <c r="H387" s="7">
        <v>1.3</v>
      </c>
      <c r="I387" s="7">
        <v>0.4</v>
      </c>
      <c r="J387" s="7">
        <v>0.66700000000000004</v>
      </c>
      <c r="K387" s="7">
        <v>2.9</v>
      </c>
      <c r="L387" s="7">
        <v>0.1</v>
      </c>
      <c r="M387" s="7">
        <v>0.3</v>
      </c>
      <c r="N387" s="7">
        <v>0.3</v>
      </c>
      <c r="O387" s="7">
        <v>0.4</v>
      </c>
      <c r="P387" s="7">
        <v>5.6</v>
      </c>
    </row>
    <row r="388" spans="1:16" x14ac:dyDescent="0.35">
      <c r="A388" s="1" t="s">
        <v>386</v>
      </c>
      <c r="B388" s="1" t="s">
        <v>25</v>
      </c>
      <c r="C388" s="1" t="s">
        <v>118</v>
      </c>
      <c r="D388" s="7">
        <v>8</v>
      </c>
      <c r="E388" s="7">
        <v>37.4</v>
      </c>
      <c r="F388" s="7">
        <v>18.399999999999999</v>
      </c>
      <c r="G388" s="7">
        <v>0.53100000000000003</v>
      </c>
      <c r="H388" s="7">
        <v>2</v>
      </c>
      <c r="I388" s="7">
        <v>4.4000000000000004</v>
      </c>
      <c r="J388" s="7">
        <v>0.82899999999999996</v>
      </c>
      <c r="K388" s="7">
        <v>2.1</v>
      </c>
      <c r="L388" s="7">
        <v>3.5</v>
      </c>
      <c r="M388" s="7">
        <v>1.4</v>
      </c>
      <c r="N388" s="7">
        <v>0.3</v>
      </c>
      <c r="O388" s="7">
        <v>2.1</v>
      </c>
      <c r="P388" s="7">
        <v>25.1</v>
      </c>
    </row>
    <row r="389" spans="1:16" x14ac:dyDescent="0.35">
      <c r="A389" s="1" t="s">
        <v>387</v>
      </c>
      <c r="B389" s="1" t="s">
        <v>25</v>
      </c>
      <c r="C389" s="1" t="s">
        <v>30</v>
      </c>
      <c r="D389" s="7">
        <v>12</v>
      </c>
      <c r="E389" s="7">
        <v>17.3</v>
      </c>
      <c r="F389" s="7">
        <v>4.5</v>
      </c>
      <c r="G389" s="7">
        <v>0.33300000000000002</v>
      </c>
      <c r="H389" s="7">
        <v>0.9</v>
      </c>
      <c r="I389" s="7">
        <v>0.9</v>
      </c>
      <c r="J389" s="7">
        <v>0.90900000000000003</v>
      </c>
      <c r="K389" s="7">
        <v>1.6</v>
      </c>
      <c r="L389" s="7">
        <v>0.9</v>
      </c>
      <c r="M389" s="7">
        <v>0.8</v>
      </c>
      <c r="N389" s="7">
        <v>0.1</v>
      </c>
      <c r="O389" s="7">
        <v>0.8</v>
      </c>
      <c r="P389" s="7">
        <v>4.8</v>
      </c>
    </row>
    <row r="390" spans="1:16" x14ac:dyDescent="0.35">
      <c r="A390" s="1" t="s">
        <v>388</v>
      </c>
      <c r="B390" s="1" t="s">
        <v>15</v>
      </c>
      <c r="C390" s="1" t="s">
        <v>44</v>
      </c>
      <c r="D390" s="7">
        <v>9</v>
      </c>
      <c r="E390" s="7">
        <v>35.9</v>
      </c>
      <c r="F390" s="7">
        <v>16.600000000000001</v>
      </c>
      <c r="G390" s="7">
        <v>0.46300000000000002</v>
      </c>
      <c r="H390" s="7">
        <v>1.4</v>
      </c>
      <c r="I390" s="7">
        <v>4.9000000000000004</v>
      </c>
      <c r="J390" s="7">
        <v>0.75</v>
      </c>
      <c r="K390" s="7">
        <v>8.8000000000000007</v>
      </c>
      <c r="L390" s="7">
        <v>5.0999999999999996</v>
      </c>
      <c r="M390" s="7">
        <v>0.8</v>
      </c>
      <c r="N390" s="7">
        <v>0.6</v>
      </c>
      <c r="O390" s="7">
        <v>2.6</v>
      </c>
      <c r="P390" s="7">
        <v>20.399999999999999</v>
      </c>
    </row>
    <row r="391" spans="1:16" x14ac:dyDescent="0.35">
      <c r="A391" s="1" t="s">
        <v>389</v>
      </c>
      <c r="B391" s="1" t="s">
        <v>15</v>
      </c>
      <c r="C391" s="1" t="s">
        <v>21</v>
      </c>
      <c r="D391" s="7">
        <v>4</v>
      </c>
      <c r="E391" s="7">
        <v>6.8</v>
      </c>
      <c r="F391" s="7">
        <v>0.5</v>
      </c>
      <c r="G391" s="7">
        <v>0.5</v>
      </c>
      <c r="H391" s="7">
        <v>0</v>
      </c>
      <c r="I391" s="7">
        <v>1.5</v>
      </c>
      <c r="J391" s="7">
        <v>0.83299999999999996</v>
      </c>
      <c r="K391" s="7">
        <v>3.3</v>
      </c>
      <c r="L391" s="7">
        <v>1.3</v>
      </c>
      <c r="M391" s="7">
        <v>0</v>
      </c>
      <c r="N391" s="7">
        <v>0.3</v>
      </c>
      <c r="O391" s="7">
        <v>1.3</v>
      </c>
      <c r="P391" s="7">
        <v>1.8</v>
      </c>
    </row>
    <row r="392" spans="1:16" x14ac:dyDescent="0.35">
      <c r="A392" s="1" t="s">
        <v>390</v>
      </c>
      <c r="B392" s="1" t="s">
        <v>46</v>
      </c>
      <c r="C392" s="1" t="s">
        <v>80</v>
      </c>
      <c r="D392" s="7">
        <v>10</v>
      </c>
      <c r="E392" s="7">
        <v>32.6</v>
      </c>
      <c r="F392" s="7">
        <v>9.3000000000000007</v>
      </c>
      <c r="G392" s="7">
        <v>0.51600000000000001</v>
      </c>
      <c r="H392" s="7">
        <v>0.1</v>
      </c>
      <c r="I392" s="7">
        <v>4.8</v>
      </c>
      <c r="J392" s="7">
        <v>0.60399999999999998</v>
      </c>
      <c r="K392" s="7">
        <v>8.5</v>
      </c>
      <c r="L392" s="7">
        <v>7.5</v>
      </c>
      <c r="M392" s="7">
        <v>1.5</v>
      </c>
      <c r="N392" s="7">
        <v>1.1000000000000001</v>
      </c>
      <c r="O392" s="7">
        <v>3.8</v>
      </c>
      <c r="P392" s="7">
        <v>12.6</v>
      </c>
    </row>
    <row r="393" spans="1:16" x14ac:dyDescent="0.35">
      <c r="A393" s="1" t="s">
        <v>391</v>
      </c>
      <c r="B393" s="1" t="s">
        <v>25</v>
      </c>
      <c r="C393" s="1" t="s">
        <v>43</v>
      </c>
      <c r="D393" s="7">
        <v>8</v>
      </c>
      <c r="E393" s="7">
        <v>10.4</v>
      </c>
      <c r="F393" s="7">
        <v>4.5</v>
      </c>
      <c r="G393" s="7">
        <v>0.36099999999999999</v>
      </c>
      <c r="H393" s="7">
        <v>1.3</v>
      </c>
      <c r="I393" s="7">
        <v>0.8</v>
      </c>
      <c r="J393" s="7">
        <v>0.66700000000000004</v>
      </c>
      <c r="K393" s="7">
        <v>1.6</v>
      </c>
      <c r="L393" s="7">
        <v>0.5</v>
      </c>
      <c r="M393" s="7">
        <v>0.1</v>
      </c>
      <c r="N393" s="7">
        <v>0.3</v>
      </c>
      <c r="O393" s="7">
        <v>0.3</v>
      </c>
      <c r="P393" s="7">
        <v>5</v>
      </c>
    </row>
    <row r="394" spans="1:16" x14ac:dyDescent="0.35">
      <c r="A394" s="1" t="s">
        <v>755</v>
      </c>
      <c r="B394" s="1" t="s">
        <v>25</v>
      </c>
      <c r="C394" s="1" t="s">
        <v>82</v>
      </c>
      <c r="D394" s="7">
        <v>1</v>
      </c>
      <c r="E394" s="7">
        <v>1</v>
      </c>
      <c r="F394" s="7">
        <v>0</v>
      </c>
      <c r="G394" s="7"/>
      <c r="H394" s="7">
        <v>0</v>
      </c>
      <c r="I394" s="7">
        <v>0</v>
      </c>
      <c r="J394" s="7"/>
      <c r="K394" s="7">
        <v>0</v>
      </c>
      <c r="L394" s="7">
        <v>0</v>
      </c>
      <c r="M394" s="7">
        <v>0</v>
      </c>
      <c r="N394" s="7">
        <v>0</v>
      </c>
      <c r="O394" s="7">
        <v>0</v>
      </c>
      <c r="P394" s="7">
        <v>0</v>
      </c>
    </row>
    <row r="395" spans="1:16" x14ac:dyDescent="0.35">
      <c r="A395" s="1" t="s">
        <v>392</v>
      </c>
      <c r="B395" s="1" t="s">
        <v>46</v>
      </c>
      <c r="C395" s="1" t="s">
        <v>98</v>
      </c>
      <c r="D395" s="7">
        <v>9</v>
      </c>
      <c r="E395" s="7">
        <v>33.4</v>
      </c>
      <c r="F395" s="7">
        <v>9.8000000000000007</v>
      </c>
      <c r="G395" s="7">
        <v>0.35199999999999998</v>
      </c>
      <c r="H395" s="7">
        <v>1.9</v>
      </c>
      <c r="I395" s="7">
        <v>4.4000000000000004</v>
      </c>
      <c r="J395" s="7">
        <v>0.77500000000000002</v>
      </c>
      <c r="K395" s="7">
        <v>2.8</v>
      </c>
      <c r="L395" s="7">
        <v>6.4</v>
      </c>
      <c r="M395" s="7">
        <v>1.6</v>
      </c>
      <c r="N395" s="7">
        <v>0.7</v>
      </c>
      <c r="O395" s="7">
        <v>1.8</v>
      </c>
      <c r="P395" s="7">
        <v>12.2</v>
      </c>
    </row>
    <row r="396" spans="1:16" x14ac:dyDescent="0.35">
      <c r="A396" s="1" t="s">
        <v>645</v>
      </c>
      <c r="B396" s="1" t="s">
        <v>46</v>
      </c>
      <c r="C396" s="1" t="s">
        <v>31</v>
      </c>
      <c r="D396" s="7">
        <v>2</v>
      </c>
      <c r="E396" s="7">
        <v>12</v>
      </c>
      <c r="F396" s="7">
        <v>4</v>
      </c>
      <c r="G396" s="7">
        <v>0.25</v>
      </c>
      <c r="H396" s="7">
        <v>0</v>
      </c>
      <c r="I396" s="7">
        <v>2</v>
      </c>
      <c r="J396" s="7">
        <v>1</v>
      </c>
      <c r="K396" s="7">
        <v>1</v>
      </c>
      <c r="L396" s="7">
        <v>1.5</v>
      </c>
      <c r="M396" s="7">
        <v>1.5</v>
      </c>
      <c r="N396" s="7">
        <v>0</v>
      </c>
      <c r="O396" s="7">
        <v>0.5</v>
      </c>
      <c r="P396" s="7">
        <v>4</v>
      </c>
    </row>
    <row r="397" spans="1:16" x14ac:dyDescent="0.35">
      <c r="A397" s="1" t="s">
        <v>394</v>
      </c>
      <c r="B397" s="1" t="s">
        <v>46</v>
      </c>
      <c r="C397" s="1" t="s">
        <v>67</v>
      </c>
      <c r="D397" s="7">
        <v>11</v>
      </c>
      <c r="E397" s="7">
        <v>19.3</v>
      </c>
      <c r="F397" s="7">
        <v>6.5</v>
      </c>
      <c r="G397" s="7">
        <v>0.39400000000000002</v>
      </c>
      <c r="H397" s="7">
        <v>0.4</v>
      </c>
      <c r="I397" s="7">
        <v>1.2</v>
      </c>
      <c r="J397" s="7">
        <v>0.38500000000000001</v>
      </c>
      <c r="K397" s="7">
        <v>3.4</v>
      </c>
      <c r="L397" s="7">
        <v>4</v>
      </c>
      <c r="M397" s="7">
        <v>0.6</v>
      </c>
      <c r="N397" s="7">
        <v>0.3</v>
      </c>
      <c r="O397" s="7">
        <v>1</v>
      </c>
      <c r="P397" s="7">
        <v>5.9</v>
      </c>
    </row>
    <row r="398" spans="1:16" x14ac:dyDescent="0.35">
      <c r="A398" s="1" t="s">
        <v>722</v>
      </c>
      <c r="B398" s="1" t="s">
        <v>15</v>
      </c>
      <c r="C398" s="1" t="s">
        <v>52</v>
      </c>
      <c r="D398" s="7">
        <v>2</v>
      </c>
      <c r="E398" s="7">
        <v>10</v>
      </c>
      <c r="F398" s="7">
        <v>2.5</v>
      </c>
      <c r="G398" s="7">
        <v>0.4</v>
      </c>
      <c r="H398" s="7">
        <v>0</v>
      </c>
      <c r="I398" s="7">
        <v>1</v>
      </c>
      <c r="J398" s="7">
        <v>0</v>
      </c>
      <c r="K398" s="7">
        <v>2.5</v>
      </c>
      <c r="L398" s="7">
        <v>0.5</v>
      </c>
      <c r="M398" s="7">
        <v>0</v>
      </c>
      <c r="N398" s="7">
        <v>0.5</v>
      </c>
      <c r="O398" s="7">
        <v>0.5</v>
      </c>
      <c r="P398" s="7">
        <v>2</v>
      </c>
    </row>
    <row r="399" spans="1:16" x14ac:dyDescent="0.35">
      <c r="A399" s="1" t="s">
        <v>395</v>
      </c>
      <c r="B399" s="1" t="s">
        <v>25</v>
      </c>
      <c r="C399" s="1" t="s">
        <v>70</v>
      </c>
      <c r="D399" s="7">
        <v>1</v>
      </c>
      <c r="E399" s="7">
        <v>7</v>
      </c>
      <c r="F399" s="7">
        <v>3</v>
      </c>
      <c r="G399" s="7">
        <v>0</v>
      </c>
      <c r="H399" s="7">
        <v>0</v>
      </c>
      <c r="I399" s="7">
        <v>0</v>
      </c>
      <c r="J399" s="7"/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</row>
    <row r="400" spans="1:16" x14ac:dyDescent="0.35">
      <c r="A400" s="1" t="s">
        <v>723</v>
      </c>
      <c r="B400" s="1" t="s">
        <v>25</v>
      </c>
      <c r="C400" s="1" t="s">
        <v>75</v>
      </c>
      <c r="D400" s="7">
        <v>4</v>
      </c>
      <c r="E400" s="7">
        <v>2.2999999999999998</v>
      </c>
      <c r="F400" s="7">
        <v>0.8</v>
      </c>
      <c r="G400" s="7">
        <v>0.66700000000000004</v>
      </c>
      <c r="H400" s="7">
        <v>0.3</v>
      </c>
      <c r="I400" s="7">
        <v>0.5</v>
      </c>
      <c r="J400" s="7">
        <v>1</v>
      </c>
      <c r="K400" s="7">
        <v>0.5</v>
      </c>
      <c r="L400" s="7">
        <v>0</v>
      </c>
      <c r="M400" s="7">
        <v>0</v>
      </c>
      <c r="N400" s="7">
        <v>0</v>
      </c>
      <c r="O400" s="7">
        <v>0.3</v>
      </c>
      <c r="P400" s="7">
        <v>1.8</v>
      </c>
    </row>
    <row r="401" spans="1:16" x14ac:dyDescent="0.35">
      <c r="A401" s="1" t="s">
        <v>724</v>
      </c>
      <c r="B401" s="1" t="s">
        <v>15</v>
      </c>
      <c r="C401" s="1" t="s">
        <v>118</v>
      </c>
      <c r="D401" s="7">
        <v>8</v>
      </c>
      <c r="E401" s="7">
        <v>13.5</v>
      </c>
      <c r="F401" s="7">
        <v>4</v>
      </c>
      <c r="G401" s="7">
        <v>0.40600000000000003</v>
      </c>
      <c r="H401" s="7">
        <v>0.1</v>
      </c>
      <c r="I401" s="7">
        <v>1</v>
      </c>
      <c r="J401" s="7">
        <v>0.75</v>
      </c>
      <c r="K401" s="7">
        <v>1.9</v>
      </c>
      <c r="L401" s="7">
        <v>0.4</v>
      </c>
      <c r="M401" s="7">
        <v>0.5</v>
      </c>
      <c r="N401" s="7">
        <v>0</v>
      </c>
      <c r="O401" s="7">
        <v>0.4</v>
      </c>
      <c r="P401" s="7">
        <v>4.0999999999999996</v>
      </c>
    </row>
    <row r="402" spans="1:16" x14ac:dyDescent="0.35">
      <c r="A402" s="1" t="s">
        <v>725</v>
      </c>
      <c r="B402" s="1" t="s">
        <v>18</v>
      </c>
      <c r="C402" s="1" t="s">
        <v>82</v>
      </c>
      <c r="D402" s="7">
        <v>8</v>
      </c>
      <c r="E402" s="7">
        <v>16.899999999999999</v>
      </c>
      <c r="F402" s="7">
        <v>3.8</v>
      </c>
      <c r="G402" s="7">
        <v>0.433</v>
      </c>
      <c r="H402" s="7">
        <v>0</v>
      </c>
      <c r="I402" s="7">
        <v>0.6</v>
      </c>
      <c r="J402" s="7">
        <v>0.6</v>
      </c>
      <c r="K402" s="7">
        <v>4.9000000000000004</v>
      </c>
      <c r="L402" s="7">
        <v>0.6</v>
      </c>
      <c r="M402" s="7">
        <v>0.4</v>
      </c>
      <c r="N402" s="7">
        <v>0.8</v>
      </c>
      <c r="O402" s="7">
        <v>0.6</v>
      </c>
      <c r="P402" s="7">
        <v>3.6</v>
      </c>
    </row>
    <row r="403" spans="1:16" x14ac:dyDescent="0.35">
      <c r="A403" s="1" t="s">
        <v>397</v>
      </c>
      <c r="B403" s="1" t="s">
        <v>34</v>
      </c>
      <c r="C403" s="1" t="s">
        <v>21</v>
      </c>
      <c r="D403" s="7">
        <v>2</v>
      </c>
      <c r="E403" s="7">
        <v>18</v>
      </c>
      <c r="F403" s="7">
        <v>6</v>
      </c>
      <c r="G403" s="7">
        <v>0.5</v>
      </c>
      <c r="H403" s="7">
        <v>1.5</v>
      </c>
      <c r="I403" s="7">
        <v>0</v>
      </c>
      <c r="J403" s="7"/>
      <c r="K403" s="7">
        <v>0.5</v>
      </c>
      <c r="L403" s="7">
        <v>1</v>
      </c>
      <c r="M403" s="7">
        <v>0</v>
      </c>
      <c r="N403" s="7">
        <v>0</v>
      </c>
      <c r="O403" s="7">
        <v>0</v>
      </c>
      <c r="P403" s="7">
        <v>7.5</v>
      </c>
    </row>
    <row r="404" spans="1:16" x14ac:dyDescent="0.35">
      <c r="A404" s="1" t="s">
        <v>398</v>
      </c>
      <c r="B404" s="1" t="s">
        <v>25</v>
      </c>
      <c r="C404" s="1" t="s">
        <v>75</v>
      </c>
      <c r="D404" s="7">
        <v>4</v>
      </c>
      <c r="E404" s="7">
        <v>12.8</v>
      </c>
      <c r="F404" s="7">
        <v>4.3</v>
      </c>
      <c r="G404" s="7">
        <v>0.64700000000000002</v>
      </c>
      <c r="H404" s="7">
        <v>0.3</v>
      </c>
      <c r="I404" s="7">
        <v>0.8</v>
      </c>
      <c r="J404" s="7">
        <v>0.33300000000000002</v>
      </c>
      <c r="K404" s="7">
        <v>1.8</v>
      </c>
      <c r="L404" s="7">
        <v>0.5</v>
      </c>
      <c r="M404" s="7">
        <v>0.5</v>
      </c>
      <c r="N404" s="7">
        <v>0</v>
      </c>
      <c r="O404" s="7">
        <v>1</v>
      </c>
      <c r="P404" s="7">
        <v>6</v>
      </c>
    </row>
    <row r="405" spans="1:16" x14ac:dyDescent="0.35">
      <c r="A405" s="1" t="s">
        <v>726</v>
      </c>
      <c r="B405" s="1" t="s">
        <v>34</v>
      </c>
      <c r="C405" s="1" t="s">
        <v>36</v>
      </c>
      <c r="D405" s="7">
        <v>9</v>
      </c>
      <c r="E405" s="7">
        <v>23.7</v>
      </c>
      <c r="F405" s="7">
        <v>5.7</v>
      </c>
      <c r="G405" s="7">
        <v>0.54900000000000004</v>
      </c>
      <c r="H405" s="7">
        <v>0.4</v>
      </c>
      <c r="I405" s="7">
        <v>1.8</v>
      </c>
      <c r="J405" s="7">
        <v>0.68799999999999994</v>
      </c>
      <c r="K405" s="7">
        <v>4.0999999999999996</v>
      </c>
      <c r="L405" s="7">
        <v>1.2</v>
      </c>
      <c r="M405" s="7">
        <v>0.9</v>
      </c>
      <c r="N405" s="7">
        <v>0.3</v>
      </c>
      <c r="O405" s="7">
        <v>1.1000000000000001</v>
      </c>
      <c r="P405" s="7">
        <v>7.9</v>
      </c>
    </row>
    <row r="406" spans="1:16" x14ac:dyDescent="0.35">
      <c r="A406" s="1" t="s">
        <v>400</v>
      </c>
      <c r="B406" s="1" t="s">
        <v>34</v>
      </c>
      <c r="C406" s="1" t="s">
        <v>98</v>
      </c>
      <c r="D406" s="7">
        <v>10</v>
      </c>
      <c r="E406" s="7">
        <v>34.6</v>
      </c>
      <c r="F406" s="7">
        <v>21.3</v>
      </c>
      <c r="G406" s="7">
        <v>0.47399999999999998</v>
      </c>
      <c r="H406" s="7">
        <v>3.5</v>
      </c>
      <c r="I406" s="7">
        <v>3.6</v>
      </c>
      <c r="J406" s="7">
        <v>0.88900000000000001</v>
      </c>
      <c r="K406" s="7">
        <v>7.1</v>
      </c>
      <c r="L406" s="7">
        <v>3.8</v>
      </c>
      <c r="M406" s="7">
        <v>1</v>
      </c>
      <c r="N406" s="7">
        <v>0.8</v>
      </c>
      <c r="O406" s="7">
        <v>2.4</v>
      </c>
      <c r="P406" s="7">
        <v>26.9</v>
      </c>
    </row>
    <row r="407" spans="1:16" x14ac:dyDescent="0.35">
      <c r="A407" s="1" t="s">
        <v>401</v>
      </c>
      <c r="B407" s="1" t="s">
        <v>46</v>
      </c>
      <c r="C407" s="1" t="s">
        <v>98</v>
      </c>
      <c r="D407" s="7">
        <v>8</v>
      </c>
      <c r="E407" s="7">
        <v>19.899999999999999</v>
      </c>
      <c r="F407" s="7">
        <v>6.8</v>
      </c>
      <c r="G407" s="7">
        <v>0.33300000000000002</v>
      </c>
      <c r="H407" s="7">
        <v>0.9</v>
      </c>
      <c r="I407" s="7">
        <v>2</v>
      </c>
      <c r="J407" s="7">
        <v>0.81299999999999994</v>
      </c>
      <c r="K407" s="7">
        <v>2.6</v>
      </c>
      <c r="L407" s="7">
        <v>2.6</v>
      </c>
      <c r="M407" s="7">
        <v>1.5</v>
      </c>
      <c r="N407" s="7">
        <v>0.3</v>
      </c>
      <c r="O407" s="7">
        <v>1</v>
      </c>
      <c r="P407" s="7">
        <v>7</v>
      </c>
    </row>
    <row r="408" spans="1:16" x14ac:dyDescent="0.35">
      <c r="A408" s="1" t="s">
        <v>402</v>
      </c>
      <c r="B408" s="1" t="s">
        <v>25</v>
      </c>
      <c r="C408" s="1" t="s">
        <v>47</v>
      </c>
      <c r="D408" s="7">
        <v>10</v>
      </c>
      <c r="E408" s="7">
        <v>26.5</v>
      </c>
      <c r="F408" s="7">
        <v>6.6</v>
      </c>
      <c r="G408" s="7">
        <v>0.47</v>
      </c>
      <c r="H408" s="7">
        <v>1.8</v>
      </c>
      <c r="I408" s="7">
        <v>0.9</v>
      </c>
      <c r="J408" s="7">
        <v>0.77800000000000002</v>
      </c>
      <c r="K408" s="7">
        <v>2.5</v>
      </c>
      <c r="L408" s="7">
        <v>1.8</v>
      </c>
      <c r="M408" s="7">
        <v>1</v>
      </c>
      <c r="N408" s="7">
        <v>0.2</v>
      </c>
      <c r="O408" s="7">
        <v>1.3</v>
      </c>
      <c r="P408" s="7">
        <v>8.6999999999999993</v>
      </c>
    </row>
    <row r="409" spans="1:16" x14ac:dyDescent="0.35">
      <c r="A409" s="1" t="s">
        <v>727</v>
      </c>
      <c r="B409" s="1" t="s">
        <v>46</v>
      </c>
      <c r="C409" s="1" t="s">
        <v>56</v>
      </c>
      <c r="D409" s="7">
        <v>4</v>
      </c>
      <c r="E409" s="7">
        <v>3.5</v>
      </c>
      <c r="F409" s="7">
        <v>1.3</v>
      </c>
      <c r="G409" s="7">
        <v>0.2</v>
      </c>
      <c r="H409" s="7">
        <v>0</v>
      </c>
      <c r="I409" s="7">
        <v>0.3</v>
      </c>
      <c r="J409" s="7">
        <v>0</v>
      </c>
      <c r="K409" s="7">
        <v>0.3</v>
      </c>
      <c r="L409" s="7">
        <v>0.5</v>
      </c>
      <c r="M409" s="7">
        <v>0.3</v>
      </c>
      <c r="N409" s="7">
        <v>0</v>
      </c>
      <c r="O409" s="7">
        <v>0</v>
      </c>
      <c r="P409" s="7">
        <v>0.5</v>
      </c>
    </row>
    <row r="410" spans="1:16" x14ac:dyDescent="0.35">
      <c r="A410" s="1" t="s">
        <v>403</v>
      </c>
      <c r="B410" s="1" t="s">
        <v>18</v>
      </c>
      <c r="C410" s="1" t="s">
        <v>98</v>
      </c>
      <c r="D410" s="7">
        <v>10</v>
      </c>
      <c r="E410" s="7">
        <v>22.5</v>
      </c>
      <c r="F410" s="7">
        <v>6</v>
      </c>
      <c r="G410" s="7">
        <v>0.55000000000000004</v>
      </c>
      <c r="H410" s="7">
        <v>0.5</v>
      </c>
      <c r="I410" s="7">
        <v>0.9</v>
      </c>
      <c r="J410" s="7">
        <v>0.33300000000000002</v>
      </c>
      <c r="K410" s="7">
        <v>4.5</v>
      </c>
      <c r="L410" s="7">
        <v>1.4</v>
      </c>
      <c r="M410" s="7">
        <v>0.4</v>
      </c>
      <c r="N410" s="7">
        <v>1</v>
      </c>
      <c r="O410" s="7">
        <v>1.1000000000000001</v>
      </c>
      <c r="P410" s="7">
        <v>7.4</v>
      </c>
    </row>
    <row r="411" spans="1:16" x14ac:dyDescent="0.35">
      <c r="A411" s="1" t="s">
        <v>728</v>
      </c>
      <c r="B411" s="1" t="s">
        <v>25</v>
      </c>
      <c r="C411" s="1" t="s">
        <v>36</v>
      </c>
      <c r="D411" s="7">
        <v>3</v>
      </c>
      <c r="E411" s="7">
        <v>6.3</v>
      </c>
      <c r="F411" s="7">
        <v>1.7</v>
      </c>
      <c r="G411" s="7">
        <v>0.2</v>
      </c>
      <c r="H411" s="7">
        <v>0</v>
      </c>
      <c r="I411" s="7">
        <v>1.7</v>
      </c>
      <c r="J411" s="7">
        <v>0.6</v>
      </c>
      <c r="K411" s="7">
        <v>1</v>
      </c>
      <c r="L411" s="7">
        <v>1.3</v>
      </c>
      <c r="M411" s="7">
        <v>0</v>
      </c>
      <c r="N411" s="7">
        <v>0</v>
      </c>
      <c r="O411" s="7">
        <v>1</v>
      </c>
      <c r="P411" s="7">
        <v>1.7</v>
      </c>
    </row>
    <row r="412" spans="1:16" x14ac:dyDescent="0.35">
      <c r="A412" s="1" t="s">
        <v>405</v>
      </c>
      <c r="B412" s="1" t="s">
        <v>25</v>
      </c>
      <c r="C412" s="1" t="s">
        <v>44</v>
      </c>
      <c r="D412" s="7">
        <v>4</v>
      </c>
      <c r="E412" s="7">
        <v>12.3</v>
      </c>
      <c r="F412" s="7">
        <v>4.5</v>
      </c>
      <c r="G412" s="7">
        <v>0.44400000000000001</v>
      </c>
      <c r="H412" s="7">
        <v>1.8</v>
      </c>
      <c r="I412" s="7">
        <v>0.3</v>
      </c>
      <c r="J412" s="7">
        <v>1</v>
      </c>
      <c r="K412" s="7">
        <v>1.3</v>
      </c>
      <c r="L412" s="7">
        <v>1.3</v>
      </c>
      <c r="M412" s="7">
        <v>0.5</v>
      </c>
      <c r="N412" s="7">
        <v>0</v>
      </c>
      <c r="O412" s="7">
        <v>0.3</v>
      </c>
      <c r="P412" s="7">
        <v>6</v>
      </c>
    </row>
    <row r="413" spans="1:16" x14ac:dyDescent="0.35">
      <c r="A413" s="1" t="s">
        <v>406</v>
      </c>
      <c r="B413" s="1" t="s">
        <v>15</v>
      </c>
      <c r="C413" s="1" t="s">
        <v>98</v>
      </c>
      <c r="D413" s="7">
        <v>8</v>
      </c>
      <c r="E413" s="7">
        <v>23.1</v>
      </c>
      <c r="F413" s="7">
        <v>6.4</v>
      </c>
      <c r="G413" s="7">
        <v>0.52900000000000003</v>
      </c>
      <c r="H413" s="7">
        <v>0</v>
      </c>
      <c r="I413" s="7">
        <v>2.5</v>
      </c>
      <c r="J413" s="7">
        <v>0.65</v>
      </c>
      <c r="K413" s="7">
        <v>8.5</v>
      </c>
      <c r="L413" s="7">
        <v>0.8</v>
      </c>
      <c r="M413" s="7">
        <v>0.3</v>
      </c>
      <c r="N413" s="7">
        <v>0.8</v>
      </c>
      <c r="O413" s="7">
        <v>1.3</v>
      </c>
      <c r="P413" s="7">
        <v>8.4</v>
      </c>
    </row>
    <row r="414" spans="1:16" x14ac:dyDescent="0.35">
      <c r="A414" s="1" t="s">
        <v>648</v>
      </c>
      <c r="B414" s="1" t="s">
        <v>25</v>
      </c>
      <c r="C414" s="1" t="s">
        <v>26</v>
      </c>
      <c r="D414" s="7">
        <v>2</v>
      </c>
      <c r="E414" s="7">
        <v>5</v>
      </c>
      <c r="F414" s="7">
        <v>1</v>
      </c>
      <c r="G414" s="7">
        <v>0.5</v>
      </c>
      <c r="H414" s="7">
        <v>0</v>
      </c>
      <c r="I414" s="7">
        <v>0</v>
      </c>
      <c r="J414" s="7"/>
      <c r="K414" s="7">
        <v>0.5</v>
      </c>
      <c r="L414" s="7">
        <v>0</v>
      </c>
      <c r="M414" s="7">
        <v>1.5</v>
      </c>
      <c r="N414" s="7">
        <v>0</v>
      </c>
      <c r="O414" s="7">
        <v>0</v>
      </c>
      <c r="P414" s="7">
        <v>1</v>
      </c>
    </row>
    <row r="415" spans="1:16" x14ac:dyDescent="0.35">
      <c r="A415" s="1" t="s">
        <v>407</v>
      </c>
      <c r="B415" s="1" t="s">
        <v>25</v>
      </c>
      <c r="C415" s="1" t="s">
        <v>80</v>
      </c>
      <c r="D415" s="7">
        <v>9</v>
      </c>
      <c r="E415" s="7">
        <v>12.6</v>
      </c>
      <c r="F415" s="7">
        <v>2.4</v>
      </c>
      <c r="G415" s="7">
        <v>0.318</v>
      </c>
      <c r="H415" s="7">
        <v>0.3</v>
      </c>
      <c r="I415" s="7">
        <v>0.1</v>
      </c>
      <c r="J415" s="7">
        <v>1</v>
      </c>
      <c r="K415" s="7">
        <v>1</v>
      </c>
      <c r="L415" s="7">
        <v>0.9</v>
      </c>
      <c r="M415" s="7">
        <v>0.8</v>
      </c>
      <c r="N415" s="7">
        <v>0.6</v>
      </c>
      <c r="O415" s="7">
        <v>0.2</v>
      </c>
      <c r="P415" s="7">
        <v>2</v>
      </c>
    </row>
    <row r="416" spans="1:16" x14ac:dyDescent="0.35">
      <c r="A416" s="1" t="s">
        <v>764</v>
      </c>
      <c r="B416" s="1" t="s">
        <v>15</v>
      </c>
      <c r="C416" s="1" t="s">
        <v>28</v>
      </c>
      <c r="D416" s="7">
        <v>5</v>
      </c>
      <c r="E416" s="7">
        <v>18.399999999999999</v>
      </c>
      <c r="F416" s="7">
        <v>5.6</v>
      </c>
      <c r="G416" s="7">
        <v>0.5</v>
      </c>
      <c r="H416" s="7">
        <v>0</v>
      </c>
      <c r="I416" s="7">
        <v>0.4</v>
      </c>
      <c r="J416" s="7">
        <v>1</v>
      </c>
      <c r="K416" s="7">
        <v>3.2</v>
      </c>
      <c r="L416" s="7">
        <v>1.4</v>
      </c>
      <c r="M416" s="7">
        <v>0.6</v>
      </c>
      <c r="N416" s="7">
        <v>0.8</v>
      </c>
      <c r="O416" s="7">
        <v>0.2</v>
      </c>
      <c r="P416" s="7">
        <v>6</v>
      </c>
    </row>
    <row r="417" spans="1:16" x14ac:dyDescent="0.35">
      <c r="A417" s="1" t="s">
        <v>670</v>
      </c>
      <c r="B417" s="1" t="s">
        <v>15</v>
      </c>
      <c r="C417" s="1" t="s">
        <v>31</v>
      </c>
      <c r="D417" s="7">
        <v>1</v>
      </c>
      <c r="E417" s="7">
        <v>24</v>
      </c>
      <c r="F417" s="7">
        <v>12</v>
      </c>
      <c r="G417" s="7">
        <v>0.25</v>
      </c>
      <c r="H417" s="7">
        <v>3</v>
      </c>
      <c r="I417" s="7">
        <v>0</v>
      </c>
      <c r="J417" s="7"/>
      <c r="K417" s="7">
        <v>3</v>
      </c>
      <c r="L417" s="7">
        <v>1</v>
      </c>
      <c r="M417" s="7">
        <v>0</v>
      </c>
      <c r="N417" s="7">
        <v>2</v>
      </c>
      <c r="O417" s="7">
        <v>0</v>
      </c>
      <c r="P417" s="7">
        <v>9</v>
      </c>
    </row>
    <row r="418" spans="1:16" x14ac:dyDescent="0.35">
      <c r="A418" s="1" t="s">
        <v>458</v>
      </c>
      <c r="B418" s="1" t="s">
        <v>25</v>
      </c>
      <c r="C418" s="1" t="s">
        <v>87</v>
      </c>
      <c r="D418" s="7">
        <v>6</v>
      </c>
      <c r="E418" s="7">
        <v>15</v>
      </c>
      <c r="F418" s="7">
        <v>1.5</v>
      </c>
      <c r="G418" s="7">
        <v>0.77800000000000002</v>
      </c>
      <c r="H418" s="7">
        <v>0.3</v>
      </c>
      <c r="I418" s="7">
        <v>0.8</v>
      </c>
      <c r="J418" s="7">
        <v>0.6</v>
      </c>
      <c r="K418" s="7">
        <v>3.3</v>
      </c>
      <c r="L418" s="7">
        <v>1.8</v>
      </c>
      <c r="M418" s="7">
        <v>0.3</v>
      </c>
      <c r="N418" s="7">
        <v>0.7</v>
      </c>
      <c r="O418" s="7">
        <v>0.8</v>
      </c>
      <c r="P418" s="7">
        <v>3.2</v>
      </c>
    </row>
    <row r="419" spans="1:16" x14ac:dyDescent="0.35">
      <c r="A419" s="1" t="s">
        <v>408</v>
      </c>
      <c r="B419" s="1" t="s">
        <v>18</v>
      </c>
      <c r="C419" s="1" t="s">
        <v>61</v>
      </c>
      <c r="D419" s="7">
        <v>3</v>
      </c>
      <c r="E419" s="7">
        <v>32.299999999999997</v>
      </c>
      <c r="F419" s="7">
        <v>15.3</v>
      </c>
      <c r="G419" s="7">
        <v>0.45700000000000002</v>
      </c>
      <c r="H419" s="7">
        <v>1.7</v>
      </c>
      <c r="I419" s="7">
        <v>5.7</v>
      </c>
      <c r="J419" s="7">
        <v>0.94099999999999995</v>
      </c>
      <c r="K419" s="7">
        <v>12</v>
      </c>
      <c r="L419" s="7">
        <v>4.7</v>
      </c>
      <c r="M419" s="7">
        <v>0.7</v>
      </c>
      <c r="N419" s="7">
        <v>3</v>
      </c>
      <c r="O419" s="7">
        <v>3</v>
      </c>
      <c r="P419" s="7">
        <v>21</v>
      </c>
    </row>
    <row r="420" spans="1:16" x14ac:dyDescent="0.35">
      <c r="A420" s="1" t="s">
        <v>646</v>
      </c>
      <c r="B420" s="1" t="s">
        <v>25</v>
      </c>
      <c r="C420" s="1" t="s">
        <v>43</v>
      </c>
      <c r="D420" s="7">
        <v>8</v>
      </c>
      <c r="E420" s="7">
        <v>24.3</v>
      </c>
      <c r="F420" s="7">
        <v>8.9</v>
      </c>
      <c r="G420" s="7">
        <v>0.42299999999999999</v>
      </c>
      <c r="H420" s="7">
        <v>2.2999999999999998</v>
      </c>
      <c r="I420" s="7">
        <v>1.5</v>
      </c>
      <c r="J420" s="7">
        <v>0.66700000000000004</v>
      </c>
      <c r="K420" s="7">
        <v>1.8</v>
      </c>
      <c r="L420" s="7">
        <v>0.9</v>
      </c>
      <c r="M420" s="7">
        <v>0.3</v>
      </c>
      <c r="N420" s="7">
        <v>0.1</v>
      </c>
      <c r="O420" s="7">
        <v>0.5</v>
      </c>
      <c r="P420" s="7">
        <v>10.8</v>
      </c>
    </row>
    <row r="421" spans="1:16" x14ac:dyDescent="0.35">
      <c r="A421" s="1" t="s">
        <v>411</v>
      </c>
      <c r="B421" s="1" t="s">
        <v>15</v>
      </c>
      <c r="C421" s="1" t="s">
        <v>36</v>
      </c>
      <c r="D421" s="7">
        <v>9</v>
      </c>
      <c r="E421" s="7">
        <v>31.6</v>
      </c>
      <c r="F421" s="7">
        <v>3.8</v>
      </c>
      <c r="G421" s="7">
        <v>0.5</v>
      </c>
      <c r="H421" s="7">
        <v>1.4</v>
      </c>
      <c r="I421" s="7">
        <v>0.6</v>
      </c>
      <c r="J421" s="7">
        <v>0.6</v>
      </c>
      <c r="K421" s="7">
        <v>4.4000000000000004</v>
      </c>
      <c r="L421" s="7">
        <v>1.3</v>
      </c>
      <c r="M421" s="7">
        <v>1.2</v>
      </c>
      <c r="N421" s="7">
        <v>0.9</v>
      </c>
      <c r="O421" s="7">
        <v>1.3</v>
      </c>
      <c r="P421" s="7">
        <v>5.6</v>
      </c>
    </row>
    <row r="422" spans="1:16" x14ac:dyDescent="0.35">
      <c r="A422" s="1" t="s">
        <v>414</v>
      </c>
      <c r="B422" s="1" t="s">
        <v>18</v>
      </c>
      <c r="C422" s="1" t="s">
        <v>75</v>
      </c>
      <c r="D422" s="7">
        <v>11</v>
      </c>
      <c r="E422" s="7">
        <v>31.1</v>
      </c>
      <c r="F422" s="7">
        <v>9.4</v>
      </c>
      <c r="G422" s="7">
        <v>0.495</v>
      </c>
      <c r="H422" s="7">
        <v>1.4</v>
      </c>
      <c r="I422" s="7">
        <v>2.5</v>
      </c>
      <c r="J422" s="7">
        <v>0.75</v>
      </c>
      <c r="K422" s="7">
        <v>6.5</v>
      </c>
      <c r="L422" s="7">
        <v>1.2</v>
      </c>
      <c r="M422" s="7">
        <v>1.5</v>
      </c>
      <c r="N422" s="7">
        <v>4.0999999999999996</v>
      </c>
      <c r="O422" s="7">
        <v>1.2</v>
      </c>
      <c r="P422" s="7">
        <v>12.5</v>
      </c>
    </row>
    <row r="423" spans="1:16" x14ac:dyDescent="0.35">
      <c r="A423" s="1" t="s">
        <v>623</v>
      </c>
      <c r="B423" s="1" t="s">
        <v>18</v>
      </c>
      <c r="C423" s="1" t="s">
        <v>28</v>
      </c>
      <c r="D423" s="7">
        <v>10</v>
      </c>
      <c r="E423" s="7">
        <v>27</v>
      </c>
      <c r="F423" s="7">
        <v>10.1</v>
      </c>
      <c r="G423" s="7">
        <v>0.52500000000000002</v>
      </c>
      <c r="H423" s="7">
        <v>0.4</v>
      </c>
      <c r="I423" s="7">
        <v>4</v>
      </c>
      <c r="J423" s="7">
        <v>0.75</v>
      </c>
      <c r="K423" s="7">
        <v>10.199999999999999</v>
      </c>
      <c r="L423" s="7">
        <v>1.9</v>
      </c>
      <c r="M423" s="7">
        <v>0.9</v>
      </c>
      <c r="N423" s="7">
        <v>0.9</v>
      </c>
      <c r="O423" s="7">
        <v>2.5</v>
      </c>
      <c r="P423" s="7">
        <v>14</v>
      </c>
    </row>
    <row r="424" spans="1:16" x14ac:dyDescent="0.35">
      <c r="A424" s="1" t="s">
        <v>415</v>
      </c>
      <c r="B424" s="1" t="s">
        <v>25</v>
      </c>
      <c r="C424" s="1" t="s">
        <v>47</v>
      </c>
      <c r="D424" s="7">
        <v>8</v>
      </c>
      <c r="E424" s="7">
        <v>18.600000000000001</v>
      </c>
      <c r="F424" s="7">
        <v>6</v>
      </c>
      <c r="G424" s="7">
        <v>0.45800000000000002</v>
      </c>
      <c r="H424" s="7">
        <v>1.6</v>
      </c>
      <c r="I424" s="7">
        <v>0.3</v>
      </c>
      <c r="J424" s="7">
        <v>1</v>
      </c>
      <c r="K424" s="7">
        <v>4.3</v>
      </c>
      <c r="L424" s="7">
        <v>1.6</v>
      </c>
      <c r="M424" s="7">
        <v>1</v>
      </c>
      <c r="N424" s="7">
        <v>0.1</v>
      </c>
      <c r="O424" s="7">
        <v>0.5</v>
      </c>
      <c r="P424" s="7">
        <v>7.4</v>
      </c>
    </row>
    <row r="425" spans="1:16" x14ac:dyDescent="0.35">
      <c r="A425" s="1" t="s">
        <v>416</v>
      </c>
      <c r="B425" s="1" t="s">
        <v>15</v>
      </c>
      <c r="C425" s="1" t="s">
        <v>61</v>
      </c>
      <c r="D425" s="7">
        <v>8</v>
      </c>
      <c r="E425" s="7">
        <v>14.9</v>
      </c>
      <c r="F425" s="7">
        <v>3.5</v>
      </c>
      <c r="G425" s="7">
        <v>0.64300000000000002</v>
      </c>
      <c r="H425" s="7">
        <v>0</v>
      </c>
      <c r="I425" s="7">
        <v>2.4</v>
      </c>
      <c r="J425" s="7">
        <v>0.47399999999999998</v>
      </c>
      <c r="K425" s="7">
        <v>5.3</v>
      </c>
      <c r="L425" s="7">
        <v>1.5</v>
      </c>
      <c r="M425" s="7">
        <v>1.3</v>
      </c>
      <c r="N425" s="7">
        <v>0.5</v>
      </c>
      <c r="O425" s="7">
        <v>0.8</v>
      </c>
      <c r="P425" s="7">
        <v>5.6</v>
      </c>
    </row>
    <row r="426" spans="1:16" x14ac:dyDescent="0.35">
      <c r="A426" s="1" t="s">
        <v>417</v>
      </c>
      <c r="B426" s="1" t="s">
        <v>25</v>
      </c>
      <c r="C426" s="1" t="s">
        <v>44</v>
      </c>
      <c r="D426" s="7">
        <v>10</v>
      </c>
      <c r="E426" s="7">
        <v>35.799999999999997</v>
      </c>
      <c r="F426" s="7">
        <v>17.3</v>
      </c>
      <c r="G426" s="7">
        <v>0.45100000000000001</v>
      </c>
      <c r="H426" s="7">
        <v>3.5</v>
      </c>
      <c r="I426" s="7">
        <v>2.2000000000000002</v>
      </c>
      <c r="J426" s="7">
        <v>0.81799999999999995</v>
      </c>
      <c r="K426" s="7">
        <v>4.5</v>
      </c>
      <c r="L426" s="7">
        <v>5.8</v>
      </c>
      <c r="M426" s="7">
        <v>1.3</v>
      </c>
      <c r="N426" s="7">
        <v>0.6</v>
      </c>
      <c r="O426" s="7">
        <v>1.6</v>
      </c>
      <c r="P426" s="7">
        <v>20.9</v>
      </c>
    </row>
    <row r="427" spans="1:16" x14ac:dyDescent="0.35">
      <c r="A427" s="1" t="s">
        <v>729</v>
      </c>
      <c r="B427" s="1" t="s">
        <v>25</v>
      </c>
      <c r="C427" s="1" t="s">
        <v>23</v>
      </c>
      <c r="D427" s="7">
        <v>10</v>
      </c>
      <c r="E427" s="7">
        <v>15.6</v>
      </c>
      <c r="F427" s="7">
        <v>4</v>
      </c>
      <c r="G427" s="7">
        <v>0.32500000000000001</v>
      </c>
      <c r="H427" s="7">
        <v>0.8</v>
      </c>
      <c r="I427" s="7">
        <v>0.3</v>
      </c>
      <c r="J427" s="7">
        <v>1</v>
      </c>
      <c r="K427" s="7">
        <v>3.1</v>
      </c>
      <c r="L427" s="7">
        <v>1.2</v>
      </c>
      <c r="M427" s="7">
        <v>1</v>
      </c>
      <c r="N427" s="7">
        <v>0.3</v>
      </c>
      <c r="O427" s="7">
        <v>0.3</v>
      </c>
      <c r="P427" s="7">
        <v>3.7</v>
      </c>
    </row>
    <row r="428" spans="1:16" x14ac:dyDescent="0.35">
      <c r="A428" s="1" t="s">
        <v>459</v>
      </c>
      <c r="B428" s="1" t="s">
        <v>46</v>
      </c>
      <c r="C428" s="1" t="s">
        <v>21</v>
      </c>
      <c r="D428" s="7">
        <v>2</v>
      </c>
      <c r="E428" s="7">
        <v>26</v>
      </c>
      <c r="F428" s="7">
        <v>13</v>
      </c>
      <c r="G428" s="7">
        <v>0.42299999999999999</v>
      </c>
      <c r="H428" s="7">
        <v>3</v>
      </c>
      <c r="I428" s="7">
        <v>2</v>
      </c>
      <c r="J428" s="7">
        <v>0.75</v>
      </c>
      <c r="K428" s="7">
        <v>2</v>
      </c>
      <c r="L428" s="7">
        <v>2.5</v>
      </c>
      <c r="M428" s="7">
        <v>1</v>
      </c>
      <c r="N428" s="7">
        <v>0</v>
      </c>
      <c r="O428" s="7">
        <v>1</v>
      </c>
      <c r="P428" s="7">
        <v>15.5</v>
      </c>
    </row>
    <row r="429" spans="1:16" x14ac:dyDescent="0.35">
      <c r="A429" s="1" t="s">
        <v>624</v>
      </c>
      <c r="B429" s="1" t="s">
        <v>18</v>
      </c>
      <c r="C429" s="1" t="s">
        <v>33</v>
      </c>
      <c r="D429" s="7">
        <v>11</v>
      </c>
      <c r="E429" s="7">
        <v>31.5</v>
      </c>
      <c r="F429" s="7">
        <v>18.100000000000001</v>
      </c>
      <c r="G429" s="7">
        <v>0.503</v>
      </c>
      <c r="H429" s="7">
        <v>2.5</v>
      </c>
      <c r="I429" s="7">
        <v>2.4</v>
      </c>
      <c r="J429" s="7">
        <v>0.76900000000000002</v>
      </c>
      <c r="K429" s="7">
        <v>11.3</v>
      </c>
      <c r="L429" s="7">
        <v>3.5</v>
      </c>
      <c r="M429" s="7">
        <v>1</v>
      </c>
      <c r="N429" s="7">
        <v>0.5</v>
      </c>
      <c r="O429" s="7">
        <v>1.2</v>
      </c>
      <c r="P429" s="7">
        <v>22.5</v>
      </c>
    </row>
    <row r="430" spans="1:16" x14ac:dyDescent="0.35">
      <c r="A430" s="1" t="s">
        <v>419</v>
      </c>
      <c r="B430" s="1" t="s">
        <v>15</v>
      </c>
      <c r="C430" s="1" t="s">
        <v>118</v>
      </c>
      <c r="D430" s="7">
        <v>11</v>
      </c>
      <c r="E430" s="7">
        <v>12.4</v>
      </c>
      <c r="F430" s="7">
        <v>2.7</v>
      </c>
      <c r="G430" s="7">
        <v>0.36699999999999999</v>
      </c>
      <c r="H430" s="7">
        <v>0.6</v>
      </c>
      <c r="I430" s="7">
        <v>0.2</v>
      </c>
      <c r="J430" s="7">
        <v>1</v>
      </c>
      <c r="K430" s="7">
        <v>1.5</v>
      </c>
      <c r="L430" s="7">
        <v>0.6</v>
      </c>
      <c r="M430" s="7">
        <v>0.5</v>
      </c>
      <c r="N430" s="7">
        <v>0.1</v>
      </c>
      <c r="O430" s="7">
        <v>0.5</v>
      </c>
      <c r="P430" s="7">
        <v>2.8</v>
      </c>
    </row>
    <row r="431" spans="1:16" x14ac:dyDescent="0.35">
      <c r="A431" s="1" t="s">
        <v>574</v>
      </c>
      <c r="B431" s="1" t="s">
        <v>18</v>
      </c>
      <c r="C431" s="1" t="s">
        <v>67</v>
      </c>
      <c r="D431" s="7">
        <v>5</v>
      </c>
      <c r="E431" s="7">
        <v>13.6</v>
      </c>
      <c r="F431" s="7">
        <v>3.4</v>
      </c>
      <c r="G431" s="7">
        <v>0.64700000000000002</v>
      </c>
      <c r="H431" s="7">
        <v>0.8</v>
      </c>
      <c r="I431" s="7">
        <v>1.6</v>
      </c>
      <c r="J431" s="7">
        <v>0.75</v>
      </c>
      <c r="K431" s="7">
        <v>4</v>
      </c>
      <c r="L431" s="7">
        <v>0.8</v>
      </c>
      <c r="M431" s="7">
        <v>0.2</v>
      </c>
      <c r="N431" s="7">
        <v>0</v>
      </c>
      <c r="O431" s="7">
        <v>0.2</v>
      </c>
      <c r="P431" s="7">
        <v>6.4</v>
      </c>
    </row>
    <row r="432" spans="1:16" x14ac:dyDescent="0.35">
      <c r="A432" s="1" t="s">
        <v>421</v>
      </c>
      <c r="B432" s="1" t="s">
        <v>25</v>
      </c>
      <c r="C432" s="1" t="s">
        <v>23</v>
      </c>
      <c r="D432" s="7">
        <v>11</v>
      </c>
      <c r="E432" s="7">
        <v>29.3</v>
      </c>
      <c r="F432" s="7">
        <v>11.9</v>
      </c>
      <c r="G432" s="7">
        <v>0.435</v>
      </c>
      <c r="H432" s="7">
        <v>1.9</v>
      </c>
      <c r="I432" s="7">
        <v>2.4</v>
      </c>
      <c r="J432" s="7">
        <v>0.76900000000000002</v>
      </c>
      <c r="K432" s="7">
        <v>3.1</v>
      </c>
      <c r="L432" s="7">
        <v>1.8</v>
      </c>
      <c r="M432" s="7">
        <v>0.6</v>
      </c>
      <c r="N432" s="7">
        <v>0.6</v>
      </c>
      <c r="O432" s="7">
        <v>0.9</v>
      </c>
      <c r="P432" s="7">
        <v>14.1</v>
      </c>
    </row>
    <row r="433" spans="1:16" x14ac:dyDescent="0.35">
      <c r="A433" s="1" t="s">
        <v>532</v>
      </c>
      <c r="B433" s="1" t="s">
        <v>46</v>
      </c>
      <c r="C433" s="1" t="s">
        <v>36</v>
      </c>
      <c r="D433" s="7">
        <v>7</v>
      </c>
      <c r="E433" s="7">
        <v>33.9</v>
      </c>
      <c r="F433" s="7">
        <v>15.4</v>
      </c>
      <c r="G433" s="7">
        <v>0.45400000000000001</v>
      </c>
      <c r="H433" s="7">
        <v>1.4</v>
      </c>
      <c r="I433" s="7">
        <v>3.7</v>
      </c>
      <c r="J433" s="7">
        <v>0.84599999999999997</v>
      </c>
      <c r="K433" s="7">
        <v>4.7</v>
      </c>
      <c r="L433" s="7">
        <v>5.0999999999999996</v>
      </c>
      <c r="M433" s="7">
        <v>1.3</v>
      </c>
      <c r="N433" s="7">
        <v>1</v>
      </c>
      <c r="O433" s="7">
        <v>3.4</v>
      </c>
      <c r="P433" s="7">
        <v>18.600000000000001</v>
      </c>
    </row>
    <row r="434" spans="1:16" x14ac:dyDescent="0.35">
      <c r="A434" s="1" t="s">
        <v>422</v>
      </c>
      <c r="B434" s="1" t="s">
        <v>46</v>
      </c>
      <c r="C434" s="1" t="s">
        <v>87</v>
      </c>
      <c r="D434" s="7">
        <v>11</v>
      </c>
      <c r="E434" s="7">
        <v>15.7</v>
      </c>
      <c r="F434" s="7">
        <v>4.2</v>
      </c>
      <c r="G434" s="7">
        <v>0.30399999999999999</v>
      </c>
      <c r="H434" s="7">
        <v>0.5</v>
      </c>
      <c r="I434" s="7">
        <v>1.9</v>
      </c>
      <c r="J434" s="7">
        <v>0.85699999999999998</v>
      </c>
      <c r="K434" s="7">
        <v>2</v>
      </c>
      <c r="L434" s="7">
        <v>2.7</v>
      </c>
      <c r="M434" s="7">
        <v>0.9</v>
      </c>
      <c r="N434" s="7">
        <v>0.2</v>
      </c>
      <c r="O434" s="7">
        <v>0.7</v>
      </c>
      <c r="P434" s="7">
        <v>4.7</v>
      </c>
    </row>
    <row r="435" spans="1:16" x14ac:dyDescent="0.35">
      <c r="A435" s="1" t="s">
        <v>423</v>
      </c>
      <c r="B435" s="1" t="s">
        <v>34</v>
      </c>
      <c r="C435" s="1" t="s">
        <v>75</v>
      </c>
      <c r="D435" s="7">
        <v>4</v>
      </c>
      <c r="E435" s="7">
        <v>29.3</v>
      </c>
      <c r="F435" s="7">
        <v>12.8</v>
      </c>
      <c r="G435" s="7">
        <v>0.52900000000000003</v>
      </c>
      <c r="H435" s="7">
        <v>0</v>
      </c>
      <c r="I435" s="7">
        <v>2.5</v>
      </c>
      <c r="J435" s="7">
        <v>0.8</v>
      </c>
      <c r="K435" s="7">
        <v>3.5</v>
      </c>
      <c r="L435" s="7">
        <v>1.3</v>
      </c>
      <c r="M435" s="7">
        <v>0.5</v>
      </c>
      <c r="N435" s="7">
        <v>0</v>
      </c>
      <c r="O435" s="7">
        <v>1</v>
      </c>
      <c r="P435" s="7">
        <v>15.5</v>
      </c>
    </row>
    <row r="436" spans="1:16" x14ac:dyDescent="0.35">
      <c r="A436" s="1" t="s">
        <v>460</v>
      </c>
      <c r="B436" s="1" t="s">
        <v>15</v>
      </c>
      <c r="C436" s="1" t="s">
        <v>54</v>
      </c>
      <c r="D436" s="7">
        <v>11</v>
      </c>
      <c r="E436" s="7">
        <v>27.8</v>
      </c>
      <c r="F436" s="7">
        <v>9.5</v>
      </c>
      <c r="G436" s="7">
        <v>0.42299999999999999</v>
      </c>
      <c r="H436" s="7">
        <v>1.2</v>
      </c>
      <c r="I436" s="7">
        <v>3.8</v>
      </c>
      <c r="J436" s="7">
        <v>0.71399999999999997</v>
      </c>
      <c r="K436" s="7">
        <v>6.1</v>
      </c>
      <c r="L436" s="7">
        <v>2.7</v>
      </c>
      <c r="M436" s="7">
        <v>1</v>
      </c>
      <c r="N436" s="7">
        <v>1.5</v>
      </c>
      <c r="O436" s="7">
        <v>1.9</v>
      </c>
      <c r="P436" s="7">
        <v>11.9</v>
      </c>
    </row>
    <row r="437" spans="1:16" x14ac:dyDescent="0.35">
      <c r="A437" s="1" t="s">
        <v>424</v>
      </c>
      <c r="B437" s="1" t="s">
        <v>34</v>
      </c>
      <c r="C437" s="1" t="s">
        <v>44</v>
      </c>
      <c r="D437" s="7">
        <v>5</v>
      </c>
      <c r="E437" s="7">
        <v>11.6</v>
      </c>
      <c r="F437" s="7">
        <v>3</v>
      </c>
      <c r="G437" s="7">
        <v>0.26700000000000002</v>
      </c>
      <c r="H437" s="7">
        <v>0.6</v>
      </c>
      <c r="I437" s="7">
        <v>0</v>
      </c>
      <c r="J437" s="7"/>
      <c r="K437" s="7">
        <v>3.4</v>
      </c>
      <c r="L437" s="7">
        <v>0.4</v>
      </c>
      <c r="M437" s="7">
        <v>0.2</v>
      </c>
      <c r="N437" s="7">
        <v>1</v>
      </c>
      <c r="O437" s="7">
        <v>0.6</v>
      </c>
      <c r="P437" s="7">
        <v>2.2000000000000002</v>
      </c>
    </row>
    <row r="438" spans="1:16" x14ac:dyDescent="0.35">
      <c r="A438" s="1" t="s">
        <v>425</v>
      </c>
      <c r="B438" s="1" t="s">
        <v>46</v>
      </c>
      <c r="C438" s="1" t="s">
        <v>98</v>
      </c>
      <c r="D438" s="7">
        <v>3</v>
      </c>
      <c r="E438" s="7">
        <v>11</v>
      </c>
      <c r="F438" s="7">
        <v>3.3</v>
      </c>
      <c r="G438" s="7">
        <v>0.2</v>
      </c>
      <c r="H438" s="7">
        <v>0.3</v>
      </c>
      <c r="I438" s="7">
        <v>1.3</v>
      </c>
      <c r="J438" s="7">
        <v>1</v>
      </c>
      <c r="K438" s="7">
        <v>0.7</v>
      </c>
      <c r="L438" s="7">
        <v>2.7</v>
      </c>
      <c r="M438" s="7">
        <v>0.7</v>
      </c>
      <c r="N438" s="7">
        <v>0</v>
      </c>
      <c r="O438" s="7">
        <v>2.2999999999999998</v>
      </c>
      <c r="P438" s="7">
        <v>3</v>
      </c>
    </row>
    <row r="439" spans="1:16" x14ac:dyDescent="0.35">
      <c r="A439" s="1" t="s">
        <v>426</v>
      </c>
      <c r="B439" s="1" t="s">
        <v>34</v>
      </c>
      <c r="C439" s="1" t="s">
        <v>44</v>
      </c>
      <c r="D439" s="7">
        <v>3</v>
      </c>
      <c r="E439" s="7">
        <v>2.7</v>
      </c>
      <c r="F439" s="7">
        <v>0.7</v>
      </c>
      <c r="G439" s="7">
        <v>0.5</v>
      </c>
      <c r="H439" s="7">
        <v>0</v>
      </c>
      <c r="I439" s="7">
        <v>0</v>
      </c>
      <c r="J439" s="7"/>
      <c r="K439" s="7">
        <v>1</v>
      </c>
      <c r="L439" s="7">
        <v>0</v>
      </c>
      <c r="M439" s="7">
        <v>0</v>
      </c>
      <c r="N439" s="7">
        <v>0.3</v>
      </c>
      <c r="O439" s="7">
        <v>0</v>
      </c>
      <c r="P439" s="7">
        <v>0.7</v>
      </c>
    </row>
    <row r="440" spans="1:16" x14ac:dyDescent="0.35">
      <c r="A440" s="1" t="s">
        <v>427</v>
      </c>
      <c r="B440" s="1" t="s">
        <v>46</v>
      </c>
      <c r="C440" s="1" t="s">
        <v>67</v>
      </c>
      <c r="D440" s="7">
        <v>7</v>
      </c>
      <c r="E440" s="7">
        <v>37.1</v>
      </c>
      <c r="F440" s="7">
        <v>19.3</v>
      </c>
      <c r="G440" s="7">
        <v>0.378</v>
      </c>
      <c r="H440" s="7">
        <v>1.4</v>
      </c>
      <c r="I440" s="7">
        <v>5</v>
      </c>
      <c r="J440" s="7">
        <v>0.65700000000000003</v>
      </c>
      <c r="K440" s="7">
        <v>9.6999999999999993</v>
      </c>
      <c r="L440" s="7">
        <v>11.3</v>
      </c>
      <c r="M440" s="7">
        <v>1.3</v>
      </c>
      <c r="N440" s="7">
        <v>0.3</v>
      </c>
      <c r="O440" s="7">
        <v>5.3</v>
      </c>
      <c r="P440" s="7">
        <v>19.3</v>
      </c>
    </row>
    <row r="441" spans="1:16" x14ac:dyDescent="0.35">
      <c r="A441" s="1" t="s">
        <v>428</v>
      </c>
      <c r="B441" s="1" t="s">
        <v>46</v>
      </c>
      <c r="C441" s="1" t="s">
        <v>47</v>
      </c>
      <c r="D441" s="7">
        <v>11</v>
      </c>
      <c r="E441" s="7">
        <v>34.799999999999997</v>
      </c>
      <c r="F441" s="7">
        <v>14.9</v>
      </c>
      <c r="G441" s="7">
        <v>0.42099999999999999</v>
      </c>
      <c r="H441" s="7">
        <v>2.5</v>
      </c>
      <c r="I441" s="7">
        <v>2.7</v>
      </c>
      <c r="J441" s="7">
        <v>0.83299999999999996</v>
      </c>
      <c r="K441" s="7">
        <v>5.2</v>
      </c>
      <c r="L441" s="7">
        <v>6.2</v>
      </c>
      <c r="M441" s="7">
        <v>0.3</v>
      </c>
      <c r="N441" s="7">
        <v>0.1</v>
      </c>
      <c r="O441" s="7">
        <v>3</v>
      </c>
      <c r="P441" s="7">
        <v>17.3</v>
      </c>
    </row>
    <row r="442" spans="1:16" x14ac:dyDescent="0.35">
      <c r="A442" s="1" t="s">
        <v>429</v>
      </c>
      <c r="B442" s="1" t="s">
        <v>25</v>
      </c>
      <c r="C442" s="1" t="s">
        <v>23</v>
      </c>
      <c r="D442" s="7">
        <v>1</v>
      </c>
      <c r="E442" s="7">
        <v>23</v>
      </c>
      <c r="F442" s="7">
        <v>9</v>
      </c>
      <c r="G442" s="7">
        <v>0.33300000000000002</v>
      </c>
      <c r="H442" s="7">
        <v>1</v>
      </c>
      <c r="I442" s="7">
        <v>2</v>
      </c>
      <c r="J442" s="7">
        <v>1</v>
      </c>
      <c r="K442" s="7">
        <v>1</v>
      </c>
      <c r="L442" s="7">
        <v>1</v>
      </c>
      <c r="M442" s="7">
        <v>0</v>
      </c>
      <c r="N442" s="7">
        <v>2</v>
      </c>
      <c r="O442" s="7">
        <v>2</v>
      </c>
      <c r="P442" s="7">
        <v>9</v>
      </c>
    </row>
    <row r="443" spans="1:16" x14ac:dyDescent="0.35">
      <c r="A443" s="1" t="s">
        <v>430</v>
      </c>
      <c r="B443" s="1" t="s">
        <v>18</v>
      </c>
      <c r="C443" s="1" t="s">
        <v>49</v>
      </c>
      <c r="D443" s="7">
        <v>8</v>
      </c>
      <c r="E443" s="7">
        <v>13</v>
      </c>
      <c r="F443" s="7">
        <v>4.8</v>
      </c>
      <c r="G443" s="7">
        <v>0.52600000000000002</v>
      </c>
      <c r="H443" s="7">
        <v>0</v>
      </c>
      <c r="I443" s="7">
        <v>2.8</v>
      </c>
      <c r="J443" s="7">
        <v>0.5</v>
      </c>
      <c r="K443" s="7">
        <v>4.5</v>
      </c>
      <c r="L443" s="7">
        <v>0.5</v>
      </c>
      <c r="M443" s="7">
        <v>0.3</v>
      </c>
      <c r="N443" s="7">
        <v>1.1000000000000001</v>
      </c>
      <c r="O443" s="7">
        <v>0.8</v>
      </c>
      <c r="P443" s="7">
        <v>6.4</v>
      </c>
    </row>
    <row r="444" spans="1:16" x14ac:dyDescent="0.35">
      <c r="A444" s="1" t="s">
        <v>431</v>
      </c>
      <c r="B444" s="1" t="s">
        <v>15</v>
      </c>
      <c r="C444" s="1" t="s">
        <v>87</v>
      </c>
      <c r="D444" s="7">
        <v>11</v>
      </c>
      <c r="E444" s="7">
        <v>32.5</v>
      </c>
      <c r="F444" s="7">
        <v>15.2</v>
      </c>
      <c r="G444" s="7">
        <v>0.43099999999999999</v>
      </c>
      <c r="H444" s="7">
        <v>2.2000000000000002</v>
      </c>
      <c r="I444" s="7">
        <v>3.6</v>
      </c>
      <c r="J444" s="7">
        <v>0.72499999999999998</v>
      </c>
      <c r="K444" s="7">
        <v>4.8</v>
      </c>
      <c r="L444" s="7">
        <v>2.5</v>
      </c>
      <c r="M444" s="7">
        <v>0.5</v>
      </c>
      <c r="N444" s="7">
        <v>1.8</v>
      </c>
      <c r="O444" s="7">
        <v>2.2000000000000002</v>
      </c>
      <c r="P444" s="7">
        <v>17.899999999999999</v>
      </c>
    </row>
    <row r="445" spans="1:16" x14ac:dyDescent="0.35">
      <c r="A445" s="1" t="s">
        <v>432</v>
      </c>
      <c r="B445" s="1" t="s">
        <v>15</v>
      </c>
      <c r="C445" s="1" t="s">
        <v>98</v>
      </c>
      <c r="D445" s="7">
        <v>8</v>
      </c>
      <c r="E445" s="7">
        <v>19.100000000000001</v>
      </c>
      <c r="F445" s="7">
        <v>5</v>
      </c>
      <c r="G445" s="7">
        <v>0.45</v>
      </c>
      <c r="H445" s="7">
        <v>0.9</v>
      </c>
      <c r="I445" s="7">
        <v>0.6</v>
      </c>
      <c r="J445" s="7">
        <v>0.4</v>
      </c>
      <c r="K445" s="7">
        <v>3.6</v>
      </c>
      <c r="L445" s="7">
        <v>0.8</v>
      </c>
      <c r="M445" s="7">
        <v>0.6</v>
      </c>
      <c r="N445" s="7">
        <v>0.6</v>
      </c>
      <c r="O445" s="7">
        <v>0.9</v>
      </c>
      <c r="P445" s="7">
        <v>5.6</v>
      </c>
    </row>
    <row r="446" spans="1:16" x14ac:dyDescent="0.35">
      <c r="A446" s="1" t="s">
        <v>434</v>
      </c>
      <c r="B446" s="1" t="s">
        <v>15</v>
      </c>
      <c r="C446" s="1" t="s">
        <v>19</v>
      </c>
      <c r="D446" s="7">
        <v>10</v>
      </c>
      <c r="E446" s="7">
        <v>10.3</v>
      </c>
      <c r="F446" s="7">
        <v>2.2000000000000002</v>
      </c>
      <c r="G446" s="7">
        <v>0.27300000000000002</v>
      </c>
      <c r="H446" s="7">
        <v>0.2</v>
      </c>
      <c r="I446" s="7">
        <v>0.6</v>
      </c>
      <c r="J446" s="7">
        <v>1</v>
      </c>
      <c r="K446" s="7">
        <v>1.7</v>
      </c>
      <c r="L446" s="7">
        <v>0.7</v>
      </c>
      <c r="M446" s="7">
        <v>0.3</v>
      </c>
      <c r="N446" s="7">
        <v>0.3</v>
      </c>
      <c r="O446" s="7">
        <v>0.6</v>
      </c>
      <c r="P446" s="7">
        <v>2</v>
      </c>
    </row>
    <row r="447" spans="1:16" x14ac:dyDescent="0.35">
      <c r="A447" s="1" t="s">
        <v>435</v>
      </c>
      <c r="B447" s="1" t="s">
        <v>46</v>
      </c>
      <c r="C447" s="1" t="s">
        <v>72</v>
      </c>
      <c r="D447" s="7">
        <v>11</v>
      </c>
      <c r="E447" s="7">
        <v>20.6</v>
      </c>
      <c r="F447" s="7">
        <v>8.3000000000000007</v>
      </c>
      <c r="G447" s="7">
        <v>0.45100000000000001</v>
      </c>
      <c r="H447" s="7">
        <v>0.9</v>
      </c>
      <c r="I447" s="7">
        <v>2.1</v>
      </c>
      <c r="J447" s="7">
        <v>0.78300000000000003</v>
      </c>
      <c r="K447" s="7">
        <v>1.9</v>
      </c>
      <c r="L447" s="7">
        <v>2.7</v>
      </c>
      <c r="M447" s="7">
        <v>0.7</v>
      </c>
      <c r="N447" s="7">
        <v>0.1</v>
      </c>
      <c r="O447" s="7">
        <v>0.9</v>
      </c>
      <c r="P447" s="7">
        <v>10</v>
      </c>
    </row>
    <row r="448" spans="1:16" x14ac:dyDescent="0.35">
      <c r="A448" s="1" t="s">
        <v>730</v>
      </c>
      <c r="B448" s="1" t="s">
        <v>15</v>
      </c>
      <c r="C448" s="1" t="s">
        <v>47</v>
      </c>
      <c r="D448" s="7">
        <v>11</v>
      </c>
      <c r="E448" s="7">
        <v>26.5</v>
      </c>
      <c r="F448" s="7">
        <v>8.1</v>
      </c>
      <c r="G448" s="7">
        <v>0.47199999999999998</v>
      </c>
      <c r="H448" s="7">
        <v>1</v>
      </c>
      <c r="I448" s="7">
        <v>1.9</v>
      </c>
      <c r="J448" s="7">
        <v>0.85699999999999998</v>
      </c>
      <c r="K448" s="7">
        <v>3.5</v>
      </c>
      <c r="L448" s="7">
        <v>1</v>
      </c>
      <c r="M448" s="7">
        <v>1</v>
      </c>
      <c r="N448" s="7">
        <v>0.7</v>
      </c>
      <c r="O448" s="7">
        <v>1.6</v>
      </c>
      <c r="P448" s="7">
        <v>10.3</v>
      </c>
    </row>
    <row r="449" spans="1:16" x14ac:dyDescent="0.35">
      <c r="A449" s="1" t="s">
        <v>437</v>
      </c>
      <c r="B449" s="1" t="s">
        <v>18</v>
      </c>
      <c r="C449" s="1" t="s">
        <v>98</v>
      </c>
      <c r="D449" s="7">
        <v>8</v>
      </c>
      <c r="E449" s="7">
        <v>16.399999999999999</v>
      </c>
      <c r="F449" s="7">
        <v>3.9</v>
      </c>
      <c r="G449" s="7">
        <v>0.77400000000000002</v>
      </c>
      <c r="H449" s="7">
        <v>0</v>
      </c>
      <c r="I449" s="7">
        <v>0.9</v>
      </c>
      <c r="J449" s="7">
        <v>0.85699999999999998</v>
      </c>
      <c r="K449" s="7">
        <v>6.5</v>
      </c>
      <c r="L449" s="7">
        <v>0.6</v>
      </c>
      <c r="M449" s="7">
        <v>1.1000000000000001</v>
      </c>
      <c r="N449" s="7">
        <v>1.5</v>
      </c>
      <c r="O449" s="7">
        <v>1.4</v>
      </c>
      <c r="P449" s="7">
        <v>6.8</v>
      </c>
    </row>
    <row r="450" spans="1:16" x14ac:dyDescent="0.35">
      <c r="A450" s="1" t="s">
        <v>439</v>
      </c>
      <c r="B450" s="1" t="s">
        <v>15</v>
      </c>
      <c r="C450" s="1" t="s">
        <v>26</v>
      </c>
      <c r="D450" s="7">
        <v>9</v>
      </c>
      <c r="E450" s="7">
        <v>31.8</v>
      </c>
      <c r="F450" s="7">
        <v>15.6</v>
      </c>
      <c r="G450" s="7">
        <v>0.55700000000000005</v>
      </c>
      <c r="H450" s="7">
        <v>0</v>
      </c>
      <c r="I450" s="7">
        <v>7.3</v>
      </c>
      <c r="J450" s="7">
        <v>0.621</v>
      </c>
      <c r="K450" s="7">
        <v>8.1</v>
      </c>
      <c r="L450" s="7">
        <v>1.3</v>
      </c>
      <c r="M450" s="7">
        <v>1.3</v>
      </c>
      <c r="N450" s="7">
        <v>0.4</v>
      </c>
      <c r="O450" s="7">
        <v>2.8</v>
      </c>
      <c r="P450" s="7">
        <v>21.9</v>
      </c>
    </row>
    <row r="451" spans="1:16" x14ac:dyDescent="0.35">
      <c r="A451" s="1" t="s">
        <v>440</v>
      </c>
      <c r="B451" s="1" t="s">
        <v>15</v>
      </c>
      <c r="C451" s="1" t="s">
        <v>38</v>
      </c>
      <c r="D451" s="7">
        <v>7</v>
      </c>
      <c r="E451" s="7">
        <v>10.1</v>
      </c>
      <c r="F451" s="7">
        <v>3.7</v>
      </c>
      <c r="G451" s="7">
        <v>0.42299999999999999</v>
      </c>
      <c r="H451" s="7">
        <v>1</v>
      </c>
      <c r="I451" s="7">
        <v>0.3</v>
      </c>
      <c r="J451" s="7">
        <v>0.5</v>
      </c>
      <c r="K451" s="7">
        <v>2.7</v>
      </c>
      <c r="L451" s="7">
        <v>0.4</v>
      </c>
      <c r="M451" s="7">
        <v>0.1</v>
      </c>
      <c r="N451" s="7">
        <v>0.3</v>
      </c>
      <c r="O451" s="7">
        <v>0.6</v>
      </c>
      <c r="P451" s="7">
        <v>4.3</v>
      </c>
    </row>
    <row r="452" spans="1:16" x14ac:dyDescent="0.35">
      <c r="A452" s="1" t="s">
        <v>533</v>
      </c>
      <c r="B452" s="1" t="s">
        <v>34</v>
      </c>
      <c r="C452" s="1" t="s">
        <v>118</v>
      </c>
      <c r="D452" s="7">
        <v>1</v>
      </c>
      <c r="E452" s="7">
        <v>9</v>
      </c>
      <c r="F452" s="7">
        <v>5</v>
      </c>
      <c r="G452" s="7">
        <v>0.2</v>
      </c>
      <c r="H452" s="7">
        <v>1</v>
      </c>
      <c r="I452" s="7">
        <v>0</v>
      </c>
      <c r="J452" s="7"/>
      <c r="K452" s="7">
        <v>0</v>
      </c>
      <c r="L452" s="7">
        <v>0</v>
      </c>
      <c r="M452" s="7">
        <v>2</v>
      </c>
      <c r="N452" s="7">
        <v>0</v>
      </c>
      <c r="O452" s="7">
        <v>1</v>
      </c>
      <c r="P452" s="7">
        <v>3</v>
      </c>
    </row>
    <row r="453" spans="1:16" x14ac:dyDescent="0.35">
      <c r="A453" s="1" t="s">
        <v>761</v>
      </c>
      <c r="B453" s="1" t="s">
        <v>46</v>
      </c>
      <c r="C453" s="1" t="s">
        <v>67</v>
      </c>
      <c r="D453" s="7">
        <v>1</v>
      </c>
      <c r="E453" s="7">
        <v>2</v>
      </c>
      <c r="F453" s="7">
        <v>1</v>
      </c>
      <c r="G453" s="7">
        <v>0</v>
      </c>
      <c r="H453" s="7">
        <v>0</v>
      </c>
      <c r="I453" s="7">
        <v>0</v>
      </c>
      <c r="J453" s="7"/>
      <c r="K453" s="7">
        <v>0</v>
      </c>
      <c r="L453" s="7">
        <v>1</v>
      </c>
      <c r="M453" s="7">
        <v>0</v>
      </c>
      <c r="N453" s="7">
        <v>0</v>
      </c>
      <c r="O453" s="7">
        <v>0</v>
      </c>
      <c r="P453" s="7">
        <v>0</v>
      </c>
    </row>
    <row r="454" spans="1:16" x14ac:dyDescent="0.35">
      <c r="A454" s="1" t="s">
        <v>666</v>
      </c>
      <c r="B454" s="1" t="s">
        <v>18</v>
      </c>
      <c r="C454" s="1" t="s">
        <v>87</v>
      </c>
      <c r="D454" s="7">
        <v>11</v>
      </c>
      <c r="E454" s="7">
        <v>20.7</v>
      </c>
      <c r="F454" s="7">
        <v>9.3000000000000007</v>
      </c>
      <c r="G454" s="7">
        <v>0.47099999999999997</v>
      </c>
      <c r="H454" s="7">
        <v>0.5</v>
      </c>
      <c r="I454" s="7">
        <v>2.5</v>
      </c>
      <c r="J454" s="7">
        <v>0.55600000000000005</v>
      </c>
      <c r="K454" s="7">
        <v>6.4</v>
      </c>
      <c r="L454" s="7">
        <v>0.3</v>
      </c>
      <c r="M454" s="7">
        <v>0.4</v>
      </c>
      <c r="N454" s="7">
        <v>1.5</v>
      </c>
      <c r="O454" s="7">
        <v>1.5</v>
      </c>
      <c r="P454" s="7">
        <v>10.6</v>
      </c>
    </row>
    <row r="455" spans="1:16" x14ac:dyDescent="0.35">
      <c r="A455" s="1" t="s">
        <v>442</v>
      </c>
      <c r="B455" s="1" t="s">
        <v>18</v>
      </c>
      <c r="C455" s="1" t="s">
        <v>36</v>
      </c>
      <c r="D455" s="7">
        <v>8</v>
      </c>
      <c r="E455" s="7">
        <v>32.9</v>
      </c>
      <c r="F455" s="7">
        <v>17.5</v>
      </c>
      <c r="G455" s="7">
        <v>0.52900000000000003</v>
      </c>
      <c r="H455" s="7">
        <v>1.3</v>
      </c>
      <c r="I455" s="7">
        <v>4</v>
      </c>
      <c r="J455" s="7">
        <v>0.71899999999999997</v>
      </c>
      <c r="K455" s="7">
        <v>9.5</v>
      </c>
      <c r="L455" s="7">
        <v>1.3</v>
      </c>
      <c r="M455" s="7">
        <v>0.8</v>
      </c>
      <c r="N455" s="7">
        <v>1.6</v>
      </c>
      <c r="O455" s="7">
        <v>1.5</v>
      </c>
      <c r="P455" s="7">
        <v>22.6</v>
      </c>
    </row>
    <row r="456" spans="1:16" x14ac:dyDescent="0.35">
      <c r="A456" s="1" t="s">
        <v>731</v>
      </c>
      <c r="B456" s="1" t="s">
        <v>34</v>
      </c>
      <c r="C456" s="1" t="s">
        <v>49</v>
      </c>
      <c r="D456" s="7">
        <v>4</v>
      </c>
      <c r="E456" s="7">
        <v>3.5</v>
      </c>
      <c r="F456" s="7">
        <v>2.5</v>
      </c>
      <c r="G456" s="7">
        <v>0.5</v>
      </c>
      <c r="H456" s="7">
        <v>0.3</v>
      </c>
      <c r="I456" s="7">
        <v>0.5</v>
      </c>
      <c r="J456" s="7">
        <v>0</v>
      </c>
      <c r="K456" s="7">
        <v>2</v>
      </c>
      <c r="L456" s="7">
        <v>0</v>
      </c>
      <c r="M456" s="7">
        <v>0</v>
      </c>
      <c r="N456" s="7">
        <v>0</v>
      </c>
      <c r="O456" s="7">
        <v>0.3</v>
      </c>
      <c r="P456" s="7">
        <v>2.8</v>
      </c>
    </row>
    <row r="457" spans="1:16" x14ac:dyDescent="0.35">
      <c r="A457" s="1" t="s">
        <v>443</v>
      </c>
      <c r="B457" s="1" t="s">
        <v>25</v>
      </c>
      <c r="C457" s="1" t="s">
        <v>82</v>
      </c>
      <c r="D457" s="7">
        <v>10</v>
      </c>
      <c r="E457" s="7">
        <v>25.6</v>
      </c>
      <c r="F457" s="7">
        <v>6.4</v>
      </c>
      <c r="G457" s="7">
        <v>0.42199999999999999</v>
      </c>
      <c r="H457" s="7">
        <v>0.6</v>
      </c>
      <c r="I457" s="7">
        <v>2.2999999999999998</v>
      </c>
      <c r="J457" s="7">
        <v>0.87</v>
      </c>
      <c r="K457" s="7">
        <v>3.2</v>
      </c>
      <c r="L457" s="7">
        <v>3.4</v>
      </c>
      <c r="M457" s="7">
        <v>0.7</v>
      </c>
      <c r="N457" s="7">
        <v>0.6</v>
      </c>
      <c r="O457" s="7">
        <v>1.1000000000000001</v>
      </c>
      <c r="P457" s="7">
        <v>8</v>
      </c>
    </row>
    <row r="458" spans="1:16" x14ac:dyDescent="0.35">
      <c r="A458" s="1" t="s">
        <v>444</v>
      </c>
      <c r="B458" s="1" t="s">
        <v>15</v>
      </c>
      <c r="C458" s="1" t="s">
        <v>47</v>
      </c>
      <c r="D458" s="7">
        <v>7</v>
      </c>
      <c r="E458" s="7">
        <v>25.3</v>
      </c>
      <c r="F458" s="7">
        <v>7.9</v>
      </c>
      <c r="G458" s="7">
        <v>0.6</v>
      </c>
      <c r="H458" s="7">
        <v>0.4</v>
      </c>
      <c r="I458" s="7">
        <v>1</v>
      </c>
      <c r="J458" s="7">
        <v>0.85699999999999998</v>
      </c>
      <c r="K458" s="7">
        <v>4.3</v>
      </c>
      <c r="L458" s="7">
        <v>2.9</v>
      </c>
      <c r="M458" s="7">
        <v>0.7</v>
      </c>
      <c r="N458" s="7">
        <v>0.3</v>
      </c>
      <c r="O458" s="7">
        <v>2.4</v>
      </c>
      <c r="P458" s="7">
        <v>10.7</v>
      </c>
    </row>
    <row r="459" spans="1:16" x14ac:dyDescent="0.35">
      <c r="A459" s="1" t="s">
        <v>445</v>
      </c>
      <c r="B459" s="1" t="s">
        <v>46</v>
      </c>
      <c r="C459" s="1" t="s">
        <v>70</v>
      </c>
      <c r="D459" s="7">
        <v>10</v>
      </c>
      <c r="E459" s="7">
        <v>33</v>
      </c>
      <c r="F459" s="7">
        <v>17.3</v>
      </c>
      <c r="G459" s="7">
        <v>0.41599999999999998</v>
      </c>
      <c r="H459" s="7">
        <v>1.7</v>
      </c>
      <c r="I459" s="7">
        <v>9.9</v>
      </c>
      <c r="J459" s="7">
        <v>0.879</v>
      </c>
      <c r="K459" s="7">
        <v>3.9</v>
      </c>
      <c r="L459" s="7">
        <v>8.5</v>
      </c>
      <c r="M459" s="7">
        <v>0.5</v>
      </c>
      <c r="N459" s="7">
        <v>0.1</v>
      </c>
      <c r="O459" s="7">
        <v>4.3</v>
      </c>
      <c r="P459" s="7">
        <v>24.8</v>
      </c>
    </row>
    <row r="460" spans="1:16" x14ac:dyDescent="0.35">
      <c r="A460" s="1" t="s">
        <v>446</v>
      </c>
      <c r="B460" s="1" t="s">
        <v>18</v>
      </c>
      <c r="C460" s="1" t="s">
        <v>54</v>
      </c>
      <c r="D460" s="7">
        <v>1</v>
      </c>
      <c r="E460" s="7">
        <v>19</v>
      </c>
      <c r="F460" s="7">
        <v>6</v>
      </c>
      <c r="G460" s="7">
        <v>0.5</v>
      </c>
      <c r="H460" s="7">
        <v>0</v>
      </c>
      <c r="I460" s="7">
        <v>1</v>
      </c>
      <c r="J460" s="7">
        <v>0</v>
      </c>
      <c r="K460" s="7">
        <v>3</v>
      </c>
      <c r="L460" s="7">
        <v>0</v>
      </c>
      <c r="M460" s="7">
        <v>3</v>
      </c>
      <c r="N460" s="7">
        <v>1</v>
      </c>
      <c r="O460" s="7">
        <v>1</v>
      </c>
      <c r="P460" s="7">
        <v>6</v>
      </c>
    </row>
    <row r="461" spans="1:16" x14ac:dyDescent="0.35">
      <c r="A461" s="1" t="s">
        <v>447</v>
      </c>
      <c r="B461" s="1" t="s">
        <v>18</v>
      </c>
      <c r="C461" s="1" t="s">
        <v>72</v>
      </c>
      <c r="D461" s="7">
        <v>11</v>
      </c>
      <c r="E461" s="7">
        <v>17.600000000000001</v>
      </c>
      <c r="F461" s="7">
        <v>4</v>
      </c>
      <c r="G461" s="7">
        <v>0.65900000000000003</v>
      </c>
      <c r="H461" s="7">
        <v>0</v>
      </c>
      <c r="I461" s="7">
        <v>2.6</v>
      </c>
      <c r="J461" s="7">
        <v>0.79300000000000004</v>
      </c>
      <c r="K461" s="7">
        <v>4.0999999999999996</v>
      </c>
      <c r="L461" s="7">
        <v>0.9</v>
      </c>
      <c r="M461" s="7">
        <v>0.5</v>
      </c>
      <c r="N461" s="7">
        <v>0.9</v>
      </c>
      <c r="O461" s="7">
        <v>1</v>
      </c>
      <c r="P461" s="7">
        <v>7.4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A1118-B546-4A00-B7E9-ED5318F44542}">
  <sheetPr codeName="Sheet10"/>
  <dimension ref="A1:B499"/>
  <sheetViews>
    <sheetView workbookViewId="0">
      <selection activeCell="E11" sqref="E11"/>
    </sheetView>
  </sheetViews>
  <sheetFormatPr defaultRowHeight="14.5" x14ac:dyDescent="0.35"/>
  <cols>
    <col min="1" max="1" width="23.36328125" bestFit="1" customWidth="1"/>
    <col min="2" max="2" width="22.08984375" bestFit="1" customWidth="1"/>
  </cols>
  <sheetData>
    <row r="1" spans="1:2" x14ac:dyDescent="0.35">
      <c r="A1" t="s">
        <v>0</v>
      </c>
      <c r="B1" t="s">
        <v>465</v>
      </c>
    </row>
    <row r="2" spans="1:2" x14ac:dyDescent="0.35">
      <c r="A2" s="1" t="s">
        <v>680</v>
      </c>
      <c r="B2" s="1" t="s">
        <v>467</v>
      </c>
    </row>
    <row r="3" spans="1:2" x14ac:dyDescent="0.35">
      <c r="A3" s="1" t="s">
        <v>732</v>
      </c>
      <c r="B3" s="1" t="s">
        <v>474</v>
      </c>
    </row>
    <row r="4" spans="1:2" x14ac:dyDescent="0.35">
      <c r="A4" s="1" t="s">
        <v>17</v>
      </c>
      <c r="B4" s="1" t="s">
        <v>469</v>
      </c>
    </row>
    <row r="5" spans="1:2" x14ac:dyDescent="0.35">
      <c r="A5" s="1" t="s">
        <v>20</v>
      </c>
      <c r="B5" s="1" t="s">
        <v>467</v>
      </c>
    </row>
    <row r="6" spans="1:2" x14ac:dyDescent="0.35">
      <c r="A6" s="1" t="s">
        <v>22</v>
      </c>
      <c r="B6" s="1" t="s">
        <v>468</v>
      </c>
    </row>
    <row r="7" spans="1:2" x14ac:dyDescent="0.35">
      <c r="A7" s="1" t="s">
        <v>681</v>
      </c>
      <c r="B7" s="1" t="s">
        <v>480</v>
      </c>
    </row>
    <row r="8" spans="1:2" x14ac:dyDescent="0.35">
      <c r="A8" s="1" t="s">
        <v>24</v>
      </c>
      <c r="B8" s="1" t="s">
        <v>469</v>
      </c>
    </row>
    <row r="9" spans="1:2" x14ac:dyDescent="0.35">
      <c r="A9" s="1" t="s">
        <v>27</v>
      </c>
      <c r="B9" s="1" t="s">
        <v>470</v>
      </c>
    </row>
    <row r="10" spans="1:2" x14ac:dyDescent="0.35">
      <c r="A10" s="1" t="s">
        <v>29</v>
      </c>
      <c r="B10" s="1" t="s">
        <v>471</v>
      </c>
    </row>
    <row r="11" spans="1:2" x14ac:dyDescent="0.35">
      <c r="A11" s="1" t="s">
        <v>32</v>
      </c>
      <c r="B11" s="1" t="s">
        <v>473</v>
      </c>
    </row>
    <row r="12" spans="1:2" x14ac:dyDescent="0.35">
      <c r="A12" s="1" t="s">
        <v>35</v>
      </c>
      <c r="B12" s="1" t="s">
        <v>470</v>
      </c>
    </row>
    <row r="13" spans="1:2" x14ac:dyDescent="0.35">
      <c r="A13" s="1" t="s">
        <v>37</v>
      </c>
      <c r="B13" s="1" t="s">
        <v>474</v>
      </c>
    </row>
    <row r="14" spans="1:2" x14ac:dyDescent="0.35">
      <c r="A14" s="1" t="s">
        <v>39</v>
      </c>
      <c r="B14" s="1" t="s">
        <v>475</v>
      </c>
    </row>
    <row r="15" spans="1:2" x14ac:dyDescent="0.35">
      <c r="A15" s="1" t="s">
        <v>41</v>
      </c>
      <c r="B15" s="1" t="s">
        <v>474</v>
      </c>
    </row>
    <row r="16" spans="1:2" x14ac:dyDescent="0.35">
      <c r="A16" s="1" t="s">
        <v>42</v>
      </c>
      <c r="B16" s="1" t="s">
        <v>476</v>
      </c>
    </row>
    <row r="17" spans="1:2" x14ac:dyDescent="0.35">
      <c r="A17" s="1" t="s">
        <v>682</v>
      </c>
      <c r="B17" s="1" t="s">
        <v>473</v>
      </c>
    </row>
    <row r="18" spans="1:2" x14ac:dyDescent="0.35">
      <c r="A18" s="1" t="s">
        <v>477</v>
      </c>
      <c r="B18" s="1" t="s">
        <v>478</v>
      </c>
    </row>
    <row r="19" spans="1:2" x14ac:dyDescent="0.35">
      <c r="A19" s="1" t="s">
        <v>45</v>
      </c>
      <c r="B19" s="1" t="s">
        <v>479</v>
      </c>
    </row>
    <row r="20" spans="1:2" x14ac:dyDescent="0.35">
      <c r="A20" s="1" t="s">
        <v>48</v>
      </c>
      <c r="B20" s="1" t="s">
        <v>466</v>
      </c>
    </row>
    <row r="21" spans="1:2" x14ac:dyDescent="0.35">
      <c r="A21" s="1" t="s">
        <v>50</v>
      </c>
      <c r="B21" s="1" t="s">
        <v>474</v>
      </c>
    </row>
    <row r="22" spans="1:2" x14ac:dyDescent="0.35">
      <c r="A22" s="1" t="s">
        <v>673</v>
      </c>
      <c r="B22" s="1" t="s">
        <v>487</v>
      </c>
    </row>
    <row r="23" spans="1:2" x14ac:dyDescent="0.35">
      <c r="A23" s="1" t="s">
        <v>51</v>
      </c>
      <c r="B23" s="1" t="s">
        <v>480</v>
      </c>
    </row>
    <row r="24" spans="1:2" x14ac:dyDescent="0.35">
      <c r="A24" s="1" t="s">
        <v>683</v>
      </c>
      <c r="B24" s="1" t="s">
        <v>496</v>
      </c>
    </row>
    <row r="25" spans="1:2" x14ac:dyDescent="0.35">
      <c r="A25" s="1" t="s">
        <v>53</v>
      </c>
      <c r="B25" s="1" t="s">
        <v>473</v>
      </c>
    </row>
    <row r="26" spans="1:2" x14ac:dyDescent="0.35">
      <c r="A26" s="1" t="s">
        <v>578</v>
      </c>
      <c r="B26" s="1" t="s">
        <v>482</v>
      </c>
    </row>
    <row r="27" spans="1:2" x14ac:dyDescent="0.35">
      <c r="A27" s="1" t="s">
        <v>667</v>
      </c>
      <c r="B27" s="1" t="s">
        <v>481</v>
      </c>
    </row>
    <row r="28" spans="1:2" x14ac:dyDescent="0.35">
      <c r="A28" s="1" t="s">
        <v>55</v>
      </c>
      <c r="B28" s="1" t="s">
        <v>469</v>
      </c>
    </row>
    <row r="29" spans="1:2" x14ac:dyDescent="0.35">
      <c r="A29" s="1" t="s">
        <v>483</v>
      </c>
      <c r="B29" s="1" t="s">
        <v>473</v>
      </c>
    </row>
    <row r="30" spans="1:2" x14ac:dyDescent="0.35">
      <c r="A30" s="1" t="s">
        <v>684</v>
      </c>
      <c r="B30" s="1" t="s">
        <v>470</v>
      </c>
    </row>
    <row r="31" spans="1:2" x14ac:dyDescent="0.35">
      <c r="A31" s="1" t="s">
        <v>57</v>
      </c>
      <c r="B31" s="1" t="s">
        <v>482</v>
      </c>
    </row>
    <row r="32" spans="1:2" x14ac:dyDescent="0.35">
      <c r="A32" s="1" t="s">
        <v>485</v>
      </c>
      <c r="B32" s="1" t="s">
        <v>472</v>
      </c>
    </row>
    <row r="33" spans="1:2" x14ac:dyDescent="0.35">
      <c r="A33" s="1" t="s">
        <v>58</v>
      </c>
      <c r="B33" s="1" t="s">
        <v>486</v>
      </c>
    </row>
    <row r="34" spans="1:2" x14ac:dyDescent="0.35">
      <c r="A34" s="1" t="s">
        <v>60</v>
      </c>
      <c r="B34" s="1" t="s">
        <v>468</v>
      </c>
    </row>
    <row r="35" spans="1:2" x14ac:dyDescent="0.35">
      <c r="A35" s="1" t="s">
        <v>62</v>
      </c>
      <c r="B35" s="1" t="s">
        <v>492</v>
      </c>
    </row>
    <row r="36" spans="1:2" x14ac:dyDescent="0.35">
      <c r="A36" s="1" t="s">
        <v>63</v>
      </c>
      <c r="B36" s="1" t="s">
        <v>478</v>
      </c>
    </row>
    <row r="37" spans="1:2" x14ac:dyDescent="0.35">
      <c r="A37" s="1" t="s">
        <v>64</v>
      </c>
      <c r="B37" s="1" t="s">
        <v>490</v>
      </c>
    </row>
    <row r="38" spans="1:2" x14ac:dyDescent="0.35">
      <c r="A38" s="1" t="s">
        <v>65</v>
      </c>
      <c r="B38" s="1" t="s">
        <v>466</v>
      </c>
    </row>
    <row r="39" spans="1:2" x14ac:dyDescent="0.35">
      <c r="A39" s="1" t="s">
        <v>66</v>
      </c>
      <c r="B39" s="1" t="s">
        <v>487</v>
      </c>
    </row>
    <row r="40" spans="1:2" x14ac:dyDescent="0.35">
      <c r="A40" s="1" t="s">
        <v>68</v>
      </c>
      <c r="B40" s="1" t="s">
        <v>488</v>
      </c>
    </row>
    <row r="41" spans="1:2" x14ac:dyDescent="0.35">
      <c r="A41" s="1" t="s">
        <v>69</v>
      </c>
      <c r="B41" s="1" t="s">
        <v>478</v>
      </c>
    </row>
    <row r="42" spans="1:2" x14ac:dyDescent="0.35">
      <c r="A42" s="1" t="s">
        <v>491</v>
      </c>
      <c r="B42" s="1" t="s">
        <v>487</v>
      </c>
    </row>
    <row r="43" spans="1:2" x14ac:dyDescent="0.35">
      <c r="A43" s="1" t="s">
        <v>71</v>
      </c>
      <c r="B43" s="1" t="s">
        <v>492</v>
      </c>
    </row>
    <row r="44" spans="1:2" x14ac:dyDescent="0.35">
      <c r="A44" s="1" t="s">
        <v>685</v>
      </c>
      <c r="B44" s="1" t="s">
        <v>498</v>
      </c>
    </row>
    <row r="45" spans="1:2" x14ac:dyDescent="0.35">
      <c r="A45" s="1" t="s">
        <v>733</v>
      </c>
      <c r="B45" s="1" t="s">
        <v>484</v>
      </c>
    </row>
    <row r="46" spans="1:2" x14ac:dyDescent="0.35">
      <c r="A46" s="1" t="s">
        <v>73</v>
      </c>
      <c r="B46" s="1" t="s">
        <v>473</v>
      </c>
    </row>
    <row r="47" spans="1:2" x14ac:dyDescent="0.35">
      <c r="A47" s="1" t="s">
        <v>74</v>
      </c>
      <c r="B47" s="1" t="s">
        <v>493</v>
      </c>
    </row>
    <row r="48" spans="1:2" x14ac:dyDescent="0.35">
      <c r="A48" s="1" t="s">
        <v>76</v>
      </c>
      <c r="B48" s="1" t="s">
        <v>481</v>
      </c>
    </row>
    <row r="49" spans="1:2" x14ac:dyDescent="0.35">
      <c r="A49" s="1" t="s">
        <v>77</v>
      </c>
      <c r="B49" s="1" t="s">
        <v>482</v>
      </c>
    </row>
    <row r="50" spans="1:2" x14ac:dyDescent="0.35">
      <c r="A50" s="1" t="s">
        <v>78</v>
      </c>
      <c r="B50" s="1" t="s">
        <v>469</v>
      </c>
    </row>
    <row r="51" spans="1:2" x14ac:dyDescent="0.35">
      <c r="A51" s="1" t="s">
        <v>686</v>
      </c>
      <c r="B51" s="1" t="s">
        <v>476</v>
      </c>
    </row>
    <row r="52" spans="1:2" x14ac:dyDescent="0.35">
      <c r="A52" s="1" t="s">
        <v>494</v>
      </c>
      <c r="B52" s="1" t="s">
        <v>489</v>
      </c>
    </row>
    <row r="53" spans="1:2" x14ac:dyDescent="0.35">
      <c r="A53" s="1" t="s">
        <v>495</v>
      </c>
      <c r="B53" s="1" t="s">
        <v>496</v>
      </c>
    </row>
    <row r="54" spans="1:2" x14ac:dyDescent="0.35">
      <c r="A54" s="1" t="s">
        <v>497</v>
      </c>
      <c r="B54" s="1" t="s">
        <v>486</v>
      </c>
    </row>
    <row r="55" spans="1:2" x14ac:dyDescent="0.35">
      <c r="A55" s="1" t="s">
        <v>543</v>
      </c>
      <c r="B55" s="1" t="s">
        <v>504</v>
      </c>
    </row>
    <row r="56" spans="1:2" x14ac:dyDescent="0.35">
      <c r="A56" s="1" t="s">
        <v>81</v>
      </c>
      <c r="B56" s="1" t="s">
        <v>473</v>
      </c>
    </row>
    <row r="57" spans="1:2" x14ac:dyDescent="0.35">
      <c r="A57" s="1" t="s">
        <v>83</v>
      </c>
      <c r="B57" s="1" t="s">
        <v>487</v>
      </c>
    </row>
    <row r="58" spans="1:2" x14ac:dyDescent="0.35">
      <c r="A58" s="1" t="s">
        <v>84</v>
      </c>
      <c r="B58" s="1" t="s">
        <v>480</v>
      </c>
    </row>
    <row r="59" spans="1:2" x14ac:dyDescent="0.35">
      <c r="A59" s="1" t="s">
        <v>85</v>
      </c>
      <c r="B59" s="1" t="s">
        <v>478</v>
      </c>
    </row>
    <row r="60" spans="1:2" x14ac:dyDescent="0.35">
      <c r="A60" s="1" t="s">
        <v>579</v>
      </c>
      <c r="B60" s="1" t="s">
        <v>493</v>
      </c>
    </row>
    <row r="61" spans="1:2" x14ac:dyDescent="0.35">
      <c r="A61" s="1" t="s">
        <v>88</v>
      </c>
      <c r="B61" s="1" t="s">
        <v>467</v>
      </c>
    </row>
    <row r="62" spans="1:2" x14ac:dyDescent="0.35">
      <c r="A62" s="1" t="s">
        <v>89</v>
      </c>
      <c r="B62" s="1" t="s">
        <v>500</v>
      </c>
    </row>
    <row r="63" spans="1:2" x14ac:dyDescent="0.35">
      <c r="A63" s="1" t="s">
        <v>90</v>
      </c>
      <c r="B63" s="1" t="s">
        <v>496</v>
      </c>
    </row>
    <row r="64" spans="1:2" x14ac:dyDescent="0.35">
      <c r="A64" s="1" t="s">
        <v>91</v>
      </c>
      <c r="B64" s="1" t="s">
        <v>472</v>
      </c>
    </row>
    <row r="65" spans="1:2" x14ac:dyDescent="0.35">
      <c r="A65" s="1" t="s">
        <v>92</v>
      </c>
      <c r="B65" s="1" t="s">
        <v>480</v>
      </c>
    </row>
    <row r="66" spans="1:2" x14ac:dyDescent="0.35">
      <c r="A66" s="1" t="s">
        <v>93</v>
      </c>
      <c r="B66" s="1" t="s">
        <v>481</v>
      </c>
    </row>
    <row r="67" spans="1:2" x14ac:dyDescent="0.35">
      <c r="A67" s="1" t="s">
        <v>94</v>
      </c>
      <c r="B67" s="1" t="s">
        <v>493</v>
      </c>
    </row>
    <row r="68" spans="1:2" x14ac:dyDescent="0.35">
      <c r="A68" s="1" t="s">
        <v>95</v>
      </c>
      <c r="B68" s="1" t="s">
        <v>470</v>
      </c>
    </row>
    <row r="69" spans="1:2" x14ac:dyDescent="0.35">
      <c r="A69" s="1" t="s">
        <v>97</v>
      </c>
      <c r="B69" s="1" t="s">
        <v>499</v>
      </c>
    </row>
    <row r="70" spans="1:2" x14ac:dyDescent="0.35">
      <c r="A70" s="1" t="s">
        <v>580</v>
      </c>
      <c r="B70" s="1" t="s">
        <v>471</v>
      </c>
    </row>
    <row r="71" spans="1:2" x14ac:dyDescent="0.35">
      <c r="A71" s="1" t="s">
        <v>581</v>
      </c>
      <c r="B71" s="1" t="s">
        <v>487</v>
      </c>
    </row>
    <row r="72" spans="1:2" x14ac:dyDescent="0.35">
      <c r="A72" s="1" t="s">
        <v>99</v>
      </c>
      <c r="B72" s="1" t="s">
        <v>466</v>
      </c>
    </row>
    <row r="73" spans="1:2" x14ac:dyDescent="0.35">
      <c r="A73" s="1" t="s">
        <v>100</v>
      </c>
      <c r="B73" s="1" t="s">
        <v>501</v>
      </c>
    </row>
    <row r="74" spans="1:2" x14ac:dyDescent="0.35">
      <c r="A74" s="1" t="s">
        <v>101</v>
      </c>
      <c r="B74" s="1" t="s">
        <v>484</v>
      </c>
    </row>
    <row r="75" spans="1:2" x14ac:dyDescent="0.35">
      <c r="A75" s="1" t="s">
        <v>102</v>
      </c>
      <c r="B75" s="1" t="s">
        <v>487</v>
      </c>
    </row>
    <row r="76" spans="1:2" x14ac:dyDescent="0.35">
      <c r="A76" s="1" t="s">
        <v>103</v>
      </c>
      <c r="B76" s="1" t="s">
        <v>472</v>
      </c>
    </row>
    <row r="77" spans="1:2" x14ac:dyDescent="0.35">
      <c r="A77" s="1" t="s">
        <v>544</v>
      </c>
      <c r="B77" s="1" t="s">
        <v>484</v>
      </c>
    </row>
    <row r="78" spans="1:2" x14ac:dyDescent="0.35">
      <c r="A78" s="1" t="s">
        <v>104</v>
      </c>
      <c r="B78" s="1" t="s">
        <v>472</v>
      </c>
    </row>
    <row r="79" spans="1:2" x14ac:dyDescent="0.35">
      <c r="A79" s="1" t="s">
        <v>105</v>
      </c>
      <c r="B79" s="1" t="s">
        <v>467</v>
      </c>
    </row>
    <row r="80" spans="1:2" x14ac:dyDescent="0.35">
      <c r="A80" s="1" t="s">
        <v>106</v>
      </c>
      <c r="B80" s="1" t="s">
        <v>501</v>
      </c>
    </row>
    <row r="81" spans="1:2" x14ac:dyDescent="0.35">
      <c r="A81" s="1" t="s">
        <v>502</v>
      </c>
      <c r="B81" s="1" t="s">
        <v>475</v>
      </c>
    </row>
    <row r="82" spans="1:2" x14ac:dyDescent="0.35">
      <c r="A82" s="1" t="s">
        <v>107</v>
      </c>
      <c r="B82" s="1" t="s">
        <v>475</v>
      </c>
    </row>
    <row r="83" spans="1:2" x14ac:dyDescent="0.35">
      <c r="A83" s="1" t="s">
        <v>687</v>
      </c>
      <c r="B83" s="1" t="s">
        <v>486</v>
      </c>
    </row>
    <row r="84" spans="1:2" x14ac:dyDescent="0.35">
      <c r="A84" s="1" t="s">
        <v>503</v>
      </c>
      <c r="B84" s="1" t="s">
        <v>486</v>
      </c>
    </row>
    <row r="85" spans="1:2" x14ac:dyDescent="0.35">
      <c r="A85" s="1" t="s">
        <v>108</v>
      </c>
      <c r="B85" s="1" t="s">
        <v>489</v>
      </c>
    </row>
    <row r="86" spans="1:2" x14ac:dyDescent="0.35">
      <c r="A86" s="1" t="s">
        <v>734</v>
      </c>
      <c r="B86" s="1" t="s">
        <v>481</v>
      </c>
    </row>
    <row r="87" spans="1:2" x14ac:dyDescent="0.35">
      <c r="A87" s="1" t="s">
        <v>109</v>
      </c>
      <c r="B87" s="1" t="s">
        <v>480</v>
      </c>
    </row>
    <row r="88" spans="1:2" x14ac:dyDescent="0.35">
      <c r="A88" s="1" t="s">
        <v>582</v>
      </c>
      <c r="B88" s="1" t="s">
        <v>479</v>
      </c>
    </row>
    <row r="89" spans="1:2" x14ac:dyDescent="0.35">
      <c r="A89" s="1" t="s">
        <v>110</v>
      </c>
      <c r="B89" s="1" t="s">
        <v>473</v>
      </c>
    </row>
    <row r="90" spans="1:2" x14ac:dyDescent="0.35">
      <c r="A90" s="1" t="s">
        <v>111</v>
      </c>
      <c r="B90" s="1" t="s">
        <v>475</v>
      </c>
    </row>
    <row r="91" spans="1:2" x14ac:dyDescent="0.35">
      <c r="A91" s="1" t="s">
        <v>112</v>
      </c>
      <c r="B91" s="1" t="s">
        <v>484</v>
      </c>
    </row>
    <row r="92" spans="1:2" x14ac:dyDescent="0.35">
      <c r="A92" s="1" t="s">
        <v>113</v>
      </c>
      <c r="B92" s="1" t="s">
        <v>471</v>
      </c>
    </row>
    <row r="93" spans="1:2" x14ac:dyDescent="0.35">
      <c r="A93" s="1" t="s">
        <v>114</v>
      </c>
      <c r="B93" s="1" t="s">
        <v>490</v>
      </c>
    </row>
    <row r="94" spans="1:2" x14ac:dyDescent="0.35">
      <c r="A94" s="1" t="s">
        <v>115</v>
      </c>
      <c r="B94" s="1" t="s">
        <v>473</v>
      </c>
    </row>
    <row r="95" spans="1:2" x14ac:dyDescent="0.35">
      <c r="A95" s="1" t="s">
        <v>116</v>
      </c>
      <c r="B95" s="1" t="s">
        <v>470</v>
      </c>
    </row>
    <row r="96" spans="1:2" x14ac:dyDescent="0.35">
      <c r="A96" s="1" t="s">
        <v>117</v>
      </c>
      <c r="B96" s="1" t="s">
        <v>496</v>
      </c>
    </row>
    <row r="97" spans="1:2" x14ac:dyDescent="0.35">
      <c r="A97" s="1" t="s">
        <v>119</v>
      </c>
      <c r="B97" s="1" t="s">
        <v>471</v>
      </c>
    </row>
    <row r="98" spans="1:2" x14ac:dyDescent="0.35">
      <c r="A98" s="1" t="s">
        <v>120</v>
      </c>
      <c r="B98" s="1" t="s">
        <v>501</v>
      </c>
    </row>
    <row r="99" spans="1:2" x14ac:dyDescent="0.35">
      <c r="A99" s="1" t="s">
        <v>121</v>
      </c>
      <c r="B99" s="1" t="s">
        <v>492</v>
      </c>
    </row>
    <row r="100" spans="1:2" x14ac:dyDescent="0.35">
      <c r="A100" s="1" t="s">
        <v>122</v>
      </c>
      <c r="B100" s="1" t="s">
        <v>489</v>
      </c>
    </row>
    <row r="101" spans="1:2" x14ac:dyDescent="0.35">
      <c r="A101" s="1" t="s">
        <v>123</v>
      </c>
      <c r="B101" s="1" t="s">
        <v>476</v>
      </c>
    </row>
    <row r="102" spans="1:2" x14ac:dyDescent="0.35">
      <c r="A102" s="1" t="s">
        <v>124</v>
      </c>
      <c r="B102" s="1" t="s">
        <v>496</v>
      </c>
    </row>
    <row r="103" spans="1:2" x14ac:dyDescent="0.35">
      <c r="A103" s="1" t="s">
        <v>125</v>
      </c>
      <c r="B103" s="1" t="s">
        <v>474</v>
      </c>
    </row>
    <row r="104" spans="1:2" x14ac:dyDescent="0.35">
      <c r="A104" s="1" t="s">
        <v>126</v>
      </c>
      <c r="B104" s="1" t="s">
        <v>475</v>
      </c>
    </row>
    <row r="105" spans="1:2" x14ac:dyDescent="0.35">
      <c r="A105" s="1" t="s">
        <v>689</v>
      </c>
      <c r="B105" s="1" t="s">
        <v>501</v>
      </c>
    </row>
    <row r="106" spans="1:2" x14ac:dyDescent="0.35">
      <c r="A106" s="1" t="s">
        <v>127</v>
      </c>
      <c r="B106" s="1" t="s">
        <v>476</v>
      </c>
    </row>
    <row r="107" spans="1:2" x14ac:dyDescent="0.35">
      <c r="A107" s="1" t="s">
        <v>128</v>
      </c>
      <c r="B107" s="1" t="s">
        <v>474</v>
      </c>
    </row>
    <row r="108" spans="1:2" x14ac:dyDescent="0.35">
      <c r="A108" s="1" t="s">
        <v>129</v>
      </c>
      <c r="B108" s="1" t="s">
        <v>480</v>
      </c>
    </row>
    <row r="109" spans="1:2" x14ac:dyDescent="0.35">
      <c r="A109" s="1" t="s">
        <v>130</v>
      </c>
      <c r="B109" s="1" t="s">
        <v>488</v>
      </c>
    </row>
    <row r="110" spans="1:2" x14ac:dyDescent="0.35">
      <c r="A110" s="1" t="s">
        <v>131</v>
      </c>
      <c r="B110" s="1" t="s">
        <v>500</v>
      </c>
    </row>
    <row r="111" spans="1:2" x14ac:dyDescent="0.35">
      <c r="A111" s="1" t="s">
        <v>132</v>
      </c>
      <c r="B111" s="1" t="s">
        <v>490</v>
      </c>
    </row>
    <row r="112" spans="1:2" x14ac:dyDescent="0.35">
      <c r="A112" s="1" t="s">
        <v>735</v>
      </c>
      <c r="B112" s="1" t="s">
        <v>481</v>
      </c>
    </row>
    <row r="113" spans="1:2" x14ac:dyDescent="0.35">
      <c r="A113" s="1" t="s">
        <v>133</v>
      </c>
      <c r="B113" s="1" t="s">
        <v>475</v>
      </c>
    </row>
    <row r="114" spans="1:2" x14ac:dyDescent="0.35">
      <c r="A114" s="1" t="s">
        <v>134</v>
      </c>
      <c r="B114" s="1" t="s">
        <v>488</v>
      </c>
    </row>
    <row r="115" spans="1:2" x14ac:dyDescent="0.35">
      <c r="A115" s="1" t="s">
        <v>135</v>
      </c>
      <c r="B115" s="1" t="s">
        <v>478</v>
      </c>
    </row>
    <row r="116" spans="1:2" x14ac:dyDescent="0.35">
      <c r="A116" s="1" t="s">
        <v>136</v>
      </c>
      <c r="B116" s="1" t="s">
        <v>468</v>
      </c>
    </row>
    <row r="117" spans="1:2" x14ac:dyDescent="0.35">
      <c r="A117" s="1" t="s">
        <v>583</v>
      </c>
      <c r="B117" s="1" t="s">
        <v>504</v>
      </c>
    </row>
    <row r="118" spans="1:2" x14ac:dyDescent="0.35">
      <c r="A118" s="1" t="s">
        <v>140</v>
      </c>
      <c r="B118" s="1" t="s">
        <v>474</v>
      </c>
    </row>
    <row r="119" spans="1:2" x14ac:dyDescent="0.35">
      <c r="A119" s="1" t="s">
        <v>736</v>
      </c>
      <c r="B119" s="1" t="s">
        <v>474</v>
      </c>
    </row>
    <row r="120" spans="1:2" x14ac:dyDescent="0.35">
      <c r="A120" s="1" t="s">
        <v>137</v>
      </c>
      <c r="B120" s="1" t="s">
        <v>466</v>
      </c>
    </row>
    <row r="121" spans="1:2" x14ac:dyDescent="0.35">
      <c r="A121" s="1" t="s">
        <v>138</v>
      </c>
      <c r="B121" s="1" t="s">
        <v>470</v>
      </c>
    </row>
    <row r="122" spans="1:2" x14ac:dyDescent="0.35">
      <c r="A122" s="1" t="s">
        <v>139</v>
      </c>
      <c r="B122" s="1" t="s">
        <v>471</v>
      </c>
    </row>
    <row r="123" spans="1:2" x14ac:dyDescent="0.35">
      <c r="A123" s="1" t="s">
        <v>505</v>
      </c>
      <c r="B123" s="1" t="s">
        <v>484</v>
      </c>
    </row>
    <row r="124" spans="1:2" x14ac:dyDescent="0.35">
      <c r="A124" s="1" t="s">
        <v>141</v>
      </c>
      <c r="B124" s="1" t="s">
        <v>466</v>
      </c>
    </row>
    <row r="125" spans="1:2" x14ac:dyDescent="0.35">
      <c r="A125" s="1" t="s">
        <v>142</v>
      </c>
      <c r="B125" s="1" t="s">
        <v>504</v>
      </c>
    </row>
    <row r="126" spans="1:2" x14ac:dyDescent="0.35">
      <c r="A126" s="1" t="s">
        <v>690</v>
      </c>
      <c r="B126" s="1" t="s">
        <v>479</v>
      </c>
    </row>
    <row r="127" spans="1:2" x14ac:dyDescent="0.35">
      <c r="A127" s="1" t="s">
        <v>143</v>
      </c>
      <c r="B127" s="1" t="s">
        <v>498</v>
      </c>
    </row>
    <row r="128" spans="1:2" x14ac:dyDescent="0.35">
      <c r="A128" s="1" t="s">
        <v>506</v>
      </c>
      <c r="B128" s="1" t="s">
        <v>486</v>
      </c>
    </row>
    <row r="129" spans="1:2" x14ac:dyDescent="0.35">
      <c r="A129" s="1" t="s">
        <v>507</v>
      </c>
      <c r="B129" s="1" t="s">
        <v>467</v>
      </c>
    </row>
    <row r="130" spans="1:2" x14ac:dyDescent="0.35">
      <c r="A130" s="1" t="s">
        <v>144</v>
      </c>
      <c r="B130" s="1" t="s">
        <v>504</v>
      </c>
    </row>
    <row r="131" spans="1:2" x14ac:dyDescent="0.35">
      <c r="A131" s="1" t="s">
        <v>145</v>
      </c>
      <c r="B131" s="1" t="s">
        <v>475</v>
      </c>
    </row>
    <row r="132" spans="1:2" x14ac:dyDescent="0.35">
      <c r="A132" s="1" t="s">
        <v>146</v>
      </c>
      <c r="B132" s="1" t="s">
        <v>489</v>
      </c>
    </row>
    <row r="133" spans="1:2" x14ac:dyDescent="0.35">
      <c r="A133" s="1" t="s">
        <v>508</v>
      </c>
      <c r="B133" s="1" t="s">
        <v>471</v>
      </c>
    </row>
    <row r="134" spans="1:2" x14ac:dyDescent="0.35">
      <c r="A134" s="1" t="s">
        <v>669</v>
      </c>
      <c r="B134" s="1" t="s">
        <v>488</v>
      </c>
    </row>
    <row r="135" spans="1:2" x14ac:dyDescent="0.35">
      <c r="A135" s="1" t="s">
        <v>147</v>
      </c>
      <c r="B135" s="1" t="s">
        <v>499</v>
      </c>
    </row>
    <row r="136" spans="1:2" x14ac:dyDescent="0.35">
      <c r="A136" s="1" t="s">
        <v>737</v>
      </c>
      <c r="B136" s="1" t="s">
        <v>476</v>
      </c>
    </row>
    <row r="137" spans="1:2" x14ac:dyDescent="0.35">
      <c r="A137" s="1" t="s">
        <v>148</v>
      </c>
      <c r="B137" s="1" t="s">
        <v>498</v>
      </c>
    </row>
    <row r="138" spans="1:2" x14ac:dyDescent="0.35">
      <c r="A138" s="1" t="s">
        <v>149</v>
      </c>
      <c r="B138" s="1" t="s">
        <v>500</v>
      </c>
    </row>
    <row r="139" spans="1:2" x14ac:dyDescent="0.35">
      <c r="A139" s="1" t="s">
        <v>150</v>
      </c>
      <c r="B139" s="1" t="s">
        <v>473</v>
      </c>
    </row>
    <row r="140" spans="1:2" x14ac:dyDescent="0.35">
      <c r="A140" s="1" t="s">
        <v>151</v>
      </c>
      <c r="B140" s="1" t="s">
        <v>468</v>
      </c>
    </row>
    <row r="141" spans="1:2" x14ac:dyDescent="0.35">
      <c r="A141" s="1" t="s">
        <v>152</v>
      </c>
      <c r="B141" s="1" t="s">
        <v>504</v>
      </c>
    </row>
    <row r="142" spans="1:2" x14ac:dyDescent="0.35">
      <c r="A142" s="1" t="s">
        <v>153</v>
      </c>
      <c r="B142" s="1" t="s">
        <v>499</v>
      </c>
    </row>
    <row r="143" spans="1:2" x14ac:dyDescent="0.35">
      <c r="A143" s="1" t="s">
        <v>154</v>
      </c>
      <c r="B143" s="1" t="s">
        <v>496</v>
      </c>
    </row>
    <row r="144" spans="1:2" x14ac:dyDescent="0.35">
      <c r="A144" s="1" t="s">
        <v>509</v>
      </c>
      <c r="B144" s="1" t="s">
        <v>479</v>
      </c>
    </row>
    <row r="145" spans="1:2" x14ac:dyDescent="0.35">
      <c r="A145" s="1" t="s">
        <v>155</v>
      </c>
      <c r="B145" s="1" t="s">
        <v>500</v>
      </c>
    </row>
    <row r="146" spans="1:2" x14ac:dyDescent="0.35">
      <c r="A146" s="1" t="s">
        <v>156</v>
      </c>
      <c r="B146" s="1" t="s">
        <v>489</v>
      </c>
    </row>
    <row r="147" spans="1:2" x14ac:dyDescent="0.35">
      <c r="A147" s="1" t="s">
        <v>157</v>
      </c>
      <c r="B147" s="1" t="s">
        <v>484</v>
      </c>
    </row>
    <row r="148" spans="1:2" x14ac:dyDescent="0.35">
      <c r="A148" s="1" t="s">
        <v>692</v>
      </c>
      <c r="B148" s="1" t="s">
        <v>478</v>
      </c>
    </row>
    <row r="149" spans="1:2" x14ac:dyDescent="0.35">
      <c r="A149" s="1" t="s">
        <v>158</v>
      </c>
      <c r="B149" s="1" t="s">
        <v>474</v>
      </c>
    </row>
    <row r="150" spans="1:2" x14ac:dyDescent="0.35">
      <c r="A150" s="1" t="s">
        <v>738</v>
      </c>
      <c r="B150" s="1" t="s">
        <v>496</v>
      </c>
    </row>
    <row r="151" spans="1:2" x14ac:dyDescent="0.35">
      <c r="A151" s="1" t="s">
        <v>159</v>
      </c>
      <c r="B151" s="1" t="s">
        <v>473</v>
      </c>
    </row>
    <row r="152" spans="1:2" x14ac:dyDescent="0.35">
      <c r="A152" s="1" t="s">
        <v>160</v>
      </c>
      <c r="B152" s="1" t="s">
        <v>482</v>
      </c>
    </row>
    <row r="153" spans="1:2" x14ac:dyDescent="0.35">
      <c r="A153" s="1" t="s">
        <v>163</v>
      </c>
      <c r="B153" s="1" t="s">
        <v>473</v>
      </c>
    </row>
    <row r="154" spans="1:2" x14ac:dyDescent="0.35">
      <c r="A154" s="1" t="s">
        <v>164</v>
      </c>
      <c r="B154" s="1" t="s">
        <v>469</v>
      </c>
    </row>
    <row r="155" spans="1:2" x14ac:dyDescent="0.35">
      <c r="A155" s="1" t="s">
        <v>165</v>
      </c>
      <c r="B155" s="1" t="s">
        <v>479</v>
      </c>
    </row>
    <row r="156" spans="1:2" x14ac:dyDescent="0.35">
      <c r="A156" s="1" t="s">
        <v>166</v>
      </c>
      <c r="B156" s="1" t="s">
        <v>489</v>
      </c>
    </row>
    <row r="157" spans="1:2" x14ac:dyDescent="0.35">
      <c r="A157" s="1" t="s">
        <v>167</v>
      </c>
      <c r="B157" s="1" t="s">
        <v>480</v>
      </c>
    </row>
    <row r="158" spans="1:2" x14ac:dyDescent="0.35">
      <c r="A158" s="1" t="s">
        <v>168</v>
      </c>
      <c r="B158" s="1" t="s">
        <v>504</v>
      </c>
    </row>
    <row r="159" spans="1:2" x14ac:dyDescent="0.35">
      <c r="A159" s="1" t="s">
        <v>169</v>
      </c>
      <c r="B159" s="1" t="s">
        <v>475</v>
      </c>
    </row>
    <row r="160" spans="1:2" x14ac:dyDescent="0.35">
      <c r="A160" s="1" t="s">
        <v>170</v>
      </c>
      <c r="B160" s="1" t="s">
        <v>468</v>
      </c>
    </row>
    <row r="161" spans="1:2" x14ac:dyDescent="0.35">
      <c r="A161" s="1" t="s">
        <v>171</v>
      </c>
      <c r="B161" s="1" t="s">
        <v>492</v>
      </c>
    </row>
    <row r="162" spans="1:2" x14ac:dyDescent="0.35">
      <c r="A162" s="1" t="s">
        <v>173</v>
      </c>
      <c r="B162" s="1" t="s">
        <v>476</v>
      </c>
    </row>
    <row r="163" spans="1:2" x14ac:dyDescent="0.35">
      <c r="A163" s="1" t="s">
        <v>174</v>
      </c>
      <c r="B163" s="1" t="s">
        <v>466</v>
      </c>
    </row>
    <row r="164" spans="1:2" x14ac:dyDescent="0.35">
      <c r="A164" s="1" t="s">
        <v>693</v>
      </c>
      <c r="B164" s="1" t="s">
        <v>487</v>
      </c>
    </row>
    <row r="165" spans="1:2" x14ac:dyDescent="0.35">
      <c r="A165" s="1" t="s">
        <v>175</v>
      </c>
      <c r="B165" s="1" t="s">
        <v>496</v>
      </c>
    </row>
    <row r="166" spans="1:2" x14ac:dyDescent="0.35">
      <c r="A166" s="1" t="s">
        <v>176</v>
      </c>
      <c r="B166" s="1" t="s">
        <v>489</v>
      </c>
    </row>
    <row r="167" spans="1:2" x14ac:dyDescent="0.35">
      <c r="A167" s="1" t="s">
        <v>177</v>
      </c>
      <c r="B167" s="1" t="s">
        <v>473</v>
      </c>
    </row>
    <row r="168" spans="1:2" x14ac:dyDescent="0.35">
      <c r="A168" s="1" t="s">
        <v>178</v>
      </c>
      <c r="B168" s="1" t="s">
        <v>501</v>
      </c>
    </row>
    <row r="169" spans="1:2" x14ac:dyDescent="0.35">
      <c r="A169" s="1" t="s">
        <v>179</v>
      </c>
      <c r="B169" s="1" t="s">
        <v>481</v>
      </c>
    </row>
    <row r="170" spans="1:2" x14ac:dyDescent="0.35">
      <c r="A170" s="1" t="s">
        <v>181</v>
      </c>
      <c r="B170" s="1" t="s">
        <v>498</v>
      </c>
    </row>
    <row r="171" spans="1:2" x14ac:dyDescent="0.35">
      <c r="A171" s="1" t="s">
        <v>182</v>
      </c>
      <c r="B171" s="1" t="s">
        <v>500</v>
      </c>
    </row>
    <row r="172" spans="1:2" x14ac:dyDescent="0.35">
      <c r="A172" s="1" t="s">
        <v>183</v>
      </c>
      <c r="B172" s="1" t="s">
        <v>490</v>
      </c>
    </row>
    <row r="173" spans="1:2" x14ac:dyDescent="0.35">
      <c r="A173" s="1" t="s">
        <v>184</v>
      </c>
      <c r="B173" s="1" t="s">
        <v>486</v>
      </c>
    </row>
    <row r="174" spans="1:2" x14ac:dyDescent="0.35">
      <c r="A174" s="1" t="s">
        <v>185</v>
      </c>
      <c r="B174" s="1" t="s">
        <v>499</v>
      </c>
    </row>
    <row r="175" spans="1:2" x14ac:dyDescent="0.35">
      <c r="A175" s="1" t="s">
        <v>186</v>
      </c>
      <c r="B175" s="1" t="s">
        <v>471</v>
      </c>
    </row>
    <row r="176" spans="1:2" x14ac:dyDescent="0.35">
      <c r="A176" s="1" t="s">
        <v>694</v>
      </c>
      <c r="B176" s="1" t="s">
        <v>484</v>
      </c>
    </row>
    <row r="177" spans="1:2" x14ac:dyDescent="0.35">
      <c r="A177" s="1" t="s">
        <v>187</v>
      </c>
      <c r="B177" s="1" t="s">
        <v>498</v>
      </c>
    </row>
    <row r="178" spans="1:2" x14ac:dyDescent="0.35">
      <c r="A178" s="1" t="s">
        <v>189</v>
      </c>
      <c r="B178" s="1" t="s">
        <v>482</v>
      </c>
    </row>
    <row r="179" spans="1:2" x14ac:dyDescent="0.35">
      <c r="A179" s="1" t="s">
        <v>190</v>
      </c>
      <c r="B179" s="1" t="s">
        <v>487</v>
      </c>
    </row>
    <row r="180" spans="1:2" x14ac:dyDescent="0.35">
      <c r="A180" s="1" t="s">
        <v>739</v>
      </c>
      <c r="B180" s="1" t="s">
        <v>488</v>
      </c>
    </row>
    <row r="181" spans="1:2" x14ac:dyDescent="0.35">
      <c r="A181" s="1" t="s">
        <v>671</v>
      </c>
      <c r="B181" s="1" t="s">
        <v>482</v>
      </c>
    </row>
    <row r="182" spans="1:2" x14ac:dyDescent="0.35">
      <c r="A182" s="1" t="s">
        <v>695</v>
      </c>
      <c r="B182" s="1" t="s">
        <v>466</v>
      </c>
    </row>
    <row r="183" spans="1:2" x14ac:dyDescent="0.35">
      <c r="A183" s="1" t="s">
        <v>696</v>
      </c>
      <c r="B183" s="1" t="s">
        <v>486</v>
      </c>
    </row>
    <row r="184" spans="1:2" x14ac:dyDescent="0.35">
      <c r="A184" s="1" t="s">
        <v>584</v>
      </c>
      <c r="B184" s="1" t="s">
        <v>484</v>
      </c>
    </row>
    <row r="185" spans="1:2" x14ac:dyDescent="0.35">
      <c r="A185" s="1" t="s">
        <v>192</v>
      </c>
      <c r="B185" s="1" t="s">
        <v>501</v>
      </c>
    </row>
    <row r="186" spans="1:2" x14ac:dyDescent="0.35">
      <c r="A186" s="1" t="s">
        <v>193</v>
      </c>
      <c r="B186" s="1" t="s">
        <v>467</v>
      </c>
    </row>
    <row r="187" spans="1:2" x14ac:dyDescent="0.35">
      <c r="A187" s="1" t="s">
        <v>194</v>
      </c>
      <c r="B187" s="1" t="s">
        <v>472</v>
      </c>
    </row>
    <row r="188" spans="1:2" x14ac:dyDescent="0.35">
      <c r="A188" s="1" t="s">
        <v>195</v>
      </c>
      <c r="B188" s="1" t="s">
        <v>475</v>
      </c>
    </row>
    <row r="189" spans="1:2" x14ac:dyDescent="0.35">
      <c r="A189" s="1" t="s">
        <v>196</v>
      </c>
      <c r="B189" s="1" t="s">
        <v>486</v>
      </c>
    </row>
    <row r="190" spans="1:2" x14ac:dyDescent="0.35">
      <c r="A190" s="1" t="s">
        <v>740</v>
      </c>
      <c r="B190" s="1" t="s">
        <v>478</v>
      </c>
    </row>
    <row r="191" spans="1:2" x14ac:dyDescent="0.35">
      <c r="A191" s="1" t="s">
        <v>197</v>
      </c>
      <c r="B191" s="1" t="s">
        <v>471</v>
      </c>
    </row>
    <row r="192" spans="1:2" x14ac:dyDescent="0.35">
      <c r="A192" s="1" t="s">
        <v>198</v>
      </c>
      <c r="B192" s="1" t="s">
        <v>500</v>
      </c>
    </row>
    <row r="193" spans="1:2" x14ac:dyDescent="0.35">
      <c r="A193" s="1" t="s">
        <v>199</v>
      </c>
      <c r="B193" s="1" t="s">
        <v>496</v>
      </c>
    </row>
    <row r="194" spans="1:2" x14ac:dyDescent="0.35">
      <c r="A194" s="1" t="s">
        <v>200</v>
      </c>
      <c r="B194" s="1" t="s">
        <v>469</v>
      </c>
    </row>
    <row r="195" spans="1:2" x14ac:dyDescent="0.35">
      <c r="A195" s="1" t="s">
        <v>201</v>
      </c>
      <c r="B195" s="1" t="s">
        <v>486</v>
      </c>
    </row>
    <row r="196" spans="1:2" x14ac:dyDescent="0.35">
      <c r="A196" s="1" t="s">
        <v>202</v>
      </c>
      <c r="B196" s="1" t="s">
        <v>467</v>
      </c>
    </row>
    <row r="197" spans="1:2" x14ac:dyDescent="0.35">
      <c r="A197" s="1" t="s">
        <v>203</v>
      </c>
      <c r="B197" s="1" t="s">
        <v>469</v>
      </c>
    </row>
    <row r="198" spans="1:2" x14ac:dyDescent="0.35">
      <c r="A198" s="1" t="s">
        <v>668</v>
      </c>
      <c r="B198" s="1" t="s">
        <v>498</v>
      </c>
    </row>
    <row r="199" spans="1:2" x14ac:dyDescent="0.35">
      <c r="A199" s="1" t="s">
        <v>204</v>
      </c>
      <c r="B199" s="1" t="s">
        <v>481</v>
      </c>
    </row>
    <row r="200" spans="1:2" x14ac:dyDescent="0.35">
      <c r="A200" s="1" t="s">
        <v>510</v>
      </c>
      <c r="B200" s="1" t="s">
        <v>488</v>
      </c>
    </row>
    <row r="201" spans="1:2" x14ac:dyDescent="0.35">
      <c r="A201" s="1" t="s">
        <v>511</v>
      </c>
      <c r="B201" s="1" t="s">
        <v>469</v>
      </c>
    </row>
    <row r="202" spans="1:2" x14ac:dyDescent="0.35">
      <c r="A202" s="1" t="s">
        <v>207</v>
      </c>
      <c r="B202" s="1" t="s">
        <v>467</v>
      </c>
    </row>
    <row r="203" spans="1:2" x14ac:dyDescent="0.35">
      <c r="A203" s="1" t="s">
        <v>210</v>
      </c>
      <c r="B203" s="1" t="s">
        <v>482</v>
      </c>
    </row>
    <row r="204" spans="1:2" x14ac:dyDescent="0.35">
      <c r="A204" s="1" t="s">
        <v>211</v>
      </c>
      <c r="B204" s="1" t="s">
        <v>466</v>
      </c>
    </row>
    <row r="205" spans="1:2" x14ac:dyDescent="0.35">
      <c r="A205" s="1" t="s">
        <v>212</v>
      </c>
      <c r="B205" s="1" t="s">
        <v>489</v>
      </c>
    </row>
    <row r="206" spans="1:2" x14ac:dyDescent="0.35">
      <c r="A206" s="1" t="s">
        <v>741</v>
      </c>
      <c r="B206" s="1" t="s">
        <v>484</v>
      </c>
    </row>
    <row r="207" spans="1:2" x14ac:dyDescent="0.35">
      <c r="A207" s="1" t="s">
        <v>214</v>
      </c>
      <c r="B207" s="1" t="s">
        <v>493</v>
      </c>
    </row>
    <row r="208" spans="1:2" x14ac:dyDescent="0.35">
      <c r="A208" s="1" t="s">
        <v>215</v>
      </c>
      <c r="B208" s="1" t="s">
        <v>474</v>
      </c>
    </row>
    <row r="209" spans="1:2" x14ac:dyDescent="0.35">
      <c r="A209" s="1" t="s">
        <v>216</v>
      </c>
      <c r="B209" s="1" t="s">
        <v>493</v>
      </c>
    </row>
    <row r="210" spans="1:2" x14ac:dyDescent="0.35">
      <c r="A210" s="1" t="s">
        <v>218</v>
      </c>
      <c r="B210" s="1" t="s">
        <v>482</v>
      </c>
    </row>
    <row r="211" spans="1:2" x14ac:dyDescent="0.35">
      <c r="A211" s="1" t="s">
        <v>219</v>
      </c>
      <c r="B211" s="1" t="s">
        <v>476</v>
      </c>
    </row>
    <row r="212" spans="1:2" x14ac:dyDescent="0.35">
      <c r="A212" s="1" t="s">
        <v>220</v>
      </c>
      <c r="B212" s="1" t="s">
        <v>466</v>
      </c>
    </row>
    <row r="213" spans="1:2" x14ac:dyDescent="0.35">
      <c r="A213" s="1" t="s">
        <v>221</v>
      </c>
      <c r="B213" s="1" t="s">
        <v>475</v>
      </c>
    </row>
    <row r="214" spans="1:2" x14ac:dyDescent="0.35">
      <c r="A214" s="1" t="s">
        <v>222</v>
      </c>
      <c r="B214" s="1" t="s">
        <v>501</v>
      </c>
    </row>
    <row r="215" spans="1:2" x14ac:dyDescent="0.35">
      <c r="A215" s="1" t="s">
        <v>223</v>
      </c>
      <c r="B215" s="1" t="s">
        <v>500</v>
      </c>
    </row>
    <row r="216" spans="1:2" x14ac:dyDescent="0.35">
      <c r="A216" s="1" t="s">
        <v>697</v>
      </c>
      <c r="B216" s="1" t="s">
        <v>486</v>
      </c>
    </row>
    <row r="217" spans="1:2" x14ac:dyDescent="0.35">
      <c r="A217" s="1" t="s">
        <v>224</v>
      </c>
      <c r="B217" s="1" t="s">
        <v>489</v>
      </c>
    </row>
    <row r="218" spans="1:2" x14ac:dyDescent="0.35">
      <c r="A218" s="1" t="s">
        <v>698</v>
      </c>
      <c r="B218" s="1" t="s">
        <v>496</v>
      </c>
    </row>
    <row r="219" spans="1:2" x14ac:dyDescent="0.35">
      <c r="A219" s="1" t="s">
        <v>225</v>
      </c>
      <c r="B219" s="1" t="s">
        <v>489</v>
      </c>
    </row>
    <row r="220" spans="1:2" x14ac:dyDescent="0.35">
      <c r="A220" s="1" t="s">
        <v>226</v>
      </c>
      <c r="B220" s="1" t="s">
        <v>479</v>
      </c>
    </row>
    <row r="221" spans="1:2" x14ac:dyDescent="0.35">
      <c r="A221" s="1" t="s">
        <v>227</v>
      </c>
      <c r="B221" s="1" t="s">
        <v>492</v>
      </c>
    </row>
    <row r="222" spans="1:2" x14ac:dyDescent="0.35">
      <c r="A222" s="1" t="s">
        <v>451</v>
      </c>
      <c r="B222" s="1" t="s">
        <v>467</v>
      </c>
    </row>
    <row r="223" spans="1:2" x14ac:dyDescent="0.35">
      <c r="A223" s="1" t="s">
        <v>228</v>
      </c>
      <c r="B223" s="1" t="s">
        <v>496</v>
      </c>
    </row>
    <row r="224" spans="1:2" x14ac:dyDescent="0.35">
      <c r="A224" s="1" t="s">
        <v>229</v>
      </c>
      <c r="B224" s="1" t="s">
        <v>469</v>
      </c>
    </row>
    <row r="225" spans="1:2" x14ac:dyDescent="0.35">
      <c r="A225" s="1" t="s">
        <v>230</v>
      </c>
      <c r="B225" s="1" t="s">
        <v>471</v>
      </c>
    </row>
    <row r="226" spans="1:2" x14ac:dyDescent="0.35">
      <c r="A226" s="1" t="s">
        <v>231</v>
      </c>
      <c r="B226" s="1" t="s">
        <v>473</v>
      </c>
    </row>
    <row r="227" spans="1:2" x14ac:dyDescent="0.35">
      <c r="A227" s="1" t="s">
        <v>232</v>
      </c>
      <c r="B227" s="1" t="s">
        <v>484</v>
      </c>
    </row>
    <row r="228" spans="1:2" x14ac:dyDescent="0.35">
      <c r="A228" s="1" t="s">
        <v>233</v>
      </c>
      <c r="B228" s="1" t="s">
        <v>498</v>
      </c>
    </row>
    <row r="229" spans="1:2" x14ac:dyDescent="0.35">
      <c r="A229" s="1" t="s">
        <v>452</v>
      </c>
      <c r="B229" s="1" t="s">
        <v>498</v>
      </c>
    </row>
    <row r="230" spans="1:2" x14ac:dyDescent="0.35">
      <c r="A230" s="1" t="s">
        <v>585</v>
      </c>
      <c r="B230" s="1" t="s">
        <v>470</v>
      </c>
    </row>
    <row r="231" spans="1:2" x14ac:dyDescent="0.35">
      <c r="A231" s="1" t="s">
        <v>235</v>
      </c>
      <c r="B231" s="1" t="s">
        <v>466</v>
      </c>
    </row>
    <row r="232" spans="1:2" x14ac:dyDescent="0.35">
      <c r="A232" s="1" t="s">
        <v>236</v>
      </c>
      <c r="B232" s="1" t="s">
        <v>492</v>
      </c>
    </row>
    <row r="233" spans="1:2" x14ac:dyDescent="0.35">
      <c r="A233" s="1" t="s">
        <v>237</v>
      </c>
      <c r="B233" s="1" t="s">
        <v>482</v>
      </c>
    </row>
    <row r="234" spans="1:2" x14ac:dyDescent="0.35">
      <c r="A234" s="1" t="s">
        <v>238</v>
      </c>
      <c r="B234" s="1" t="s">
        <v>475</v>
      </c>
    </row>
    <row r="235" spans="1:2" x14ac:dyDescent="0.35">
      <c r="A235" s="1" t="s">
        <v>239</v>
      </c>
      <c r="B235" s="1" t="s">
        <v>482</v>
      </c>
    </row>
    <row r="236" spans="1:2" x14ac:dyDescent="0.35">
      <c r="A236" s="1" t="s">
        <v>240</v>
      </c>
      <c r="B236" s="1" t="s">
        <v>466</v>
      </c>
    </row>
    <row r="237" spans="1:2" x14ac:dyDescent="0.35">
      <c r="A237" s="1" t="s">
        <v>699</v>
      </c>
      <c r="B237" s="1" t="s">
        <v>500</v>
      </c>
    </row>
    <row r="238" spans="1:2" x14ac:dyDescent="0.35">
      <c r="A238" s="1" t="s">
        <v>243</v>
      </c>
      <c r="B238" s="1" t="s">
        <v>480</v>
      </c>
    </row>
    <row r="239" spans="1:2" x14ac:dyDescent="0.35">
      <c r="A239" s="1" t="s">
        <v>244</v>
      </c>
      <c r="B239" s="1" t="s">
        <v>484</v>
      </c>
    </row>
    <row r="240" spans="1:2" x14ac:dyDescent="0.35">
      <c r="A240" s="1" t="s">
        <v>245</v>
      </c>
      <c r="B240" s="1" t="s">
        <v>468</v>
      </c>
    </row>
    <row r="241" spans="1:2" x14ac:dyDescent="0.35">
      <c r="A241" s="1" t="s">
        <v>246</v>
      </c>
      <c r="B241" s="1" t="s">
        <v>478</v>
      </c>
    </row>
    <row r="242" spans="1:2" x14ac:dyDescent="0.35">
      <c r="A242" s="1" t="s">
        <v>551</v>
      </c>
      <c r="B242" s="1" t="s">
        <v>471</v>
      </c>
    </row>
    <row r="243" spans="1:2" x14ac:dyDescent="0.35">
      <c r="A243" s="1" t="s">
        <v>512</v>
      </c>
      <c r="B243" s="1" t="s">
        <v>486</v>
      </c>
    </row>
    <row r="244" spans="1:2" x14ac:dyDescent="0.35">
      <c r="A244" s="1" t="s">
        <v>247</v>
      </c>
      <c r="B244" s="1" t="s">
        <v>480</v>
      </c>
    </row>
    <row r="245" spans="1:2" x14ac:dyDescent="0.35">
      <c r="A245" s="1" t="s">
        <v>248</v>
      </c>
      <c r="B245" s="1" t="s">
        <v>476</v>
      </c>
    </row>
    <row r="246" spans="1:2" x14ac:dyDescent="0.35">
      <c r="A246" s="1" t="s">
        <v>742</v>
      </c>
      <c r="B246" s="1" t="s">
        <v>501</v>
      </c>
    </row>
    <row r="247" spans="1:2" x14ac:dyDescent="0.35">
      <c r="A247" s="1" t="s">
        <v>700</v>
      </c>
      <c r="B247" s="1" t="s">
        <v>468</v>
      </c>
    </row>
    <row r="248" spans="1:2" x14ac:dyDescent="0.35">
      <c r="A248" s="1" t="s">
        <v>249</v>
      </c>
      <c r="B248" s="1" t="s">
        <v>470</v>
      </c>
    </row>
    <row r="249" spans="1:2" x14ac:dyDescent="0.35">
      <c r="A249" s="1" t="s">
        <v>250</v>
      </c>
      <c r="B249" s="1" t="s">
        <v>471</v>
      </c>
    </row>
    <row r="250" spans="1:2" x14ac:dyDescent="0.35">
      <c r="A250" s="1" t="s">
        <v>251</v>
      </c>
      <c r="B250" s="1" t="s">
        <v>482</v>
      </c>
    </row>
    <row r="251" spans="1:2" x14ac:dyDescent="0.35">
      <c r="A251" s="1" t="s">
        <v>252</v>
      </c>
      <c r="B251" s="1" t="s">
        <v>492</v>
      </c>
    </row>
    <row r="252" spans="1:2" x14ac:dyDescent="0.35">
      <c r="A252" s="1" t="s">
        <v>253</v>
      </c>
      <c r="B252" s="1" t="s">
        <v>480</v>
      </c>
    </row>
    <row r="253" spans="1:2" x14ac:dyDescent="0.35">
      <c r="A253" s="1" t="s">
        <v>254</v>
      </c>
      <c r="B253" s="1" t="s">
        <v>476</v>
      </c>
    </row>
    <row r="254" spans="1:2" x14ac:dyDescent="0.35">
      <c r="A254" s="1" t="s">
        <v>255</v>
      </c>
      <c r="B254" s="1" t="s">
        <v>492</v>
      </c>
    </row>
    <row r="255" spans="1:2" x14ac:dyDescent="0.35">
      <c r="A255" s="1" t="s">
        <v>258</v>
      </c>
      <c r="B255" s="1" t="s">
        <v>484</v>
      </c>
    </row>
    <row r="256" spans="1:2" x14ac:dyDescent="0.35">
      <c r="A256" s="1" t="s">
        <v>701</v>
      </c>
      <c r="B256" s="1" t="s">
        <v>489</v>
      </c>
    </row>
    <row r="257" spans="1:2" x14ac:dyDescent="0.35">
      <c r="A257" s="1" t="s">
        <v>260</v>
      </c>
      <c r="B257" s="1" t="s">
        <v>472</v>
      </c>
    </row>
    <row r="258" spans="1:2" x14ac:dyDescent="0.35">
      <c r="A258" s="1" t="s">
        <v>261</v>
      </c>
      <c r="B258" s="1" t="s">
        <v>470</v>
      </c>
    </row>
    <row r="259" spans="1:2" x14ac:dyDescent="0.35">
      <c r="A259" s="1" t="s">
        <v>262</v>
      </c>
      <c r="B259" s="1" t="s">
        <v>500</v>
      </c>
    </row>
    <row r="260" spans="1:2" x14ac:dyDescent="0.35">
      <c r="A260" s="1" t="s">
        <v>263</v>
      </c>
      <c r="B260" s="1" t="s">
        <v>479</v>
      </c>
    </row>
    <row r="261" spans="1:2" x14ac:dyDescent="0.35">
      <c r="A261" s="1" t="s">
        <v>265</v>
      </c>
      <c r="B261" s="1" t="s">
        <v>471</v>
      </c>
    </row>
    <row r="262" spans="1:2" x14ac:dyDescent="0.35">
      <c r="A262" s="1" t="s">
        <v>266</v>
      </c>
      <c r="B262" s="1" t="s">
        <v>475</v>
      </c>
    </row>
    <row r="263" spans="1:2" x14ac:dyDescent="0.35">
      <c r="A263" s="1" t="s">
        <v>269</v>
      </c>
      <c r="B263" s="1" t="s">
        <v>479</v>
      </c>
    </row>
    <row r="264" spans="1:2" x14ac:dyDescent="0.35">
      <c r="A264" s="1" t="s">
        <v>267</v>
      </c>
      <c r="B264" s="1" t="s">
        <v>493</v>
      </c>
    </row>
    <row r="265" spans="1:2" x14ac:dyDescent="0.35">
      <c r="A265" s="1" t="s">
        <v>268</v>
      </c>
      <c r="B265" s="1" t="s">
        <v>499</v>
      </c>
    </row>
    <row r="266" spans="1:2" x14ac:dyDescent="0.35">
      <c r="A266" s="1" t="s">
        <v>270</v>
      </c>
      <c r="B266" s="1" t="s">
        <v>488</v>
      </c>
    </row>
    <row r="267" spans="1:2" x14ac:dyDescent="0.35">
      <c r="A267" s="1" t="s">
        <v>278</v>
      </c>
      <c r="B267" s="1" t="s">
        <v>471</v>
      </c>
    </row>
    <row r="268" spans="1:2" x14ac:dyDescent="0.35">
      <c r="A268" s="1" t="s">
        <v>272</v>
      </c>
      <c r="B268" s="1" t="s">
        <v>493</v>
      </c>
    </row>
    <row r="269" spans="1:2" x14ac:dyDescent="0.35">
      <c r="A269" s="1" t="s">
        <v>274</v>
      </c>
      <c r="B269" s="1" t="s">
        <v>490</v>
      </c>
    </row>
    <row r="270" spans="1:2" x14ac:dyDescent="0.35">
      <c r="A270" s="1" t="s">
        <v>743</v>
      </c>
      <c r="B270" s="1" t="s">
        <v>498</v>
      </c>
    </row>
    <row r="271" spans="1:2" x14ac:dyDescent="0.35">
      <c r="A271" s="1" t="s">
        <v>275</v>
      </c>
      <c r="B271" s="1" t="s">
        <v>478</v>
      </c>
    </row>
    <row r="272" spans="1:2" x14ac:dyDescent="0.35">
      <c r="A272" s="1" t="s">
        <v>276</v>
      </c>
      <c r="B272" s="1" t="s">
        <v>492</v>
      </c>
    </row>
    <row r="273" spans="1:2" x14ac:dyDescent="0.35">
      <c r="A273" s="1" t="s">
        <v>277</v>
      </c>
      <c r="B273" s="1" t="s">
        <v>467</v>
      </c>
    </row>
    <row r="274" spans="1:2" x14ac:dyDescent="0.35">
      <c r="A274" s="1" t="s">
        <v>744</v>
      </c>
      <c r="B274" s="1" t="s">
        <v>469</v>
      </c>
    </row>
    <row r="275" spans="1:2" x14ac:dyDescent="0.35">
      <c r="A275" s="1" t="s">
        <v>279</v>
      </c>
      <c r="B275" s="1" t="s">
        <v>476</v>
      </c>
    </row>
    <row r="276" spans="1:2" x14ac:dyDescent="0.35">
      <c r="A276" s="1" t="s">
        <v>280</v>
      </c>
      <c r="B276" s="1" t="s">
        <v>476</v>
      </c>
    </row>
    <row r="277" spans="1:2" x14ac:dyDescent="0.35">
      <c r="A277" s="1" t="s">
        <v>281</v>
      </c>
      <c r="B277" s="1" t="s">
        <v>490</v>
      </c>
    </row>
    <row r="278" spans="1:2" x14ac:dyDescent="0.35">
      <c r="A278" s="1" t="s">
        <v>282</v>
      </c>
      <c r="B278" s="1" t="s">
        <v>474</v>
      </c>
    </row>
    <row r="279" spans="1:2" x14ac:dyDescent="0.35">
      <c r="A279" s="1" t="s">
        <v>283</v>
      </c>
      <c r="B279" s="1" t="s">
        <v>487</v>
      </c>
    </row>
    <row r="280" spans="1:2" x14ac:dyDescent="0.35">
      <c r="A280" s="1" t="s">
        <v>284</v>
      </c>
      <c r="B280" s="1" t="s">
        <v>504</v>
      </c>
    </row>
    <row r="281" spans="1:2" x14ac:dyDescent="0.35">
      <c r="A281" s="1" t="s">
        <v>285</v>
      </c>
      <c r="B281" s="1" t="s">
        <v>478</v>
      </c>
    </row>
    <row r="282" spans="1:2" x14ac:dyDescent="0.35">
      <c r="A282" s="1" t="s">
        <v>513</v>
      </c>
      <c r="B282" s="1" t="s">
        <v>471</v>
      </c>
    </row>
    <row r="283" spans="1:2" x14ac:dyDescent="0.35">
      <c r="A283" s="1" t="s">
        <v>286</v>
      </c>
      <c r="B283" s="1" t="s">
        <v>468</v>
      </c>
    </row>
    <row r="284" spans="1:2" x14ac:dyDescent="0.35">
      <c r="A284" s="1" t="s">
        <v>745</v>
      </c>
      <c r="B284" s="1" t="s">
        <v>469</v>
      </c>
    </row>
    <row r="285" spans="1:2" x14ac:dyDescent="0.35">
      <c r="A285" s="1" t="s">
        <v>288</v>
      </c>
      <c r="B285" s="1" t="s">
        <v>504</v>
      </c>
    </row>
    <row r="286" spans="1:2" x14ac:dyDescent="0.35">
      <c r="A286" s="1" t="s">
        <v>746</v>
      </c>
      <c r="B286" s="1" t="s">
        <v>466</v>
      </c>
    </row>
    <row r="287" spans="1:2" x14ac:dyDescent="0.35">
      <c r="A287" s="1" t="s">
        <v>747</v>
      </c>
      <c r="B287" s="1" t="s">
        <v>473</v>
      </c>
    </row>
    <row r="288" spans="1:2" x14ac:dyDescent="0.35">
      <c r="A288" s="1" t="s">
        <v>289</v>
      </c>
      <c r="B288" s="1" t="s">
        <v>492</v>
      </c>
    </row>
    <row r="289" spans="1:2" x14ac:dyDescent="0.35">
      <c r="A289" s="1" t="s">
        <v>748</v>
      </c>
      <c r="B289" s="1" t="s">
        <v>490</v>
      </c>
    </row>
    <row r="290" spans="1:2" x14ac:dyDescent="0.35">
      <c r="A290" s="1" t="s">
        <v>514</v>
      </c>
      <c r="B290" s="1" t="s">
        <v>484</v>
      </c>
    </row>
    <row r="291" spans="1:2" x14ac:dyDescent="0.35">
      <c r="A291" s="1" t="s">
        <v>290</v>
      </c>
      <c r="B291" s="1" t="s">
        <v>479</v>
      </c>
    </row>
    <row r="292" spans="1:2" x14ac:dyDescent="0.35">
      <c r="A292" s="1" t="s">
        <v>749</v>
      </c>
      <c r="B292" s="1" t="s">
        <v>469</v>
      </c>
    </row>
    <row r="293" spans="1:2" x14ac:dyDescent="0.35">
      <c r="A293" s="1" t="s">
        <v>291</v>
      </c>
      <c r="B293" s="1" t="s">
        <v>481</v>
      </c>
    </row>
    <row r="294" spans="1:2" x14ac:dyDescent="0.35">
      <c r="A294" s="1" t="s">
        <v>292</v>
      </c>
      <c r="B294" s="1" t="s">
        <v>481</v>
      </c>
    </row>
    <row r="295" spans="1:2" x14ac:dyDescent="0.35">
      <c r="A295" s="1" t="s">
        <v>750</v>
      </c>
      <c r="B295" s="1" t="s">
        <v>501</v>
      </c>
    </row>
    <row r="296" spans="1:2" x14ac:dyDescent="0.35">
      <c r="A296" s="1" t="s">
        <v>293</v>
      </c>
      <c r="B296" s="1" t="s">
        <v>493</v>
      </c>
    </row>
    <row r="297" spans="1:2" x14ac:dyDescent="0.35">
      <c r="A297" s="1" t="s">
        <v>295</v>
      </c>
      <c r="B297" s="1" t="s">
        <v>487</v>
      </c>
    </row>
    <row r="298" spans="1:2" x14ac:dyDescent="0.35">
      <c r="A298" s="1" t="s">
        <v>705</v>
      </c>
      <c r="B298" s="1" t="s">
        <v>500</v>
      </c>
    </row>
    <row r="299" spans="1:2" x14ac:dyDescent="0.35">
      <c r="A299" s="1" t="s">
        <v>296</v>
      </c>
      <c r="B299" s="1" t="s">
        <v>475</v>
      </c>
    </row>
    <row r="300" spans="1:2" x14ac:dyDescent="0.35">
      <c r="A300" s="1" t="s">
        <v>706</v>
      </c>
      <c r="B300" s="1" t="s">
        <v>500</v>
      </c>
    </row>
    <row r="301" spans="1:2" x14ac:dyDescent="0.35">
      <c r="A301" s="1" t="s">
        <v>707</v>
      </c>
      <c r="B301" s="1" t="s">
        <v>489</v>
      </c>
    </row>
    <row r="302" spans="1:2" x14ac:dyDescent="0.35">
      <c r="A302" s="1" t="s">
        <v>297</v>
      </c>
      <c r="B302" s="1" t="s">
        <v>478</v>
      </c>
    </row>
    <row r="303" spans="1:2" x14ac:dyDescent="0.35">
      <c r="A303" s="1" t="s">
        <v>515</v>
      </c>
      <c r="B303" s="1" t="s">
        <v>476</v>
      </c>
    </row>
    <row r="304" spans="1:2" x14ac:dyDescent="0.35">
      <c r="A304" s="1" t="s">
        <v>298</v>
      </c>
      <c r="B304" s="1" t="s">
        <v>493</v>
      </c>
    </row>
    <row r="305" spans="1:2" x14ac:dyDescent="0.35">
      <c r="A305" s="1" t="s">
        <v>708</v>
      </c>
      <c r="B305" s="1" t="s">
        <v>488</v>
      </c>
    </row>
    <row r="306" spans="1:2" x14ac:dyDescent="0.35">
      <c r="A306" s="1" t="s">
        <v>299</v>
      </c>
      <c r="B306" s="1" t="s">
        <v>481</v>
      </c>
    </row>
    <row r="307" spans="1:2" x14ac:dyDescent="0.35">
      <c r="A307" s="1" t="s">
        <v>300</v>
      </c>
      <c r="B307" s="1" t="s">
        <v>493</v>
      </c>
    </row>
    <row r="308" spans="1:2" x14ac:dyDescent="0.35">
      <c r="A308" s="1" t="s">
        <v>709</v>
      </c>
      <c r="B308" s="1" t="s">
        <v>470</v>
      </c>
    </row>
    <row r="309" spans="1:2" x14ac:dyDescent="0.35">
      <c r="A309" s="1" t="s">
        <v>301</v>
      </c>
      <c r="B309" s="1" t="s">
        <v>504</v>
      </c>
    </row>
    <row r="310" spans="1:2" x14ac:dyDescent="0.35">
      <c r="A310" s="1" t="s">
        <v>302</v>
      </c>
      <c r="B310" s="1" t="s">
        <v>498</v>
      </c>
    </row>
    <row r="311" spans="1:2" x14ac:dyDescent="0.35">
      <c r="A311" s="1" t="s">
        <v>303</v>
      </c>
      <c r="B311" s="1" t="s">
        <v>475</v>
      </c>
    </row>
    <row r="312" spans="1:2" x14ac:dyDescent="0.35">
      <c r="A312" s="1" t="s">
        <v>304</v>
      </c>
      <c r="B312" s="1" t="s">
        <v>488</v>
      </c>
    </row>
    <row r="313" spans="1:2" x14ac:dyDescent="0.35">
      <c r="A313" s="1" t="s">
        <v>305</v>
      </c>
      <c r="B313" s="1" t="s">
        <v>501</v>
      </c>
    </row>
    <row r="314" spans="1:2" x14ac:dyDescent="0.35">
      <c r="A314" s="1" t="s">
        <v>516</v>
      </c>
      <c r="B314" s="1" t="s">
        <v>469</v>
      </c>
    </row>
    <row r="315" spans="1:2" x14ac:dyDescent="0.35">
      <c r="A315" s="1" t="s">
        <v>306</v>
      </c>
      <c r="B315" s="1" t="s">
        <v>470</v>
      </c>
    </row>
    <row r="316" spans="1:2" x14ac:dyDescent="0.35">
      <c r="A316" s="1" t="s">
        <v>710</v>
      </c>
      <c r="B316" s="1" t="s">
        <v>474</v>
      </c>
    </row>
    <row r="317" spans="1:2" x14ac:dyDescent="0.35">
      <c r="A317" s="1" t="s">
        <v>307</v>
      </c>
      <c r="B317" s="1" t="s">
        <v>482</v>
      </c>
    </row>
    <row r="318" spans="1:2" x14ac:dyDescent="0.35">
      <c r="A318" s="1" t="s">
        <v>308</v>
      </c>
      <c r="B318" s="1" t="s">
        <v>474</v>
      </c>
    </row>
    <row r="319" spans="1:2" x14ac:dyDescent="0.35">
      <c r="A319" s="1" t="s">
        <v>517</v>
      </c>
      <c r="B319" s="1" t="s">
        <v>466</v>
      </c>
    </row>
    <row r="320" spans="1:2" x14ac:dyDescent="0.35">
      <c r="A320" s="1" t="s">
        <v>310</v>
      </c>
      <c r="B320" s="1" t="s">
        <v>468</v>
      </c>
    </row>
    <row r="321" spans="1:2" x14ac:dyDescent="0.35">
      <c r="A321" s="1" t="s">
        <v>311</v>
      </c>
      <c r="B321" s="1" t="s">
        <v>486</v>
      </c>
    </row>
    <row r="322" spans="1:2" x14ac:dyDescent="0.35">
      <c r="A322" s="1" t="s">
        <v>312</v>
      </c>
      <c r="B322" s="1" t="s">
        <v>500</v>
      </c>
    </row>
    <row r="323" spans="1:2" x14ac:dyDescent="0.35">
      <c r="A323" s="1" t="s">
        <v>313</v>
      </c>
      <c r="B323" s="1" t="s">
        <v>496</v>
      </c>
    </row>
    <row r="324" spans="1:2" x14ac:dyDescent="0.35">
      <c r="A324" s="1" t="s">
        <v>314</v>
      </c>
      <c r="B324" s="1" t="s">
        <v>479</v>
      </c>
    </row>
    <row r="325" spans="1:2" x14ac:dyDescent="0.35">
      <c r="A325" s="1" t="s">
        <v>315</v>
      </c>
      <c r="B325" s="1" t="s">
        <v>481</v>
      </c>
    </row>
    <row r="326" spans="1:2" x14ac:dyDescent="0.35">
      <c r="A326" s="1" t="s">
        <v>317</v>
      </c>
      <c r="B326" s="1" t="s">
        <v>480</v>
      </c>
    </row>
    <row r="327" spans="1:2" x14ac:dyDescent="0.35">
      <c r="A327" s="1" t="s">
        <v>318</v>
      </c>
      <c r="B327" s="1" t="s">
        <v>470</v>
      </c>
    </row>
    <row r="328" spans="1:2" x14ac:dyDescent="0.35">
      <c r="A328" s="1" t="s">
        <v>319</v>
      </c>
      <c r="B328" s="1" t="s">
        <v>496</v>
      </c>
    </row>
    <row r="329" spans="1:2" x14ac:dyDescent="0.35">
      <c r="A329" s="1" t="s">
        <v>320</v>
      </c>
      <c r="B329" s="1" t="s">
        <v>492</v>
      </c>
    </row>
    <row r="330" spans="1:2" x14ac:dyDescent="0.35">
      <c r="A330" s="1" t="s">
        <v>321</v>
      </c>
      <c r="B330" s="1" t="s">
        <v>475</v>
      </c>
    </row>
    <row r="331" spans="1:2" x14ac:dyDescent="0.35">
      <c r="A331" s="1" t="s">
        <v>322</v>
      </c>
      <c r="B331" s="1" t="s">
        <v>486</v>
      </c>
    </row>
    <row r="332" spans="1:2" x14ac:dyDescent="0.35">
      <c r="A332" s="1" t="s">
        <v>464</v>
      </c>
      <c r="B332" s="1" t="s">
        <v>490</v>
      </c>
    </row>
    <row r="333" spans="1:2" x14ac:dyDescent="0.35">
      <c r="A333" s="1" t="s">
        <v>325</v>
      </c>
      <c r="B333" s="1" t="s">
        <v>468</v>
      </c>
    </row>
    <row r="334" spans="1:2" x14ac:dyDescent="0.35">
      <c r="A334" s="1" t="s">
        <v>326</v>
      </c>
      <c r="B334" s="1" t="s">
        <v>486</v>
      </c>
    </row>
    <row r="335" spans="1:2" x14ac:dyDescent="0.35">
      <c r="A335" s="1" t="s">
        <v>327</v>
      </c>
      <c r="B335" s="1" t="s">
        <v>466</v>
      </c>
    </row>
    <row r="336" spans="1:2" x14ac:dyDescent="0.35">
      <c r="A336" s="1" t="s">
        <v>586</v>
      </c>
      <c r="B336" s="1" t="s">
        <v>498</v>
      </c>
    </row>
    <row r="337" spans="1:2" x14ac:dyDescent="0.35">
      <c r="A337" s="1" t="s">
        <v>328</v>
      </c>
      <c r="B337" s="1" t="s">
        <v>480</v>
      </c>
    </row>
    <row r="338" spans="1:2" x14ac:dyDescent="0.35">
      <c r="A338" s="1" t="s">
        <v>587</v>
      </c>
      <c r="B338" s="1" t="s">
        <v>504</v>
      </c>
    </row>
    <row r="339" spans="1:2" x14ac:dyDescent="0.35">
      <c r="A339" s="1" t="s">
        <v>711</v>
      </c>
      <c r="B339" s="1" t="s">
        <v>499</v>
      </c>
    </row>
    <row r="340" spans="1:2" x14ac:dyDescent="0.35">
      <c r="A340" s="1" t="s">
        <v>588</v>
      </c>
      <c r="B340" s="1" t="s">
        <v>487</v>
      </c>
    </row>
    <row r="341" spans="1:2" x14ac:dyDescent="0.35">
      <c r="A341" s="1" t="s">
        <v>331</v>
      </c>
      <c r="B341" s="1" t="s">
        <v>496</v>
      </c>
    </row>
    <row r="342" spans="1:2" x14ac:dyDescent="0.35">
      <c r="A342" s="1" t="s">
        <v>712</v>
      </c>
      <c r="B342" s="1" t="s">
        <v>486</v>
      </c>
    </row>
    <row r="343" spans="1:2" x14ac:dyDescent="0.35">
      <c r="A343" s="1" t="s">
        <v>332</v>
      </c>
      <c r="B343" s="1" t="s">
        <v>472</v>
      </c>
    </row>
    <row r="344" spans="1:2" x14ac:dyDescent="0.35">
      <c r="A344" s="1" t="s">
        <v>333</v>
      </c>
      <c r="B344" s="1" t="s">
        <v>488</v>
      </c>
    </row>
    <row r="345" spans="1:2" x14ac:dyDescent="0.35">
      <c r="A345" s="1" t="s">
        <v>334</v>
      </c>
      <c r="B345" s="1" t="s">
        <v>472</v>
      </c>
    </row>
    <row r="346" spans="1:2" x14ac:dyDescent="0.35">
      <c r="A346" s="1" t="s">
        <v>335</v>
      </c>
      <c r="B346" s="1" t="s">
        <v>467</v>
      </c>
    </row>
    <row r="347" spans="1:2" x14ac:dyDescent="0.35">
      <c r="A347" s="1" t="s">
        <v>518</v>
      </c>
      <c r="B347" s="1" t="s">
        <v>476</v>
      </c>
    </row>
    <row r="348" spans="1:2" x14ac:dyDescent="0.35">
      <c r="A348" s="1" t="s">
        <v>564</v>
      </c>
      <c r="B348" s="1" t="s">
        <v>501</v>
      </c>
    </row>
    <row r="349" spans="1:2" x14ac:dyDescent="0.35">
      <c r="A349" s="1" t="s">
        <v>713</v>
      </c>
      <c r="B349" s="1" t="s">
        <v>474</v>
      </c>
    </row>
    <row r="350" spans="1:2" x14ac:dyDescent="0.35">
      <c r="A350" s="1" t="s">
        <v>336</v>
      </c>
      <c r="B350" s="1" t="s">
        <v>496</v>
      </c>
    </row>
    <row r="351" spans="1:2" x14ac:dyDescent="0.35">
      <c r="A351" s="1" t="s">
        <v>338</v>
      </c>
      <c r="B351" s="1" t="s">
        <v>499</v>
      </c>
    </row>
    <row r="352" spans="1:2" x14ac:dyDescent="0.35">
      <c r="A352" s="1" t="s">
        <v>339</v>
      </c>
      <c r="B352" s="1" t="s">
        <v>498</v>
      </c>
    </row>
    <row r="353" spans="1:2" x14ac:dyDescent="0.35">
      <c r="A353" s="1" t="s">
        <v>714</v>
      </c>
      <c r="B353" s="1" t="s">
        <v>473</v>
      </c>
    </row>
    <row r="354" spans="1:2" x14ac:dyDescent="0.35">
      <c r="A354" s="1" t="s">
        <v>341</v>
      </c>
      <c r="B354" s="1" t="s">
        <v>488</v>
      </c>
    </row>
    <row r="355" spans="1:2" x14ac:dyDescent="0.35">
      <c r="A355" s="1" t="s">
        <v>751</v>
      </c>
      <c r="B355" s="1" t="s">
        <v>489</v>
      </c>
    </row>
    <row r="356" spans="1:2" x14ac:dyDescent="0.35">
      <c r="A356" s="1" t="s">
        <v>672</v>
      </c>
      <c r="B356" s="1" t="s">
        <v>504</v>
      </c>
    </row>
    <row r="357" spans="1:2" x14ac:dyDescent="0.35">
      <c r="A357" s="1" t="s">
        <v>342</v>
      </c>
      <c r="B357" s="1" t="s">
        <v>467</v>
      </c>
    </row>
    <row r="358" spans="1:2" x14ac:dyDescent="0.35">
      <c r="A358" s="1" t="s">
        <v>454</v>
      </c>
      <c r="B358" s="1" t="s">
        <v>493</v>
      </c>
    </row>
    <row r="359" spans="1:2" x14ac:dyDescent="0.35">
      <c r="A359" s="1" t="s">
        <v>343</v>
      </c>
      <c r="B359" s="1" t="s">
        <v>467</v>
      </c>
    </row>
    <row r="360" spans="1:2" x14ac:dyDescent="0.35">
      <c r="A360" s="1" t="s">
        <v>344</v>
      </c>
      <c r="B360" s="1" t="s">
        <v>496</v>
      </c>
    </row>
    <row r="361" spans="1:2" x14ac:dyDescent="0.35">
      <c r="A361" s="1" t="s">
        <v>345</v>
      </c>
      <c r="B361" s="1" t="s">
        <v>504</v>
      </c>
    </row>
    <row r="362" spans="1:2" x14ac:dyDescent="0.35">
      <c r="A362" s="1" t="s">
        <v>715</v>
      </c>
      <c r="B362" s="1" t="s">
        <v>492</v>
      </c>
    </row>
    <row r="363" spans="1:2" x14ac:dyDescent="0.35">
      <c r="A363" s="1" t="s">
        <v>589</v>
      </c>
      <c r="B363" s="1" t="s">
        <v>490</v>
      </c>
    </row>
    <row r="364" spans="1:2" x14ac:dyDescent="0.35">
      <c r="A364" s="1" t="s">
        <v>347</v>
      </c>
      <c r="B364" s="1" t="s">
        <v>482</v>
      </c>
    </row>
    <row r="365" spans="1:2" x14ac:dyDescent="0.35">
      <c r="A365" s="1" t="s">
        <v>348</v>
      </c>
      <c r="B365" s="1" t="s">
        <v>490</v>
      </c>
    </row>
    <row r="366" spans="1:2" x14ac:dyDescent="0.35">
      <c r="A366" s="1" t="s">
        <v>519</v>
      </c>
      <c r="B366" s="1" t="s">
        <v>487</v>
      </c>
    </row>
    <row r="367" spans="1:2" x14ac:dyDescent="0.35">
      <c r="A367" s="1" t="s">
        <v>349</v>
      </c>
      <c r="B367" s="1" t="s">
        <v>492</v>
      </c>
    </row>
    <row r="368" spans="1:2" x14ac:dyDescent="0.35">
      <c r="A368" s="1" t="s">
        <v>350</v>
      </c>
      <c r="B368" s="1" t="s">
        <v>480</v>
      </c>
    </row>
    <row r="369" spans="1:2" x14ac:dyDescent="0.35">
      <c r="A369" s="1" t="s">
        <v>647</v>
      </c>
      <c r="B369" s="1" t="s">
        <v>480</v>
      </c>
    </row>
    <row r="370" spans="1:2" x14ac:dyDescent="0.35">
      <c r="A370" s="1" t="s">
        <v>351</v>
      </c>
      <c r="B370" s="1" t="s">
        <v>472</v>
      </c>
    </row>
    <row r="371" spans="1:2" x14ac:dyDescent="0.35">
      <c r="A371" s="1" t="s">
        <v>716</v>
      </c>
      <c r="B371" s="1" t="s">
        <v>471</v>
      </c>
    </row>
    <row r="372" spans="1:2" x14ac:dyDescent="0.35">
      <c r="A372" s="1" t="s">
        <v>354</v>
      </c>
      <c r="B372" s="1" t="s">
        <v>472</v>
      </c>
    </row>
    <row r="373" spans="1:2" x14ac:dyDescent="0.35">
      <c r="A373" s="1" t="s">
        <v>355</v>
      </c>
      <c r="B373" s="1" t="s">
        <v>498</v>
      </c>
    </row>
    <row r="374" spans="1:2" x14ac:dyDescent="0.35">
      <c r="A374" s="1" t="s">
        <v>520</v>
      </c>
      <c r="B374" s="1" t="s">
        <v>468</v>
      </c>
    </row>
    <row r="375" spans="1:2" x14ac:dyDescent="0.35">
      <c r="A375" s="1" t="s">
        <v>356</v>
      </c>
      <c r="B375" s="1" t="s">
        <v>500</v>
      </c>
    </row>
    <row r="376" spans="1:2" x14ac:dyDescent="0.35">
      <c r="A376" s="1" t="s">
        <v>717</v>
      </c>
      <c r="B376" s="1" t="s">
        <v>466</v>
      </c>
    </row>
    <row r="377" spans="1:2" x14ac:dyDescent="0.35">
      <c r="A377" s="1" t="s">
        <v>357</v>
      </c>
      <c r="B377" s="1" t="s">
        <v>490</v>
      </c>
    </row>
    <row r="378" spans="1:2" x14ac:dyDescent="0.35">
      <c r="A378" s="1" t="s">
        <v>630</v>
      </c>
      <c r="B378" s="1" t="s">
        <v>470</v>
      </c>
    </row>
    <row r="379" spans="1:2" x14ac:dyDescent="0.35">
      <c r="A379" s="1" t="s">
        <v>590</v>
      </c>
      <c r="B379" s="1" t="s">
        <v>504</v>
      </c>
    </row>
    <row r="380" spans="1:2" x14ac:dyDescent="0.35">
      <c r="A380" s="1" t="s">
        <v>591</v>
      </c>
      <c r="B380" s="1" t="s">
        <v>486</v>
      </c>
    </row>
    <row r="381" spans="1:2" x14ac:dyDescent="0.35">
      <c r="A381" s="1" t="s">
        <v>360</v>
      </c>
      <c r="B381" s="1" t="s">
        <v>479</v>
      </c>
    </row>
    <row r="382" spans="1:2" x14ac:dyDescent="0.35">
      <c r="A382" s="1" t="s">
        <v>361</v>
      </c>
      <c r="B382" s="1" t="s">
        <v>474</v>
      </c>
    </row>
    <row r="383" spans="1:2" x14ac:dyDescent="0.35">
      <c r="A383" s="1" t="s">
        <v>521</v>
      </c>
      <c r="B383" s="1" t="s">
        <v>484</v>
      </c>
    </row>
    <row r="384" spans="1:2" x14ac:dyDescent="0.35">
      <c r="A384" s="1" t="s">
        <v>362</v>
      </c>
      <c r="B384" s="1" t="s">
        <v>484</v>
      </c>
    </row>
    <row r="385" spans="1:2" x14ac:dyDescent="0.35">
      <c r="A385" s="1" t="s">
        <v>363</v>
      </c>
      <c r="B385" s="1" t="s">
        <v>478</v>
      </c>
    </row>
    <row r="386" spans="1:2" x14ac:dyDescent="0.35">
      <c r="A386" s="1" t="s">
        <v>522</v>
      </c>
      <c r="B386" s="1" t="s">
        <v>471</v>
      </c>
    </row>
    <row r="387" spans="1:2" x14ac:dyDescent="0.35">
      <c r="A387" s="1" t="s">
        <v>718</v>
      </c>
      <c r="B387" s="1" t="s">
        <v>499</v>
      </c>
    </row>
    <row r="388" spans="1:2" x14ac:dyDescent="0.35">
      <c r="A388" s="1" t="s">
        <v>719</v>
      </c>
      <c r="B388" s="1" t="s">
        <v>472</v>
      </c>
    </row>
    <row r="389" spans="1:2" x14ac:dyDescent="0.35">
      <c r="A389" s="1" t="s">
        <v>720</v>
      </c>
      <c r="B389" s="1" t="s">
        <v>482</v>
      </c>
    </row>
    <row r="390" spans="1:2" x14ac:dyDescent="0.35">
      <c r="A390" s="1" t="s">
        <v>364</v>
      </c>
      <c r="B390" s="1" t="s">
        <v>472</v>
      </c>
    </row>
    <row r="391" spans="1:2" x14ac:dyDescent="0.35">
      <c r="A391" s="1" t="s">
        <v>366</v>
      </c>
      <c r="B391" s="1" t="s">
        <v>489</v>
      </c>
    </row>
    <row r="392" spans="1:2" x14ac:dyDescent="0.35">
      <c r="A392" s="1" t="s">
        <v>367</v>
      </c>
      <c r="B392" s="1" t="s">
        <v>469</v>
      </c>
    </row>
    <row r="393" spans="1:2" x14ac:dyDescent="0.35">
      <c r="A393" s="1" t="s">
        <v>752</v>
      </c>
      <c r="B393" s="1" t="s">
        <v>500</v>
      </c>
    </row>
    <row r="394" spans="1:2" x14ac:dyDescent="0.35">
      <c r="A394" s="1" t="s">
        <v>368</v>
      </c>
      <c r="B394" s="1" t="s">
        <v>488</v>
      </c>
    </row>
    <row r="395" spans="1:2" x14ac:dyDescent="0.35">
      <c r="A395" s="1" t="s">
        <v>721</v>
      </c>
      <c r="B395" s="1" t="s">
        <v>481</v>
      </c>
    </row>
    <row r="396" spans="1:2" x14ac:dyDescent="0.35">
      <c r="A396" s="1" t="s">
        <v>369</v>
      </c>
      <c r="B396" s="1" t="s">
        <v>484</v>
      </c>
    </row>
    <row r="397" spans="1:2" x14ac:dyDescent="0.35">
      <c r="A397" s="1" t="s">
        <v>753</v>
      </c>
      <c r="B397" s="1" t="s">
        <v>481</v>
      </c>
    </row>
    <row r="398" spans="1:2" x14ac:dyDescent="0.35">
      <c r="A398" s="1" t="s">
        <v>370</v>
      </c>
      <c r="B398" s="1" t="s">
        <v>472</v>
      </c>
    </row>
    <row r="399" spans="1:2" x14ac:dyDescent="0.35">
      <c r="A399" s="1" t="s">
        <v>371</v>
      </c>
      <c r="B399" s="1" t="s">
        <v>467</v>
      </c>
    </row>
    <row r="400" spans="1:2" x14ac:dyDescent="0.35">
      <c r="A400" s="1" t="s">
        <v>372</v>
      </c>
      <c r="B400" s="1" t="s">
        <v>482</v>
      </c>
    </row>
    <row r="401" spans="1:2" x14ac:dyDescent="0.35">
      <c r="A401" s="1" t="s">
        <v>373</v>
      </c>
      <c r="B401" s="1" t="s">
        <v>487</v>
      </c>
    </row>
    <row r="402" spans="1:2" x14ac:dyDescent="0.35">
      <c r="A402" s="1" t="s">
        <v>374</v>
      </c>
      <c r="B402" s="1" t="s">
        <v>472</v>
      </c>
    </row>
    <row r="403" spans="1:2" x14ac:dyDescent="0.35">
      <c r="A403" s="1" t="s">
        <v>456</v>
      </c>
      <c r="B403" s="1" t="s">
        <v>466</v>
      </c>
    </row>
    <row r="404" spans="1:2" x14ac:dyDescent="0.35">
      <c r="A404" s="1" t="s">
        <v>375</v>
      </c>
      <c r="B404" s="1" t="s">
        <v>489</v>
      </c>
    </row>
    <row r="405" spans="1:2" x14ac:dyDescent="0.35">
      <c r="A405" s="1" t="s">
        <v>376</v>
      </c>
      <c r="B405" s="1" t="s">
        <v>498</v>
      </c>
    </row>
    <row r="406" spans="1:2" x14ac:dyDescent="0.35">
      <c r="A406" s="1" t="s">
        <v>377</v>
      </c>
      <c r="B406" s="1" t="s">
        <v>473</v>
      </c>
    </row>
    <row r="407" spans="1:2" x14ac:dyDescent="0.35">
      <c r="A407" s="1" t="s">
        <v>378</v>
      </c>
      <c r="B407" s="1" t="s">
        <v>481</v>
      </c>
    </row>
    <row r="408" spans="1:2" x14ac:dyDescent="0.35">
      <c r="A408" s="1" t="s">
        <v>379</v>
      </c>
      <c r="B408" s="1" t="s">
        <v>488</v>
      </c>
    </row>
    <row r="409" spans="1:2" x14ac:dyDescent="0.35">
      <c r="A409" s="1" t="s">
        <v>380</v>
      </c>
      <c r="B409" s="1" t="s">
        <v>488</v>
      </c>
    </row>
    <row r="410" spans="1:2" x14ac:dyDescent="0.35">
      <c r="A410" s="1" t="s">
        <v>381</v>
      </c>
      <c r="B410" s="1" t="s">
        <v>493</v>
      </c>
    </row>
    <row r="411" spans="1:2" x14ac:dyDescent="0.35">
      <c r="A411" s="1" t="s">
        <v>523</v>
      </c>
      <c r="B411" s="1" t="s">
        <v>468</v>
      </c>
    </row>
    <row r="412" spans="1:2" x14ac:dyDescent="0.35">
      <c r="A412" s="1" t="s">
        <v>382</v>
      </c>
      <c r="B412" s="1" t="s">
        <v>493</v>
      </c>
    </row>
    <row r="413" spans="1:2" x14ac:dyDescent="0.35">
      <c r="A413" s="1" t="s">
        <v>524</v>
      </c>
      <c r="B413" s="1" t="s">
        <v>480</v>
      </c>
    </row>
    <row r="414" spans="1:2" x14ac:dyDescent="0.35">
      <c r="A414" s="1" t="s">
        <v>525</v>
      </c>
      <c r="B414" s="1" t="s">
        <v>479</v>
      </c>
    </row>
    <row r="415" spans="1:2" x14ac:dyDescent="0.35">
      <c r="A415" s="1" t="s">
        <v>526</v>
      </c>
      <c r="B415" s="1" t="s">
        <v>475</v>
      </c>
    </row>
    <row r="416" spans="1:2" x14ac:dyDescent="0.35">
      <c r="A416" s="1" t="s">
        <v>384</v>
      </c>
      <c r="B416" s="1" t="s">
        <v>500</v>
      </c>
    </row>
    <row r="417" spans="1:2" x14ac:dyDescent="0.35">
      <c r="A417" s="1" t="s">
        <v>754</v>
      </c>
      <c r="B417" s="1" t="s">
        <v>492</v>
      </c>
    </row>
    <row r="418" spans="1:2" x14ac:dyDescent="0.35">
      <c r="A418" s="1" t="s">
        <v>386</v>
      </c>
      <c r="B418" s="1" t="s">
        <v>504</v>
      </c>
    </row>
    <row r="419" spans="1:2" x14ac:dyDescent="0.35">
      <c r="A419" s="1" t="s">
        <v>387</v>
      </c>
      <c r="B419" s="1" t="s">
        <v>471</v>
      </c>
    </row>
    <row r="420" spans="1:2" x14ac:dyDescent="0.35">
      <c r="A420" s="1" t="s">
        <v>388</v>
      </c>
      <c r="B420" s="1" t="s">
        <v>478</v>
      </c>
    </row>
    <row r="421" spans="1:2" x14ac:dyDescent="0.35">
      <c r="A421" s="1" t="s">
        <v>389</v>
      </c>
      <c r="B421" s="1" t="s">
        <v>467</v>
      </c>
    </row>
    <row r="422" spans="1:2" x14ac:dyDescent="0.35">
      <c r="A422" s="1" t="s">
        <v>390</v>
      </c>
      <c r="B422" s="1" t="s">
        <v>500</v>
      </c>
    </row>
    <row r="423" spans="1:2" x14ac:dyDescent="0.35">
      <c r="A423" s="1" t="s">
        <v>391</v>
      </c>
      <c r="B423" s="1" t="s">
        <v>476</v>
      </c>
    </row>
    <row r="424" spans="1:2" x14ac:dyDescent="0.35">
      <c r="A424" s="1" t="s">
        <v>755</v>
      </c>
      <c r="B424" s="1" t="s">
        <v>498</v>
      </c>
    </row>
    <row r="425" spans="1:2" x14ac:dyDescent="0.35">
      <c r="A425" s="1" t="s">
        <v>527</v>
      </c>
      <c r="B425" s="1" t="s">
        <v>490</v>
      </c>
    </row>
    <row r="426" spans="1:2" x14ac:dyDescent="0.35">
      <c r="A426" s="1" t="s">
        <v>392</v>
      </c>
      <c r="B426" s="1" t="s">
        <v>499</v>
      </c>
    </row>
    <row r="427" spans="1:2" x14ac:dyDescent="0.35">
      <c r="A427" s="1" t="s">
        <v>393</v>
      </c>
      <c r="B427" s="1" t="s">
        <v>472</v>
      </c>
    </row>
    <row r="428" spans="1:2" x14ac:dyDescent="0.35">
      <c r="A428" s="1" t="s">
        <v>394</v>
      </c>
      <c r="B428" s="1" t="s">
        <v>487</v>
      </c>
    </row>
    <row r="429" spans="1:2" x14ac:dyDescent="0.35">
      <c r="A429" s="1" t="s">
        <v>722</v>
      </c>
      <c r="B429" s="1" t="s">
        <v>480</v>
      </c>
    </row>
    <row r="430" spans="1:2" x14ac:dyDescent="0.35">
      <c r="A430" s="1" t="s">
        <v>395</v>
      </c>
      <c r="B430" s="1" t="s">
        <v>489</v>
      </c>
    </row>
    <row r="431" spans="1:2" x14ac:dyDescent="0.35">
      <c r="A431" s="1" t="s">
        <v>396</v>
      </c>
      <c r="B431" s="1" t="s">
        <v>472</v>
      </c>
    </row>
    <row r="432" spans="1:2" x14ac:dyDescent="0.35">
      <c r="A432" s="1" t="s">
        <v>723</v>
      </c>
      <c r="B432" s="1" t="s">
        <v>493</v>
      </c>
    </row>
    <row r="433" spans="1:2" x14ac:dyDescent="0.35">
      <c r="A433" s="1" t="s">
        <v>724</v>
      </c>
      <c r="B433" s="1" t="s">
        <v>504</v>
      </c>
    </row>
    <row r="434" spans="1:2" x14ac:dyDescent="0.35">
      <c r="A434" s="1" t="s">
        <v>756</v>
      </c>
      <c r="B434" s="1" t="s">
        <v>498</v>
      </c>
    </row>
    <row r="435" spans="1:2" x14ac:dyDescent="0.35">
      <c r="A435" s="1" t="s">
        <v>397</v>
      </c>
      <c r="B435" s="1" t="s">
        <v>467</v>
      </c>
    </row>
    <row r="436" spans="1:2" x14ac:dyDescent="0.35">
      <c r="A436" s="1" t="s">
        <v>398</v>
      </c>
      <c r="B436" s="1" t="s">
        <v>493</v>
      </c>
    </row>
    <row r="437" spans="1:2" x14ac:dyDescent="0.35">
      <c r="A437" s="1" t="s">
        <v>757</v>
      </c>
      <c r="B437" s="1" t="s">
        <v>501</v>
      </c>
    </row>
    <row r="438" spans="1:2" x14ac:dyDescent="0.35">
      <c r="A438" s="1" t="s">
        <v>400</v>
      </c>
      <c r="B438" s="1" t="s">
        <v>499</v>
      </c>
    </row>
    <row r="439" spans="1:2" x14ac:dyDescent="0.35">
      <c r="A439" s="1" t="s">
        <v>401</v>
      </c>
      <c r="B439" s="1" t="s">
        <v>499</v>
      </c>
    </row>
    <row r="440" spans="1:2" x14ac:dyDescent="0.35">
      <c r="A440" s="1" t="s">
        <v>402</v>
      </c>
      <c r="B440" s="1" t="s">
        <v>479</v>
      </c>
    </row>
    <row r="441" spans="1:2" x14ac:dyDescent="0.35">
      <c r="A441" s="1" t="s">
        <v>727</v>
      </c>
      <c r="B441" s="1" t="s">
        <v>484</v>
      </c>
    </row>
    <row r="442" spans="1:2" x14ac:dyDescent="0.35">
      <c r="A442" s="1" t="s">
        <v>403</v>
      </c>
      <c r="B442" s="1" t="s">
        <v>499</v>
      </c>
    </row>
    <row r="443" spans="1:2" x14ac:dyDescent="0.35">
      <c r="A443" s="1" t="s">
        <v>728</v>
      </c>
      <c r="B443" s="1" t="s">
        <v>501</v>
      </c>
    </row>
    <row r="444" spans="1:2" x14ac:dyDescent="0.35">
      <c r="A444" s="1" t="s">
        <v>405</v>
      </c>
      <c r="B444" s="1" t="s">
        <v>478</v>
      </c>
    </row>
    <row r="445" spans="1:2" x14ac:dyDescent="0.35">
      <c r="A445" s="1" t="s">
        <v>528</v>
      </c>
      <c r="B445" s="1" t="s">
        <v>490</v>
      </c>
    </row>
    <row r="446" spans="1:2" x14ac:dyDescent="0.35">
      <c r="A446" s="1" t="s">
        <v>406</v>
      </c>
      <c r="B446" s="1" t="s">
        <v>499</v>
      </c>
    </row>
    <row r="447" spans="1:2" x14ac:dyDescent="0.35">
      <c r="A447" s="1" t="s">
        <v>648</v>
      </c>
      <c r="B447" s="1" t="s">
        <v>469</v>
      </c>
    </row>
    <row r="448" spans="1:2" x14ac:dyDescent="0.35">
      <c r="A448" s="1" t="s">
        <v>407</v>
      </c>
      <c r="B448" s="1" t="s">
        <v>500</v>
      </c>
    </row>
    <row r="449" spans="1:2" x14ac:dyDescent="0.35">
      <c r="A449" s="1" t="s">
        <v>758</v>
      </c>
      <c r="B449" s="1" t="s">
        <v>470</v>
      </c>
    </row>
    <row r="450" spans="1:2" x14ac:dyDescent="0.35">
      <c r="A450" s="1" t="s">
        <v>759</v>
      </c>
      <c r="B450" s="1" t="s">
        <v>470</v>
      </c>
    </row>
    <row r="451" spans="1:2" x14ac:dyDescent="0.35">
      <c r="A451" s="1" t="s">
        <v>670</v>
      </c>
      <c r="B451" s="1" t="s">
        <v>472</v>
      </c>
    </row>
    <row r="452" spans="1:2" x14ac:dyDescent="0.35">
      <c r="A452" s="1" t="s">
        <v>458</v>
      </c>
      <c r="B452" s="1" t="s">
        <v>490</v>
      </c>
    </row>
    <row r="453" spans="1:2" x14ac:dyDescent="0.35">
      <c r="A453" s="1" t="s">
        <v>408</v>
      </c>
      <c r="B453" s="1" t="s">
        <v>488</v>
      </c>
    </row>
    <row r="454" spans="1:2" x14ac:dyDescent="0.35">
      <c r="A454" s="1" t="s">
        <v>592</v>
      </c>
      <c r="B454" s="1" t="s">
        <v>476</v>
      </c>
    </row>
    <row r="455" spans="1:2" x14ac:dyDescent="0.35">
      <c r="A455" s="1" t="s">
        <v>411</v>
      </c>
      <c r="B455" s="1" t="s">
        <v>501</v>
      </c>
    </row>
    <row r="456" spans="1:2" x14ac:dyDescent="0.35">
      <c r="A456" s="1" t="s">
        <v>414</v>
      </c>
      <c r="B456" s="1" t="s">
        <v>493</v>
      </c>
    </row>
    <row r="457" spans="1:2" x14ac:dyDescent="0.35">
      <c r="A457" s="1" t="s">
        <v>530</v>
      </c>
      <c r="B457" s="1" t="s">
        <v>470</v>
      </c>
    </row>
    <row r="458" spans="1:2" x14ac:dyDescent="0.35">
      <c r="A458" s="1" t="s">
        <v>415</v>
      </c>
      <c r="B458" s="1" t="s">
        <v>479</v>
      </c>
    </row>
    <row r="459" spans="1:2" x14ac:dyDescent="0.35">
      <c r="A459" s="1" t="s">
        <v>417</v>
      </c>
      <c r="B459" s="1" t="s">
        <v>478</v>
      </c>
    </row>
    <row r="460" spans="1:2" x14ac:dyDescent="0.35">
      <c r="A460" s="1" t="s">
        <v>416</v>
      </c>
      <c r="B460" s="1" t="s">
        <v>488</v>
      </c>
    </row>
    <row r="461" spans="1:2" x14ac:dyDescent="0.35">
      <c r="A461" s="1" t="s">
        <v>729</v>
      </c>
      <c r="B461" s="1" t="s">
        <v>468</v>
      </c>
    </row>
    <row r="462" spans="1:2" x14ac:dyDescent="0.35">
      <c r="A462" s="1" t="s">
        <v>459</v>
      </c>
      <c r="B462" s="1" t="s">
        <v>467</v>
      </c>
    </row>
    <row r="463" spans="1:2" x14ac:dyDescent="0.35">
      <c r="A463" s="1" t="s">
        <v>531</v>
      </c>
      <c r="B463" s="1" t="s">
        <v>473</v>
      </c>
    </row>
    <row r="464" spans="1:2" x14ac:dyDescent="0.35">
      <c r="A464" s="1" t="s">
        <v>419</v>
      </c>
      <c r="B464" s="1" t="s">
        <v>504</v>
      </c>
    </row>
    <row r="465" spans="1:2" x14ac:dyDescent="0.35">
      <c r="A465" s="1" t="s">
        <v>593</v>
      </c>
      <c r="B465" s="1" t="s">
        <v>487</v>
      </c>
    </row>
    <row r="466" spans="1:2" x14ac:dyDescent="0.35">
      <c r="A466" s="1" t="s">
        <v>420</v>
      </c>
      <c r="B466" s="1" t="s">
        <v>499</v>
      </c>
    </row>
    <row r="467" spans="1:2" x14ac:dyDescent="0.35">
      <c r="A467" s="1" t="s">
        <v>421</v>
      </c>
      <c r="B467" s="1" t="s">
        <v>468</v>
      </c>
    </row>
    <row r="468" spans="1:2" x14ac:dyDescent="0.35">
      <c r="A468" s="1" t="s">
        <v>532</v>
      </c>
      <c r="B468" s="1" t="s">
        <v>501</v>
      </c>
    </row>
    <row r="469" spans="1:2" x14ac:dyDescent="0.35">
      <c r="A469" s="1" t="s">
        <v>422</v>
      </c>
      <c r="B469" s="1" t="s">
        <v>490</v>
      </c>
    </row>
    <row r="470" spans="1:2" x14ac:dyDescent="0.35">
      <c r="A470" s="1" t="s">
        <v>423</v>
      </c>
      <c r="B470" s="1" t="s">
        <v>493</v>
      </c>
    </row>
    <row r="471" spans="1:2" x14ac:dyDescent="0.35">
      <c r="A471" s="1" t="s">
        <v>460</v>
      </c>
      <c r="B471" s="1" t="s">
        <v>481</v>
      </c>
    </row>
    <row r="472" spans="1:2" x14ac:dyDescent="0.35">
      <c r="A472" s="1" t="s">
        <v>424</v>
      </c>
      <c r="B472" s="1" t="s">
        <v>478</v>
      </c>
    </row>
    <row r="473" spans="1:2" x14ac:dyDescent="0.35">
      <c r="A473" s="1" t="s">
        <v>425</v>
      </c>
      <c r="B473" s="1" t="s">
        <v>499</v>
      </c>
    </row>
    <row r="474" spans="1:2" x14ac:dyDescent="0.35">
      <c r="A474" s="1" t="s">
        <v>426</v>
      </c>
      <c r="B474" s="1" t="s">
        <v>478</v>
      </c>
    </row>
    <row r="475" spans="1:2" x14ac:dyDescent="0.35">
      <c r="A475" s="1" t="s">
        <v>461</v>
      </c>
      <c r="B475" s="1" t="s">
        <v>468</v>
      </c>
    </row>
    <row r="476" spans="1:2" x14ac:dyDescent="0.35">
      <c r="A476" s="1" t="s">
        <v>427</v>
      </c>
      <c r="B476" s="1" t="s">
        <v>487</v>
      </c>
    </row>
    <row r="477" spans="1:2" x14ac:dyDescent="0.35">
      <c r="A477" s="1" t="s">
        <v>428</v>
      </c>
      <c r="B477" s="1" t="s">
        <v>479</v>
      </c>
    </row>
    <row r="478" spans="1:2" x14ac:dyDescent="0.35">
      <c r="A478" s="1" t="s">
        <v>429</v>
      </c>
      <c r="B478" s="1" t="s">
        <v>468</v>
      </c>
    </row>
    <row r="479" spans="1:2" x14ac:dyDescent="0.35">
      <c r="A479" s="1" t="s">
        <v>430</v>
      </c>
      <c r="B479" s="1" t="s">
        <v>482</v>
      </c>
    </row>
    <row r="480" spans="1:2" x14ac:dyDescent="0.35">
      <c r="A480" s="1" t="s">
        <v>760</v>
      </c>
      <c r="B480" s="1" t="s">
        <v>486</v>
      </c>
    </row>
    <row r="481" spans="1:2" x14ac:dyDescent="0.35">
      <c r="A481" s="1" t="s">
        <v>431</v>
      </c>
      <c r="B481" s="1" t="s">
        <v>490</v>
      </c>
    </row>
    <row r="482" spans="1:2" x14ac:dyDescent="0.35">
      <c r="A482" s="1" t="s">
        <v>432</v>
      </c>
      <c r="B482" s="1" t="s">
        <v>499</v>
      </c>
    </row>
    <row r="483" spans="1:2" x14ac:dyDescent="0.35">
      <c r="A483" s="1" t="s">
        <v>434</v>
      </c>
      <c r="B483" s="1" t="s">
        <v>466</v>
      </c>
    </row>
    <row r="484" spans="1:2" x14ac:dyDescent="0.35">
      <c r="A484" s="1" t="s">
        <v>435</v>
      </c>
      <c r="B484" s="1" t="s">
        <v>492</v>
      </c>
    </row>
    <row r="485" spans="1:2" x14ac:dyDescent="0.35">
      <c r="A485" s="1" t="s">
        <v>730</v>
      </c>
      <c r="B485" s="1" t="s">
        <v>479</v>
      </c>
    </row>
    <row r="486" spans="1:2" x14ac:dyDescent="0.35">
      <c r="A486" s="1" t="s">
        <v>437</v>
      </c>
      <c r="B486" s="1" t="s">
        <v>499</v>
      </c>
    </row>
    <row r="487" spans="1:2" x14ac:dyDescent="0.35">
      <c r="A487" s="1" t="s">
        <v>439</v>
      </c>
      <c r="B487" s="1" t="s">
        <v>469</v>
      </c>
    </row>
    <row r="488" spans="1:2" x14ac:dyDescent="0.35">
      <c r="A488" s="1" t="s">
        <v>440</v>
      </c>
      <c r="B488" s="1" t="s">
        <v>474</v>
      </c>
    </row>
    <row r="489" spans="1:2" x14ac:dyDescent="0.35">
      <c r="A489" s="1" t="s">
        <v>533</v>
      </c>
      <c r="B489" s="1" t="s">
        <v>504</v>
      </c>
    </row>
    <row r="490" spans="1:2" x14ac:dyDescent="0.35">
      <c r="A490" s="1" t="s">
        <v>441</v>
      </c>
      <c r="B490" s="1" t="s">
        <v>470</v>
      </c>
    </row>
    <row r="491" spans="1:2" x14ac:dyDescent="0.35">
      <c r="A491" s="1" t="s">
        <v>761</v>
      </c>
      <c r="B491" s="1" t="s">
        <v>487</v>
      </c>
    </row>
    <row r="492" spans="1:2" x14ac:dyDescent="0.35">
      <c r="A492" s="1" t="s">
        <v>666</v>
      </c>
      <c r="B492" s="1" t="s">
        <v>490</v>
      </c>
    </row>
    <row r="493" spans="1:2" x14ac:dyDescent="0.35">
      <c r="A493" s="1" t="s">
        <v>442</v>
      </c>
      <c r="B493" s="1" t="s">
        <v>501</v>
      </c>
    </row>
    <row r="494" spans="1:2" x14ac:dyDescent="0.35">
      <c r="A494" s="1" t="s">
        <v>762</v>
      </c>
      <c r="B494" s="1" t="s">
        <v>482</v>
      </c>
    </row>
    <row r="495" spans="1:2" x14ac:dyDescent="0.35">
      <c r="A495" s="1" t="s">
        <v>443</v>
      </c>
      <c r="B495" s="1" t="s">
        <v>498</v>
      </c>
    </row>
    <row r="496" spans="1:2" x14ac:dyDescent="0.35">
      <c r="A496" s="1" t="s">
        <v>444</v>
      </c>
      <c r="B496" s="1" t="s">
        <v>479</v>
      </c>
    </row>
    <row r="497" spans="1:2" x14ac:dyDescent="0.35">
      <c r="A497" s="1" t="s">
        <v>445</v>
      </c>
      <c r="B497" s="1" t="s">
        <v>489</v>
      </c>
    </row>
    <row r="498" spans="1:2" x14ac:dyDescent="0.35">
      <c r="A498" s="1" t="s">
        <v>446</v>
      </c>
      <c r="B498" s="1" t="s">
        <v>481</v>
      </c>
    </row>
    <row r="499" spans="1:2" x14ac:dyDescent="0.35">
      <c r="A499" s="1" t="s">
        <v>447</v>
      </c>
      <c r="B499" s="1" t="s">
        <v>492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FD3F5-F21A-4D2F-ABC9-1E12BC461DC2}">
  <sheetPr codeName="Sheet2"/>
  <dimension ref="A1:AQ521"/>
  <sheetViews>
    <sheetView topLeftCell="A220" zoomScale="67" zoomScaleNormal="70" workbookViewId="0">
      <selection activeCell="D217" sqref="D217"/>
    </sheetView>
  </sheetViews>
  <sheetFormatPr defaultRowHeight="23.5" x14ac:dyDescent="0.55000000000000004"/>
  <cols>
    <col min="1" max="1" width="6.36328125" style="9" bestFit="1" customWidth="1"/>
    <col min="2" max="2" width="8.453125" style="9" bestFit="1" customWidth="1"/>
    <col min="3" max="3" width="8.90625" style="9" customWidth="1"/>
    <col min="4" max="4" width="29.54296875" style="10" bestFit="1" customWidth="1"/>
    <col min="5" max="5" width="4.7265625" style="10" customWidth="1"/>
    <col min="6" max="6" width="6.7265625" style="10" bestFit="1" customWidth="1"/>
    <col min="7" max="7" width="3.81640625" style="11" bestFit="1" customWidth="1"/>
    <col min="8" max="8" width="6.453125" style="11" bestFit="1" customWidth="1"/>
    <col min="9" max="9" width="5.36328125" style="11" hidden="1" customWidth="1"/>
    <col min="10" max="10" width="6" style="11" hidden="1" customWidth="1"/>
    <col min="11" max="11" width="4.08984375" style="11" hidden="1" customWidth="1"/>
    <col min="12" max="12" width="5.08984375" style="11" hidden="1" customWidth="1"/>
    <col min="13" max="13" width="6" style="11" hidden="1" customWidth="1"/>
    <col min="14" max="14" width="5.1796875" style="11" hidden="1" customWidth="1"/>
    <col min="15" max="15" width="5.08984375" style="11" hidden="1" customWidth="1"/>
    <col min="16" max="16" width="4.54296875" style="11" hidden="1" customWidth="1"/>
    <col min="17" max="17" width="4.90625" style="11" hidden="1" customWidth="1"/>
    <col min="18" max="18" width="5.54296875" style="11" hidden="1" customWidth="1"/>
    <col min="19" max="19" width="5.08984375" style="11" hidden="1" customWidth="1"/>
    <col min="20" max="20" width="7" style="11" bestFit="1" customWidth="1"/>
    <col min="21" max="21" width="6.6328125" style="11" bestFit="1" customWidth="1"/>
    <col min="22" max="25" width="6.453125" style="11" bestFit="1" customWidth="1"/>
    <col min="26" max="26" width="6.453125" style="11" customWidth="1"/>
    <col min="27" max="28" width="6.453125" style="11" bestFit="1" customWidth="1"/>
    <col min="29" max="29" width="7.08984375" style="12" bestFit="1" customWidth="1"/>
    <col min="30" max="30" width="7.08984375" style="9" bestFit="1" customWidth="1"/>
    <col min="31" max="31" width="8.90625" style="9" customWidth="1"/>
    <col min="32" max="16384" width="8.7265625" style="9"/>
  </cols>
  <sheetData>
    <row r="1" spans="1:43" s="13" customFormat="1" ht="26" x14ac:dyDescent="0.35">
      <c r="A1" s="15" t="s">
        <v>649</v>
      </c>
      <c r="B1" s="15" t="s">
        <v>653</v>
      </c>
      <c r="C1" s="15" t="s">
        <v>651</v>
      </c>
      <c r="D1" s="15" t="s">
        <v>0</v>
      </c>
      <c r="E1" s="16" t="s">
        <v>1</v>
      </c>
      <c r="F1" s="16" t="s">
        <v>2</v>
      </c>
      <c r="G1" s="17" t="s">
        <v>3</v>
      </c>
      <c r="H1" s="17" t="s">
        <v>4</v>
      </c>
      <c r="I1" s="17" t="s">
        <v>5</v>
      </c>
      <c r="J1" s="17" t="s">
        <v>6</v>
      </c>
      <c r="K1" s="17" t="s">
        <v>7</v>
      </c>
      <c r="L1" s="17" t="s">
        <v>8</v>
      </c>
      <c r="M1" s="17" t="s">
        <v>9</v>
      </c>
      <c r="N1" s="17" t="s">
        <v>10</v>
      </c>
      <c r="O1" s="17" t="s">
        <v>11</v>
      </c>
      <c r="P1" s="17" t="s">
        <v>12</v>
      </c>
      <c r="Q1" s="17" t="s">
        <v>13</v>
      </c>
      <c r="R1" s="17" t="s">
        <v>14</v>
      </c>
      <c r="S1" s="18" t="s">
        <v>16</v>
      </c>
      <c r="T1" s="19" t="s">
        <v>631</v>
      </c>
      <c r="U1" s="19" t="s">
        <v>632</v>
      </c>
      <c r="V1" s="19" t="s">
        <v>540</v>
      </c>
      <c r="W1" s="19" t="s">
        <v>537</v>
      </c>
      <c r="X1" s="19" t="s">
        <v>541</v>
      </c>
      <c r="Y1" s="19" t="s">
        <v>536</v>
      </c>
      <c r="Z1" s="19" t="s">
        <v>538</v>
      </c>
      <c r="AA1" s="19" t="s">
        <v>539</v>
      </c>
      <c r="AB1" s="19" t="s">
        <v>542</v>
      </c>
      <c r="AC1" s="19" t="s">
        <v>633</v>
      </c>
      <c r="AD1" s="20" t="s">
        <v>650</v>
      </c>
      <c r="AE1" s="20" t="s">
        <v>651</v>
      </c>
      <c r="AG1" s="72" t="s">
        <v>652</v>
      </c>
      <c r="AH1" s="72"/>
      <c r="AI1" s="72"/>
      <c r="AJ1" s="72"/>
      <c r="AK1" s="72"/>
      <c r="AL1" s="72"/>
    </row>
    <row r="2" spans="1:43" x14ac:dyDescent="0.55000000000000004">
      <c r="A2">
        <v>1</v>
      </c>
      <c r="B2">
        <f>ROW()-1</f>
        <v>1</v>
      </c>
      <c r="C2">
        <f>A2-B2</f>
        <v>0</v>
      </c>
      <c r="D2" t="s">
        <v>612</v>
      </c>
      <c r="E2" t="s">
        <v>25</v>
      </c>
      <c r="F2" t="s">
        <v>43</v>
      </c>
      <c r="G2">
        <v>10</v>
      </c>
      <c r="H2">
        <v>34.5</v>
      </c>
      <c r="I2">
        <v>20.8</v>
      </c>
      <c r="J2">
        <v>0.47599999999999998</v>
      </c>
      <c r="K2">
        <v>4.9000000000000004</v>
      </c>
      <c r="L2">
        <v>3.9</v>
      </c>
      <c r="M2">
        <v>0.872</v>
      </c>
      <c r="N2">
        <v>4.0999999999999996</v>
      </c>
      <c r="O2">
        <v>5</v>
      </c>
      <c r="P2">
        <v>1.6</v>
      </c>
      <c r="Q2">
        <v>0.3</v>
      </c>
      <c r="R2">
        <v>1.1000000000000001</v>
      </c>
      <c r="S2">
        <v>28.1</v>
      </c>
      <c r="T2" s="14">
        <f>(J2 - AVERAGE(FG_Range))*I2</f>
        <v>0.35802388059701384</v>
      </c>
      <c r="U2" s="14">
        <f>(M2 - AVERAGE(FT_RANGE))*L2</f>
        <v>0.42458098859315396</v>
      </c>
      <c r="V2" s="14">
        <f>(K2 - AVERAGE(Three_Range))/STDEV(Three_Range)</f>
        <v>3.5183994313300762</v>
      </c>
      <c r="W2" s="14">
        <f>(S2 - AVERAGE(Pts_Range))/STDEV(Pts_Range)</f>
        <v>2.4557193972970111</v>
      </c>
      <c r="X2" s="14">
        <f>(N2 - AVERAGE(Reb_Range))/STDEV(Reb_Range)</f>
        <v>-0.28114972403189165</v>
      </c>
      <c r="Y2" s="14">
        <f>(O2 - AVERAGE(Ast_Range))/STDEV(Ast_Range)</f>
        <v>1.0676911122797357</v>
      </c>
      <c r="Z2" s="14">
        <f>(P2 - AVERAGE(Stl_Range))/STDEV(Stl_Range)</f>
        <v>1.5975759963611886</v>
      </c>
      <c r="AA2" s="14">
        <f>(Q2 - AVERAGE(Blk_Range))/STDEV(Blk_Range)</f>
        <v>-0.4417931440709813</v>
      </c>
      <c r="AB2" s="14">
        <f>(R2 - AVERAGE(Tov_Range))/STDEV(Tov_Range)*-1</f>
        <v>0.50302318585149519</v>
      </c>
      <c r="AC2" s="14">
        <f>SUM(T2:AB2)</f>
        <v>9.2020711242068014</v>
      </c>
      <c r="AD2" s="14">
        <v>9.202071124206789</v>
      </c>
      <c r="AE2" s="14">
        <f>AD2-AC2</f>
        <v>0</v>
      </c>
      <c r="AF2"/>
      <c r="AG2"/>
      <c r="AH2"/>
      <c r="AI2"/>
      <c r="AJ2"/>
      <c r="AK2"/>
      <c r="AL2"/>
      <c r="AM2"/>
      <c r="AN2"/>
      <c r="AO2"/>
      <c r="AP2"/>
      <c r="AQ2"/>
    </row>
    <row r="3" spans="1:43" x14ac:dyDescent="0.55000000000000004">
      <c r="A3">
        <v>2</v>
      </c>
      <c r="B3" s="7">
        <f t="shared" ref="B3:B66" si="0">ROW()-1</f>
        <v>2</v>
      </c>
      <c r="C3" s="7">
        <f t="shared" ref="C3:C66" si="1">A3-B3</f>
        <v>0</v>
      </c>
      <c r="D3" t="s">
        <v>608</v>
      </c>
      <c r="E3" t="s">
        <v>18</v>
      </c>
      <c r="F3" t="s">
        <v>59</v>
      </c>
      <c r="G3">
        <v>11</v>
      </c>
      <c r="H3">
        <v>35</v>
      </c>
      <c r="I3">
        <v>15.6</v>
      </c>
      <c r="J3">
        <v>0.57599999999999996</v>
      </c>
      <c r="K3">
        <v>1.3</v>
      </c>
      <c r="L3">
        <v>6.1</v>
      </c>
      <c r="M3">
        <v>0.82099999999999995</v>
      </c>
      <c r="N3">
        <v>10.9</v>
      </c>
      <c r="O3">
        <v>10.5</v>
      </c>
      <c r="P3">
        <v>1.8</v>
      </c>
      <c r="Q3">
        <v>0.5</v>
      </c>
      <c r="R3">
        <v>4.2</v>
      </c>
      <c r="S3">
        <v>24.3</v>
      </c>
      <c r="T3" s="14">
        <f>(J3 - AVERAGE(FG_Range))*I3</f>
        <v>1.82851791044776</v>
      </c>
      <c r="U3" s="14">
        <f>(M3 - AVERAGE(FT_RANGE))*L3</f>
        <v>0.35298821292775334</v>
      </c>
      <c r="V3" s="14">
        <f>(K3 - AVERAGE(Three_Range))/STDEV(Three_Range)</f>
        <v>-0.18017517244771702</v>
      </c>
      <c r="W3" s="14">
        <f>(S3 - AVERAGE(Pts_Range))/STDEV(Pts_Range)</f>
        <v>1.8477445257260183</v>
      </c>
      <c r="X3" s="14">
        <f>(N3 - AVERAGE(Reb_Range))/STDEV(Reb_Range)</f>
        <v>2.3681122050049326</v>
      </c>
      <c r="Y3" s="14">
        <f>(O3 - AVERAGE(Ast_Range))/STDEV(Ast_Range)</f>
        <v>3.7464599624930637</v>
      </c>
      <c r="Z3" s="14">
        <f>(P3 - AVERAGE(Stl_Range))/STDEV(Stl_Range)</f>
        <v>2.0261549423319578</v>
      </c>
      <c r="AA3" s="14">
        <f>(Q3 - AVERAGE(Blk_Range))/STDEV(Blk_Range)</f>
        <v>-7.2944039363743871E-2</v>
      </c>
      <c r="AB3" s="14">
        <f>(R3 - AVERAGE(Tov_Range))/STDEV(Tov_Range)*-1</f>
        <v>-2.7441536813235037</v>
      </c>
      <c r="AC3" s="14">
        <f>SUM(T3:AB3)</f>
        <v>9.172704865796522</v>
      </c>
      <c r="AD3" s="14">
        <v>9.1727048657965202</v>
      </c>
      <c r="AE3" s="14">
        <f>AD3-AC3</f>
        <v>0</v>
      </c>
      <c r="AF3"/>
      <c r="AG3"/>
      <c r="AH3"/>
      <c r="AI3"/>
      <c r="AJ3"/>
      <c r="AK3"/>
      <c r="AL3"/>
      <c r="AM3"/>
      <c r="AN3"/>
      <c r="AO3"/>
      <c r="AP3"/>
      <c r="AQ3"/>
    </row>
    <row r="4" spans="1:43" x14ac:dyDescent="0.55000000000000004">
      <c r="A4">
        <v>3</v>
      </c>
      <c r="B4" s="7">
        <f t="shared" si="0"/>
        <v>3</v>
      </c>
      <c r="C4" s="7">
        <f t="shared" si="1"/>
        <v>0</v>
      </c>
      <c r="D4" t="s">
        <v>408</v>
      </c>
      <c r="E4" t="s">
        <v>18</v>
      </c>
      <c r="F4" t="s">
        <v>61</v>
      </c>
      <c r="G4">
        <v>3</v>
      </c>
      <c r="H4">
        <v>32.299999999999997</v>
      </c>
      <c r="I4">
        <v>15.3</v>
      </c>
      <c r="J4">
        <v>0.45700000000000002</v>
      </c>
      <c r="K4">
        <v>1.7</v>
      </c>
      <c r="L4">
        <v>5.7</v>
      </c>
      <c r="M4">
        <v>0.94099999999999995</v>
      </c>
      <c r="N4">
        <v>12</v>
      </c>
      <c r="O4">
        <v>4.7</v>
      </c>
      <c r="P4">
        <v>0.7</v>
      </c>
      <c r="Q4">
        <v>3</v>
      </c>
      <c r="R4">
        <v>3</v>
      </c>
      <c r="S4">
        <v>21</v>
      </c>
      <c r="T4" s="14">
        <f>(J4 - AVERAGE(FG_Range))*I4</f>
        <v>-2.734589552238828E-2</v>
      </c>
      <c r="U4" s="14">
        <f>(M4 - AVERAGE(FT_RANGE))*L4</f>
        <v>1.0138414448669171</v>
      </c>
      <c r="V4" s="14">
        <f>(K4 - AVERAGE(Three_Range))/STDEV(Three_Range)</f>
        <v>0.230777561305371</v>
      </c>
      <c r="W4" s="14">
        <f>(S4 - AVERAGE(Pts_Range))/STDEV(Pts_Range)</f>
        <v>1.3197663477827879</v>
      </c>
      <c r="X4" s="14">
        <f>(N4 - AVERAGE(Reb_Range))/STDEV(Reb_Range)</f>
        <v>2.7966692817608889</v>
      </c>
      <c r="Y4" s="14">
        <f>(O4 - AVERAGE(Ast_Range))/STDEV(Ast_Range)</f>
        <v>0.92157644772264513</v>
      </c>
      <c r="Z4" s="14">
        <f>(P4 - AVERAGE(Stl_Range))/STDEV(Stl_Range)</f>
        <v>-0.33102926050727299</v>
      </c>
      <c r="AA4" s="14">
        <f>(Q4 - AVERAGE(Blk_Range))/STDEV(Blk_Range)</f>
        <v>4.5376697694767234</v>
      </c>
      <c r="AB4" s="14">
        <f>(R4 - AVERAGE(Tov_Range))/STDEV(Tov_Range)*-1</f>
        <v>-1.4871819908041493</v>
      </c>
      <c r="AC4" s="14">
        <f>SUM(T4:AB4)</f>
        <v>8.9747437060815223</v>
      </c>
      <c r="AD4" s="14">
        <v>8.9747437060815169</v>
      </c>
      <c r="AE4" s="14">
        <f>AD4-AC4</f>
        <v>0</v>
      </c>
      <c r="AF4"/>
      <c r="AG4"/>
      <c r="AH4"/>
      <c r="AI4"/>
      <c r="AJ4"/>
      <c r="AK4"/>
      <c r="AL4"/>
      <c r="AM4"/>
      <c r="AN4"/>
      <c r="AO4"/>
      <c r="AP4"/>
      <c r="AQ4"/>
    </row>
    <row r="5" spans="1:43" x14ac:dyDescent="0.55000000000000004">
      <c r="A5">
        <v>4</v>
      </c>
      <c r="B5" s="7">
        <f t="shared" si="0"/>
        <v>4</v>
      </c>
      <c r="C5" s="7">
        <f t="shared" si="1"/>
        <v>0</v>
      </c>
      <c r="D5" t="s">
        <v>230</v>
      </c>
      <c r="E5" t="s">
        <v>46</v>
      </c>
      <c r="F5" t="s">
        <v>30</v>
      </c>
      <c r="G5">
        <v>7</v>
      </c>
      <c r="H5">
        <v>33</v>
      </c>
      <c r="I5">
        <v>20.100000000000001</v>
      </c>
      <c r="J5">
        <v>0.504</v>
      </c>
      <c r="K5">
        <v>3.7</v>
      </c>
      <c r="L5">
        <v>3.1</v>
      </c>
      <c r="M5">
        <v>1</v>
      </c>
      <c r="N5">
        <v>5.3</v>
      </c>
      <c r="O5">
        <v>6.1</v>
      </c>
      <c r="P5">
        <v>1.6</v>
      </c>
      <c r="Q5">
        <v>0.3</v>
      </c>
      <c r="R5">
        <v>2.1</v>
      </c>
      <c r="S5">
        <v>27.1</v>
      </c>
      <c r="T5" s="14">
        <f>(J5 - AVERAGE(FG_Range))*I5</f>
        <v>0.90877499999999944</v>
      </c>
      <c r="U5" s="14">
        <f>(M5 - AVERAGE(FT_RANGE))*L5</f>
        <v>0.73428745247148142</v>
      </c>
      <c r="V5" s="14">
        <f>(K5 - AVERAGE(Three_Range))/STDEV(Three_Range)</f>
        <v>2.285541230070812</v>
      </c>
      <c r="W5" s="14">
        <f>(S5 - AVERAGE(Pts_Range))/STDEV(Pts_Range)</f>
        <v>2.2957260100414865</v>
      </c>
      <c r="X5" s="14">
        <f>(N5 - AVERAGE(Reb_Range))/STDEV(Reb_Range)</f>
        <v>0.18636708697460674</v>
      </c>
      <c r="Y5" s="14">
        <f>(O5 - AVERAGE(Ast_Range))/STDEV(Ast_Range)</f>
        <v>1.6034448823224012</v>
      </c>
      <c r="Z5" s="14">
        <f>(P5 - AVERAGE(Stl_Range))/STDEV(Stl_Range)</f>
        <v>1.5975759963611886</v>
      </c>
      <c r="AA5" s="14">
        <f>(Q5 - AVERAGE(Blk_Range))/STDEV(Blk_Range)</f>
        <v>-0.4417931440709813</v>
      </c>
      <c r="AB5" s="14">
        <f>(R5 - AVERAGE(Tov_Range))/STDEV(Tov_Range)*-1</f>
        <v>-0.54445322291463361</v>
      </c>
      <c r="AC5" s="14">
        <f>SUM(T5:AB5)</f>
        <v>8.6254712912563605</v>
      </c>
      <c r="AD5" s="14">
        <v>8.6254712912563534</v>
      </c>
      <c r="AE5" s="14">
        <f>AD5-AC5</f>
        <v>0</v>
      </c>
      <c r="AF5"/>
      <c r="AG5"/>
      <c r="AH5"/>
      <c r="AI5"/>
      <c r="AJ5"/>
      <c r="AK5"/>
      <c r="AL5"/>
      <c r="AM5"/>
      <c r="AN5"/>
      <c r="AO5"/>
      <c r="AP5"/>
      <c r="AQ5"/>
    </row>
    <row r="6" spans="1:43" x14ac:dyDescent="0.55000000000000004">
      <c r="A6">
        <v>5</v>
      </c>
      <c r="B6" s="7">
        <f t="shared" si="0"/>
        <v>5</v>
      </c>
      <c r="C6" s="7">
        <f t="shared" si="1"/>
        <v>0</v>
      </c>
      <c r="D6" t="s">
        <v>149</v>
      </c>
      <c r="E6" t="s">
        <v>18</v>
      </c>
      <c r="F6" t="s">
        <v>80</v>
      </c>
      <c r="G6">
        <v>10</v>
      </c>
      <c r="H6">
        <v>32</v>
      </c>
      <c r="I6">
        <v>16</v>
      </c>
      <c r="J6">
        <v>0.54400000000000004</v>
      </c>
      <c r="K6">
        <v>1.2</v>
      </c>
      <c r="L6">
        <v>9.3000000000000007</v>
      </c>
      <c r="M6">
        <v>0.86</v>
      </c>
      <c r="N6">
        <v>12.1</v>
      </c>
      <c r="O6">
        <v>3.1</v>
      </c>
      <c r="P6">
        <v>1.4</v>
      </c>
      <c r="Q6">
        <v>1.6</v>
      </c>
      <c r="R6">
        <v>3.2</v>
      </c>
      <c r="S6">
        <v>26.6</v>
      </c>
      <c r="T6" s="14">
        <f>(J6 - AVERAGE(FG_Range))*I6</f>
        <v>1.363402985074627</v>
      </c>
      <c r="U6" s="14">
        <f>(M6 - AVERAGE(FT_RANGE))*L6</f>
        <v>0.90086235741444409</v>
      </c>
      <c r="V6" s="14">
        <f>(K6 - AVERAGE(Three_Range))/STDEV(Three_Range)</f>
        <v>-0.28291335588598915</v>
      </c>
      <c r="W6" s="14">
        <f>(S6 - AVERAGE(Pts_Range))/STDEV(Pts_Range)</f>
        <v>2.2157293164137246</v>
      </c>
      <c r="X6" s="14">
        <f>(N6 - AVERAGE(Reb_Range))/STDEV(Reb_Range)</f>
        <v>2.8356290160114304</v>
      </c>
      <c r="Y6" s="14">
        <f>(O6 - AVERAGE(Ast_Range))/STDEV(Ast_Range)</f>
        <v>0.14229823675149517</v>
      </c>
      <c r="Z6" s="14">
        <f>(P6 - AVERAGE(Stl_Range))/STDEV(Stl_Range)</f>
        <v>1.168997050390419</v>
      </c>
      <c r="AA6" s="14">
        <f>(Q6 - AVERAGE(Blk_Range))/STDEV(Blk_Range)</f>
        <v>1.9557260365260618</v>
      </c>
      <c r="AB6" s="14">
        <f>(R6 - AVERAGE(Tov_Range))/STDEV(Tov_Range)*-1</f>
        <v>-1.6966772725573753</v>
      </c>
      <c r="AC6" s="14">
        <f>SUM(T6:AB6)</f>
        <v>8.6030543701388371</v>
      </c>
      <c r="AD6" s="14">
        <v>8.6030543701388389</v>
      </c>
      <c r="AE6" s="14">
        <f>AD6-AC6</f>
        <v>0</v>
      </c>
      <c r="AF6"/>
      <c r="AG6"/>
      <c r="AH6"/>
      <c r="AI6"/>
      <c r="AJ6"/>
      <c r="AK6"/>
      <c r="AL6"/>
      <c r="AM6"/>
      <c r="AN6"/>
      <c r="AO6"/>
      <c r="AP6"/>
      <c r="AQ6"/>
    </row>
    <row r="7" spans="1:43" x14ac:dyDescent="0.55000000000000004">
      <c r="A7">
        <v>6</v>
      </c>
      <c r="B7" s="7">
        <f t="shared" si="0"/>
        <v>6</v>
      </c>
      <c r="C7" s="7">
        <f t="shared" si="1"/>
        <v>0</v>
      </c>
      <c r="D7" t="s">
        <v>414</v>
      </c>
      <c r="E7" t="s">
        <v>18</v>
      </c>
      <c r="F7" t="s">
        <v>75</v>
      </c>
      <c r="G7">
        <v>11</v>
      </c>
      <c r="H7">
        <v>31.1</v>
      </c>
      <c r="I7">
        <v>9.4</v>
      </c>
      <c r="J7">
        <v>0.495</v>
      </c>
      <c r="K7">
        <v>1.4</v>
      </c>
      <c r="L7">
        <v>2.5</v>
      </c>
      <c r="M7">
        <v>0.75</v>
      </c>
      <c r="N7">
        <v>6.5</v>
      </c>
      <c r="O7">
        <v>1.2</v>
      </c>
      <c r="P7">
        <v>1.5</v>
      </c>
      <c r="Q7">
        <v>4.0999999999999996</v>
      </c>
      <c r="R7">
        <v>1.2</v>
      </c>
      <c r="S7">
        <v>12.5</v>
      </c>
      <c r="T7" s="14">
        <f>(J7 - AVERAGE(FG_Range))*I7</f>
        <v>0.34039925373134294</v>
      </c>
      <c r="U7" s="14">
        <f>(M7 - AVERAGE(FT_RANGE))*L7</f>
        <v>-3.2832699619773087E-2</v>
      </c>
      <c r="V7" s="14">
        <f>(K7 - AVERAGE(Three_Range))/STDEV(Three_Range)</f>
        <v>-7.7436989009445123E-2</v>
      </c>
      <c r="W7" s="14">
        <f>(S7 - AVERAGE(Pts_Range))/STDEV(Pts_Range)</f>
        <v>-4.0177443889169273E-2</v>
      </c>
      <c r="X7" s="14">
        <f>(N7 - AVERAGE(Reb_Range))/STDEV(Reb_Range)</f>
        <v>0.65388389798110513</v>
      </c>
      <c r="Y7" s="14">
        <f>(O7 - AVERAGE(Ast_Range))/STDEV(Ast_Range)</f>
        <v>-0.78309463877674546</v>
      </c>
      <c r="Z7" s="14">
        <f>(P7 - AVERAGE(Stl_Range))/STDEV(Stl_Range)</f>
        <v>1.3832865233758038</v>
      </c>
      <c r="AA7" s="14">
        <f>(Q7 - AVERAGE(Blk_Range))/STDEV(Blk_Range)</f>
        <v>6.566339845366528</v>
      </c>
      <c r="AB7" s="14">
        <f>(R7 - AVERAGE(Tov_Range))/STDEV(Tov_Range)*-1</f>
        <v>0.39827554497488243</v>
      </c>
      <c r="AC7" s="14">
        <f>SUM(T7:AB7)</f>
        <v>8.4086432941345297</v>
      </c>
      <c r="AD7" s="14">
        <v>8.4086432941345315</v>
      </c>
      <c r="AE7" s="14">
        <f>AD7-AC7</f>
        <v>0</v>
      </c>
      <c r="AF7"/>
      <c r="AG7"/>
      <c r="AH7"/>
      <c r="AI7"/>
      <c r="AJ7"/>
      <c r="AK7"/>
      <c r="AL7"/>
      <c r="AM7"/>
      <c r="AN7"/>
      <c r="AO7"/>
      <c r="AP7"/>
      <c r="AQ7"/>
    </row>
    <row r="8" spans="1:43" x14ac:dyDescent="0.55000000000000004">
      <c r="A8">
        <v>7</v>
      </c>
      <c r="B8" s="7">
        <f t="shared" si="0"/>
        <v>7</v>
      </c>
      <c r="C8" s="7">
        <f t="shared" si="1"/>
        <v>0</v>
      </c>
      <c r="D8" t="s">
        <v>643</v>
      </c>
      <c r="E8" t="s">
        <v>34</v>
      </c>
      <c r="F8" t="s">
        <v>59</v>
      </c>
      <c r="G8">
        <v>4</v>
      </c>
      <c r="H8">
        <v>29.3</v>
      </c>
      <c r="I8">
        <v>13.3</v>
      </c>
      <c r="J8">
        <v>0.56599999999999995</v>
      </c>
      <c r="K8">
        <v>2.8</v>
      </c>
      <c r="L8">
        <v>2</v>
      </c>
      <c r="M8">
        <v>0.875</v>
      </c>
      <c r="N8">
        <v>6.8</v>
      </c>
      <c r="O8">
        <v>1.8</v>
      </c>
      <c r="P8">
        <v>1</v>
      </c>
      <c r="Q8">
        <v>1.5</v>
      </c>
      <c r="R8">
        <v>0.5</v>
      </c>
      <c r="S8">
        <v>19.5</v>
      </c>
      <c r="T8" s="14">
        <f>(J8 - AVERAGE(FG_Range))*I8</f>
        <v>1.4259287313432825</v>
      </c>
      <c r="U8" s="14">
        <f>(M8 - AVERAGE(FT_RANGE))*L8</f>
        <v>0.22373384030418153</v>
      </c>
      <c r="V8" s="14">
        <f>(K8 - AVERAGE(Three_Range))/STDEV(Three_Range)</f>
        <v>1.3608975791263631</v>
      </c>
      <c r="W8" s="14">
        <f>(S8 - AVERAGE(Pts_Range))/STDEV(Pts_Range)</f>
        <v>1.0797762668995012</v>
      </c>
      <c r="X8" s="14">
        <f>(N8 - AVERAGE(Reb_Range))/STDEV(Reb_Range)</f>
        <v>0.77076310073272958</v>
      </c>
      <c r="Y8" s="14">
        <f>(O8 - AVERAGE(Ast_Range))/STDEV(Ast_Range)</f>
        <v>-0.4908653096625642</v>
      </c>
      <c r="Z8" s="14">
        <f>(P8 - AVERAGE(Stl_Range))/STDEV(Stl_Range)</f>
        <v>0.31183915844888088</v>
      </c>
      <c r="AA8" s="14">
        <f>(Q8 - AVERAGE(Blk_Range))/STDEV(Blk_Range)</f>
        <v>1.771301484172443</v>
      </c>
      <c r="AB8" s="14">
        <f>(R8 - AVERAGE(Tov_Range))/STDEV(Tov_Range)*-1</f>
        <v>1.1315090311111724</v>
      </c>
      <c r="AC8" s="14">
        <f>SUM(T8:AB8)</f>
        <v>7.5848838824759897</v>
      </c>
      <c r="AD8" s="14">
        <v>7.5848838824759879</v>
      </c>
      <c r="AE8" s="14">
        <f>AD8-AC8</f>
        <v>0</v>
      </c>
      <c r="AF8"/>
      <c r="AG8"/>
      <c r="AH8"/>
      <c r="AI8"/>
      <c r="AJ8"/>
      <c r="AK8"/>
      <c r="AL8"/>
      <c r="AM8"/>
      <c r="AN8"/>
      <c r="AO8"/>
      <c r="AP8"/>
      <c r="AQ8"/>
    </row>
    <row r="9" spans="1:43" x14ac:dyDescent="0.55000000000000004">
      <c r="A9">
        <v>8</v>
      </c>
      <c r="B9" s="7">
        <f t="shared" si="0"/>
        <v>8</v>
      </c>
      <c r="C9" s="7">
        <f t="shared" si="1"/>
        <v>0</v>
      </c>
      <c r="D9" t="s">
        <v>133</v>
      </c>
      <c r="E9" t="s">
        <v>15</v>
      </c>
      <c r="F9" t="s">
        <v>40</v>
      </c>
      <c r="G9">
        <v>10</v>
      </c>
      <c r="H9">
        <v>32.5</v>
      </c>
      <c r="I9">
        <v>15.8</v>
      </c>
      <c r="J9">
        <v>0.56299999999999994</v>
      </c>
      <c r="K9">
        <v>1.3</v>
      </c>
      <c r="L9">
        <v>4.5</v>
      </c>
      <c r="M9">
        <v>0.75600000000000001</v>
      </c>
      <c r="N9">
        <v>8.6999999999999993</v>
      </c>
      <c r="O9">
        <v>3.1</v>
      </c>
      <c r="P9">
        <v>1.2</v>
      </c>
      <c r="Q9">
        <v>1.9</v>
      </c>
      <c r="R9">
        <v>2.1</v>
      </c>
      <c r="S9">
        <v>22.5</v>
      </c>
      <c r="T9" s="14">
        <f>(J9 - AVERAGE(FG_Range))*I9</f>
        <v>1.6465604477611928</v>
      </c>
      <c r="U9" s="14">
        <f>(M9 - AVERAGE(FT_RANGE))*L9</f>
        <v>-3.2098859315591532E-2</v>
      </c>
      <c r="V9" s="14">
        <f>(K9 - AVERAGE(Three_Range))/STDEV(Three_Range)</f>
        <v>-0.18017517244771702</v>
      </c>
      <c r="W9" s="14">
        <f>(S9 - AVERAGE(Pts_Range))/STDEV(Pts_Range)</f>
        <v>1.5597564286660743</v>
      </c>
      <c r="X9" s="14">
        <f>(N9 - AVERAGE(Reb_Range))/STDEV(Reb_Range)</f>
        <v>1.5109980514930184</v>
      </c>
      <c r="Y9" s="14">
        <f>(O9 - AVERAGE(Ast_Range))/STDEV(Ast_Range)</f>
        <v>0.14229823675149517</v>
      </c>
      <c r="Z9" s="14">
        <f>(P9 - AVERAGE(Stl_Range))/STDEV(Stl_Range)</f>
        <v>0.74041810441964995</v>
      </c>
      <c r="AA9" s="14">
        <f>(Q9 - AVERAGE(Blk_Range))/STDEV(Blk_Range)</f>
        <v>2.5089996935869174</v>
      </c>
      <c r="AB9" s="14">
        <f>(R9 - AVERAGE(Tov_Range))/STDEV(Tov_Range)*-1</f>
        <v>-0.54445322291463361</v>
      </c>
      <c r="AC9" s="14">
        <f>SUM(T9:AB9)</f>
        <v>7.3523037080004059</v>
      </c>
      <c r="AD9" s="14">
        <v>7.3523037080004068</v>
      </c>
      <c r="AE9" s="14">
        <f>AD9-AC9</f>
        <v>0</v>
      </c>
      <c r="AF9"/>
      <c r="AG9"/>
      <c r="AH9"/>
      <c r="AI9"/>
      <c r="AJ9"/>
      <c r="AK9"/>
      <c r="AL9"/>
      <c r="AM9"/>
      <c r="AN9"/>
      <c r="AO9"/>
      <c r="AP9"/>
      <c r="AQ9"/>
    </row>
    <row r="10" spans="1:43" x14ac:dyDescent="0.55000000000000004">
      <c r="A10">
        <v>9</v>
      </c>
      <c r="B10" s="7">
        <f t="shared" si="0"/>
        <v>9</v>
      </c>
      <c r="C10" s="7">
        <f t="shared" si="1"/>
        <v>0</v>
      </c>
      <c r="D10" t="s">
        <v>276</v>
      </c>
      <c r="E10" t="s">
        <v>34</v>
      </c>
      <c r="F10" t="s">
        <v>72</v>
      </c>
      <c r="G10">
        <v>9</v>
      </c>
      <c r="H10">
        <v>34.700000000000003</v>
      </c>
      <c r="I10">
        <v>18.899999999999999</v>
      </c>
      <c r="J10">
        <v>0.47099999999999997</v>
      </c>
      <c r="K10">
        <v>2.1</v>
      </c>
      <c r="L10">
        <v>5.3</v>
      </c>
      <c r="M10">
        <v>0.85399999999999998</v>
      </c>
      <c r="N10">
        <v>4.9000000000000004</v>
      </c>
      <c r="O10">
        <v>5.7</v>
      </c>
      <c r="P10">
        <v>2</v>
      </c>
      <c r="Q10">
        <v>0.9</v>
      </c>
      <c r="R10">
        <v>2</v>
      </c>
      <c r="S10">
        <v>24.4</v>
      </c>
      <c r="T10" s="14">
        <f>(J10 - AVERAGE(FG_Range))*I10</f>
        <v>0.23081977611940188</v>
      </c>
      <c r="U10" s="14">
        <f>(M10 - AVERAGE(FT_RANGE))*L10</f>
        <v>0.48159467680608092</v>
      </c>
      <c r="V10" s="14">
        <f>(K10 - AVERAGE(Three_Range))/STDEV(Three_Range)</f>
        <v>0.64173029505845924</v>
      </c>
      <c r="W10" s="14">
        <f>(S10 - AVERAGE(Pts_Range))/STDEV(Pts_Range)</f>
        <v>1.8637438644515705</v>
      </c>
      <c r="X10" s="14">
        <f>(N10 - AVERAGE(Reb_Range))/STDEV(Reb_Range)</f>
        <v>3.0528149972440837E-2</v>
      </c>
      <c r="Y10" s="14">
        <f>(O10 - AVERAGE(Ast_Range))/STDEV(Ast_Range)</f>
        <v>1.4086253295796138</v>
      </c>
      <c r="Z10" s="14">
        <f>(P10 - AVERAGE(Stl_Range))/STDEV(Stl_Range)</f>
        <v>2.4547338883027265</v>
      </c>
      <c r="AA10" s="14">
        <f>(Q10 - AVERAGE(Blk_Range))/STDEV(Blk_Range)</f>
        <v>0.6647541700507309</v>
      </c>
      <c r="AB10" s="14">
        <f>(R10 - AVERAGE(Tov_Range))/STDEV(Tov_Range)*-1</f>
        <v>-0.43970558203802057</v>
      </c>
      <c r="AC10" s="14">
        <f>SUM(T10:AB10)</f>
        <v>7.3368245683030047</v>
      </c>
      <c r="AD10" s="14">
        <v>7.3368245683030047</v>
      </c>
      <c r="AE10" s="14">
        <f>AD10-AC10</f>
        <v>0</v>
      </c>
      <c r="AF10"/>
      <c r="AG10"/>
      <c r="AH10"/>
      <c r="AI10"/>
      <c r="AJ10"/>
      <c r="AK10"/>
      <c r="AL10"/>
      <c r="AM10"/>
      <c r="AN10"/>
      <c r="AO10"/>
      <c r="AP10"/>
      <c r="AQ10"/>
    </row>
    <row r="11" spans="1:43" x14ac:dyDescent="0.55000000000000004">
      <c r="A11">
        <v>10</v>
      </c>
      <c r="B11" s="7">
        <f t="shared" si="0"/>
        <v>10</v>
      </c>
      <c r="C11" s="7">
        <f t="shared" si="1"/>
        <v>0</v>
      </c>
      <c r="D11" t="s">
        <v>66</v>
      </c>
      <c r="E11" t="s">
        <v>25</v>
      </c>
      <c r="F11" t="s">
        <v>67</v>
      </c>
      <c r="G11">
        <v>10</v>
      </c>
      <c r="H11">
        <v>35.9</v>
      </c>
      <c r="I11">
        <v>24.5</v>
      </c>
      <c r="J11">
        <v>0.49399999999999999</v>
      </c>
      <c r="K11">
        <v>2.4</v>
      </c>
      <c r="L11">
        <v>9.5</v>
      </c>
      <c r="M11">
        <v>0.874</v>
      </c>
      <c r="N11">
        <v>5.3</v>
      </c>
      <c r="O11">
        <v>5</v>
      </c>
      <c r="P11">
        <v>1.4</v>
      </c>
      <c r="Q11">
        <v>0.7</v>
      </c>
      <c r="R11">
        <v>3.3</v>
      </c>
      <c r="S11">
        <v>34.9</v>
      </c>
      <c r="T11" s="14">
        <f>(J11 - AVERAGE(FG_Range))*I11</f>
        <v>0.86271082089552142</v>
      </c>
      <c r="U11" s="14">
        <f>(M11 - AVERAGE(FT_RANGE))*L11</f>
        <v>1.0532357414448623</v>
      </c>
      <c r="V11" s="14">
        <f>(K11 - AVERAGE(Three_Range))/STDEV(Three_Range)</f>
        <v>0.94994484537327517</v>
      </c>
      <c r="W11" s="14">
        <f>(S11 - AVERAGE(Pts_Range))/STDEV(Pts_Range)</f>
        <v>3.5436744306345758</v>
      </c>
      <c r="X11" s="14">
        <f>(N11 - AVERAGE(Reb_Range))/STDEV(Reb_Range)</f>
        <v>0.18636708697460674</v>
      </c>
      <c r="Y11" s="14">
        <f>(O11 - AVERAGE(Ast_Range))/STDEV(Ast_Range)</f>
        <v>1.0676911122797357</v>
      </c>
      <c r="Z11" s="14">
        <f>(P11 - AVERAGE(Stl_Range))/STDEV(Stl_Range)</f>
        <v>1.168997050390419</v>
      </c>
      <c r="AA11" s="14">
        <f>(Q11 - AVERAGE(Blk_Range))/STDEV(Blk_Range)</f>
        <v>0.29590506534349342</v>
      </c>
      <c r="AB11" s="14">
        <f>(R11 - AVERAGE(Tov_Range))/STDEV(Tov_Range)*-1</f>
        <v>-1.8014249134339877</v>
      </c>
      <c r="AC11" s="14">
        <f>SUM(T11:AB11)</f>
        <v>7.3271012399025013</v>
      </c>
      <c r="AD11" s="14">
        <v>7.3271012399024933</v>
      </c>
      <c r="AE11" s="14">
        <f>AD11-AC11</f>
        <v>-7.9936057773011271E-15</v>
      </c>
      <c r="AF11"/>
      <c r="AG11"/>
      <c r="AH11"/>
      <c r="AI11"/>
      <c r="AJ11"/>
      <c r="AK11"/>
      <c r="AL11"/>
      <c r="AM11"/>
      <c r="AN11"/>
      <c r="AO11"/>
      <c r="AP11"/>
      <c r="AQ11"/>
    </row>
    <row r="12" spans="1:43" x14ac:dyDescent="0.55000000000000004">
      <c r="A12">
        <v>11</v>
      </c>
      <c r="B12" s="7">
        <f t="shared" si="0"/>
        <v>11</v>
      </c>
      <c r="C12" s="7">
        <f t="shared" si="1"/>
        <v>0</v>
      </c>
      <c r="D12" t="s">
        <v>94</v>
      </c>
      <c r="E12" t="s">
        <v>46</v>
      </c>
      <c r="F12" t="s">
        <v>75</v>
      </c>
      <c r="G12">
        <v>11</v>
      </c>
      <c r="H12">
        <v>37.1</v>
      </c>
      <c r="I12">
        <v>17.8</v>
      </c>
      <c r="J12">
        <v>0.47399999999999998</v>
      </c>
      <c r="K12">
        <v>3.1</v>
      </c>
      <c r="L12">
        <v>2.9</v>
      </c>
      <c r="M12">
        <v>0.875</v>
      </c>
      <c r="N12">
        <v>4.0999999999999996</v>
      </c>
      <c r="O12">
        <v>7.5</v>
      </c>
      <c r="P12">
        <v>1.7</v>
      </c>
      <c r="Q12">
        <v>0.2</v>
      </c>
      <c r="R12">
        <v>1.6</v>
      </c>
      <c r="S12">
        <v>22.5</v>
      </c>
      <c r="T12" s="14">
        <f>(J12 - AVERAGE(FG_Range))*I12</f>
        <v>0.27078582089552145</v>
      </c>
      <c r="U12" s="14">
        <f>(M12 - AVERAGE(FT_RANGE))*L12</f>
        <v>0.32441406844106319</v>
      </c>
      <c r="V12" s="14">
        <f>(K12 - AVERAGE(Three_Range))/STDEV(Three_Range)</f>
        <v>1.6691121294411795</v>
      </c>
      <c r="W12" s="14">
        <f>(S12 - AVERAGE(Pts_Range))/STDEV(Pts_Range)</f>
        <v>1.5597564286660743</v>
      </c>
      <c r="X12" s="14">
        <f>(N12 - AVERAGE(Reb_Range))/STDEV(Reb_Range)</f>
        <v>-0.28114972403189165</v>
      </c>
      <c r="Y12" s="14">
        <f>(O12 - AVERAGE(Ast_Range))/STDEV(Ast_Range)</f>
        <v>2.2853133169221573</v>
      </c>
      <c r="Z12" s="14">
        <f>(P12 - AVERAGE(Stl_Range))/STDEV(Stl_Range)</f>
        <v>1.8118654693465728</v>
      </c>
      <c r="AA12" s="14">
        <f>(Q12 - AVERAGE(Blk_Range))/STDEV(Blk_Range)</f>
        <v>-0.6262176964245999</v>
      </c>
      <c r="AB12" s="14">
        <f>(R12 - AVERAGE(Tov_Range))/STDEV(Tov_Range)*-1</f>
        <v>-2.0715018531569193E-2</v>
      </c>
      <c r="AC12" s="14">
        <f>SUM(T12:AB12)</f>
        <v>6.9931647947245077</v>
      </c>
      <c r="AD12" s="14">
        <v>6.993164794724505</v>
      </c>
      <c r="AE12" s="14">
        <f>AD12-AC12</f>
        <v>0</v>
      </c>
      <c r="AF12"/>
      <c r="AG12"/>
      <c r="AH12"/>
      <c r="AI12"/>
      <c r="AJ12"/>
      <c r="AK12"/>
      <c r="AL12"/>
      <c r="AM12"/>
      <c r="AN12"/>
      <c r="AO12"/>
      <c r="AP12"/>
      <c r="AQ12"/>
    </row>
    <row r="13" spans="1:43" x14ac:dyDescent="0.55000000000000004">
      <c r="A13">
        <v>12</v>
      </c>
      <c r="B13" s="7">
        <f t="shared" si="0"/>
        <v>12</v>
      </c>
      <c r="C13" s="7">
        <f t="shared" si="1"/>
        <v>0</v>
      </c>
      <c r="D13" t="s">
        <v>624</v>
      </c>
      <c r="E13" t="s">
        <v>18</v>
      </c>
      <c r="F13" t="s">
        <v>33</v>
      </c>
      <c r="G13">
        <v>11</v>
      </c>
      <c r="H13">
        <v>31.5</v>
      </c>
      <c r="I13">
        <v>18.100000000000001</v>
      </c>
      <c r="J13">
        <v>0.503</v>
      </c>
      <c r="K13">
        <v>2.5</v>
      </c>
      <c r="L13">
        <v>2.4</v>
      </c>
      <c r="M13">
        <v>0.76900000000000002</v>
      </c>
      <c r="N13">
        <v>11.3</v>
      </c>
      <c r="O13">
        <v>3.5</v>
      </c>
      <c r="P13">
        <v>1</v>
      </c>
      <c r="Q13">
        <v>0.5</v>
      </c>
      <c r="R13">
        <v>1.2</v>
      </c>
      <c r="S13">
        <v>22.5</v>
      </c>
      <c r="T13" s="14">
        <f>(J13 - AVERAGE(FG_Range))*I13</f>
        <v>0.80024962686567114</v>
      </c>
      <c r="U13" s="14">
        <f>(M13 - AVERAGE(FT_RANGE))*L13</f>
        <v>1.4080608365017877E-2</v>
      </c>
      <c r="V13" s="14">
        <f>(K13 - AVERAGE(Three_Range))/STDEV(Three_Range)</f>
        <v>1.0526830288115472</v>
      </c>
      <c r="W13" s="14">
        <f>(S13 - AVERAGE(Pts_Range))/STDEV(Pts_Range)</f>
        <v>1.5597564286660743</v>
      </c>
      <c r="X13" s="14">
        <f>(N13 - AVERAGE(Reb_Range))/STDEV(Reb_Range)</f>
        <v>2.5239511420070988</v>
      </c>
      <c r="Y13" s="14">
        <f>(O13 - AVERAGE(Ast_Range))/STDEV(Ast_Range)</f>
        <v>0.33711778949428262</v>
      </c>
      <c r="Z13" s="14">
        <f>(P13 - AVERAGE(Stl_Range))/STDEV(Stl_Range)</f>
        <v>0.31183915844888088</v>
      </c>
      <c r="AA13" s="14">
        <f>(Q13 - AVERAGE(Blk_Range))/STDEV(Blk_Range)</f>
        <v>-7.2944039363743871E-2</v>
      </c>
      <c r="AB13" s="14">
        <f>(R13 - AVERAGE(Tov_Range))/STDEV(Tov_Range)*-1</f>
        <v>0.39827554497488243</v>
      </c>
      <c r="AC13" s="14">
        <f>SUM(T13:AB13)</f>
        <v>6.9250092882697105</v>
      </c>
      <c r="AD13" s="14">
        <v>6.9250092882697114</v>
      </c>
      <c r="AE13" s="14">
        <f>AD13-AC13</f>
        <v>0</v>
      </c>
      <c r="AF13"/>
      <c r="AG13"/>
      <c r="AH13"/>
      <c r="AI13"/>
      <c r="AJ13"/>
      <c r="AK13"/>
      <c r="AL13"/>
      <c r="AM13"/>
      <c r="AN13"/>
      <c r="AO13"/>
      <c r="AP13"/>
      <c r="AQ13"/>
    </row>
    <row r="14" spans="1:43" x14ac:dyDescent="0.55000000000000004">
      <c r="A14">
        <v>13</v>
      </c>
      <c r="B14" s="7">
        <f t="shared" si="0"/>
        <v>13</v>
      </c>
      <c r="C14" s="7">
        <f t="shared" si="1"/>
        <v>0</v>
      </c>
      <c r="D14" t="s">
        <v>508</v>
      </c>
      <c r="E14" t="s">
        <v>15</v>
      </c>
      <c r="F14" t="s">
        <v>30</v>
      </c>
      <c r="G14">
        <v>8</v>
      </c>
      <c r="H14">
        <v>34.799999999999997</v>
      </c>
      <c r="I14">
        <v>18</v>
      </c>
      <c r="J14">
        <v>0.53500000000000003</v>
      </c>
      <c r="K14">
        <v>2.6</v>
      </c>
      <c r="L14">
        <v>9.3000000000000007</v>
      </c>
      <c r="M14">
        <v>0.86499999999999999</v>
      </c>
      <c r="N14">
        <v>7.8</v>
      </c>
      <c r="O14">
        <v>5.8</v>
      </c>
      <c r="P14">
        <v>0.9</v>
      </c>
      <c r="Q14">
        <v>0.8</v>
      </c>
      <c r="R14">
        <v>4</v>
      </c>
      <c r="S14">
        <v>29.9</v>
      </c>
      <c r="T14" s="14">
        <f>(J14 - AVERAGE(FG_Range))*I14</f>
        <v>1.3718283582089552</v>
      </c>
      <c r="U14" s="14">
        <f>(M14 - AVERAGE(FT_RANGE))*L14</f>
        <v>0.94736235741444408</v>
      </c>
      <c r="V14" s="14">
        <f>(K14 - AVERAGE(Three_Range))/STDEV(Three_Range)</f>
        <v>1.1554212122498193</v>
      </c>
      <c r="W14" s="14">
        <f>(S14 - AVERAGE(Pts_Range))/STDEV(Pts_Range)</f>
        <v>2.7437074943569542</v>
      </c>
      <c r="X14" s="14">
        <f>(N14 - AVERAGE(Reb_Range))/STDEV(Reb_Range)</f>
        <v>1.1603604432381449</v>
      </c>
      <c r="Y14" s="14">
        <f>(O14 - AVERAGE(Ast_Range))/STDEV(Ast_Range)</f>
        <v>1.4573302177653107</v>
      </c>
      <c r="Z14" s="14">
        <f>(P14 - AVERAGE(Stl_Range))/STDEV(Stl_Range)</f>
        <v>9.7549685463496322E-2</v>
      </c>
      <c r="AA14" s="14">
        <f>(Q14 - AVERAGE(Blk_Range))/STDEV(Blk_Range)</f>
        <v>0.4803296176971123</v>
      </c>
      <c r="AB14" s="14">
        <f>(R14 - AVERAGE(Tov_Range))/STDEV(Tov_Range)*-1</f>
        <v>-2.5346583995702781</v>
      </c>
      <c r="AC14" s="14">
        <f>SUM(T14:AB14)</f>
        <v>6.8792309868239592</v>
      </c>
      <c r="AD14" s="14">
        <v>6.879230986823945</v>
      </c>
      <c r="AE14" s="14">
        <f>AD14-AC14</f>
        <v>-1.4210854715202004E-14</v>
      </c>
      <c r="AF14"/>
      <c r="AG14"/>
      <c r="AH14"/>
      <c r="AI14"/>
      <c r="AJ14"/>
      <c r="AK14"/>
      <c r="AL14"/>
      <c r="AM14"/>
      <c r="AN14"/>
      <c r="AO14"/>
      <c r="AP14"/>
      <c r="AQ14"/>
    </row>
    <row r="15" spans="1:43" x14ac:dyDescent="0.55000000000000004">
      <c r="A15">
        <v>14</v>
      </c>
      <c r="B15" s="7">
        <f t="shared" si="0"/>
        <v>14</v>
      </c>
      <c r="C15" s="7">
        <f t="shared" si="1"/>
        <v>0</v>
      </c>
      <c r="D15" t="s">
        <v>171</v>
      </c>
      <c r="E15" t="s">
        <v>34</v>
      </c>
      <c r="F15" t="s">
        <v>72</v>
      </c>
      <c r="G15">
        <v>10</v>
      </c>
      <c r="H15">
        <v>34.700000000000003</v>
      </c>
      <c r="I15">
        <v>16.5</v>
      </c>
      <c r="J15">
        <v>0.497</v>
      </c>
      <c r="K15">
        <v>4.2</v>
      </c>
      <c r="L15">
        <v>4.8</v>
      </c>
      <c r="M15">
        <v>0.91700000000000004</v>
      </c>
      <c r="N15">
        <v>6.3</v>
      </c>
      <c r="O15">
        <v>5.4</v>
      </c>
      <c r="P15">
        <v>1.5</v>
      </c>
      <c r="Q15">
        <v>0.5</v>
      </c>
      <c r="R15">
        <v>4</v>
      </c>
      <c r="S15">
        <v>25</v>
      </c>
      <c r="T15" s="14">
        <f>(J15 - AVERAGE(FG_Range))*I15</f>
        <v>0.63050932835820839</v>
      </c>
      <c r="U15" s="14">
        <f>(M15 - AVERAGE(FT_RANGE))*L15</f>
        <v>0.73856121673003583</v>
      </c>
      <c r="V15" s="14">
        <f>(K15 - AVERAGE(Three_Range))/STDEV(Three_Range)</f>
        <v>2.7992321472621722</v>
      </c>
      <c r="W15" s="14">
        <f>(S15 - AVERAGE(Pts_Range))/STDEV(Pts_Range)</f>
        <v>1.9597398968048854</v>
      </c>
      <c r="X15" s="14">
        <f>(N15 - AVERAGE(Reb_Range))/STDEV(Reb_Range)</f>
        <v>0.57596442948002202</v>
      </c>
      <c r="Y15" s="14">
        <f>(O15 - AVERAGE(Ast_Range))/STDEV(Ast_Range)</f>
        <v>1.2625106650225233</v>
      </c>
      <c r="Z15" s="14">
        <f>(P15 - AVERAGE(Stl_Range))/STDEV(Stl_Range)</f>
        <v>1.3832865233758038</v>
      </c>
      <c r="AA15" s="14">
        <f>(Q15 - AVERAGE(Blk_Range))/STDEV(Blk_Range)</f>
        <v>-7.2944039363743871E-2</v>
      </c>
      <c r="AB15" s="14">
        <f>(R15 - AVERAGE(Tov_Range))/STDEV(Tov_Range)*-1</f>
        <v>-2.5346583995702781</v>
      </c>
      <c r="AC15" s="14">
        <f>SUM(T15:AB15)</f>
        <v>6.742201768099628</v>
      </c>
      <c r="AD15" s="14">
        <v>6.7422017680996156</v>
      </c>
      <c r="AE15" s="14">
        <f>AD15-AC15</f>
        <v>-1.2434497875801753E-14</v>
      </c>
      <c r="AF15"/>
      <c r="AG15"/>
      <c r="AH15"/>
      <c r="AI15"/>
      <c r="AJ15"/>
      <c r="AK15"/>
      <c r="AL15"/>
      <c r="AM15"/>
      <c r="AN15"/>
      <c r="AO15"/>
      <c r="AP15"/>
      <c r="AQ15"/>
    </row>
    <row r="16" spans="1:43" x14ac:dyDescent="0.55000000000000004">
      <c r="A16">
        <v>15</v>
      </c>
      <c r="B16" s="7">
        <f t="shared" si="0"/>
        <v>15</v>
      </c>
      <c r="C16" s="7">
        <f t="shared" si="1"/>
        <v>0</v>
      </c>
      <c r="D16" t="s">
        <v>400</v>
      </c>
      <c r="E16" t="s">
        <v>34</v>
      </c>
      <c r="F16" t="s">
        <v>98</v>
      </c>
      <c r="G16">
        <v>10</v>
      </c>
      <c r="H16">
        <v>34.6</v>
      </c>
      <c r="I16">
        <v>21.3</v>
      </c>
      <c r="J16">
        <v>0.47399999999999998</v>
      </c>
      <c r="K16">
        <v>3.5</v>
      </c>
      <c r="L16">
        <v>3.6</v>
      </c>
      <c r="M16">
        <v>0.88900000000000001</v>
      </c>
      <c r="N16">
        <v>7.1</v>
      </c>
      <c r="O16">
        <v>3.8</v>
      </c>
      <c r="P16">
        <v>1</v>
      </c>
      <c r="Q16">
        <v>0.8</v>
      </c>
      <c r="R16">
        <v>2.4</v>
      </c>
      <c r="S16">
        <v>26.9</v>
      </c>
      <c r="T16" s="14">
        <f>(J16 - AVERAGE(FG_Range))*I16</f>
        <v>0.32403022388059588</v>
      </c>
      <c r="U16" s="14">
        <f>(M16 - AVERAGE(FT_RANGE))*L16</f>
        <v>0.45312091254752679</v>
      </c>
      <c r="V16" s="14">
        <f>(K16 - AVERAGE(Three_Range))/STDEV(Three_Range)</f>
        <v>2.0800648631942678</v>
      </c>
      <c r="W16" s="14">
        <f>(S16 - AVERAGE(Pts_Range))/STDEV(Pts_Range)</f>
        <v>2.2637273325903813</v>
      </c>
      <c r="X16" s="14">
        <f>(N16 - AVERAGE(Reb_Range))/STDEV(Reb_Range)</f>
        <v>0.88764230348435413</v>
      </c>
      <c r="Y16" s="14">
        <f>(O16 - AVERAGE(Ast_Range))/STDEV(Ast_Range)</f>
        <v>0.48323245405137316</v>
      </c>
      <c r="Z16" s="14">
        <f>(P16 - AVERAGE(Stl_Range))/STDEV(Stl_Range)</f>
        <v>0.31183915844888088</v>
      </c>
      <c r="AA16" s="14">
        <f>(Q16 - AVERAGE(Blk_Range))/STDEV(Blk_Range)</f>
        <v>0.4803296176971123</v>
      </c>
      <c r="AB16" s="14">
        <f>(R16 - AVERAGE(Tov_Range))/STDEV(Tov_Range)*-1</f>
        <v>-0.85869614554447204</v>
      </c>
      <c r="AC16" s="14">
        <f>SUM(T16:AB16)</f>
        <v>6.42529072035002</v>
      </c>
      <c r="AD16" s="14">
        <v>6.4252907203500094</v>
      </c>
      <c r="AE16" s="14">
        <f>AD16-AC16</f>
        <v>-1.0658141036401503E-14</v>
      </c>
      <c r="AF16"/>
      <c r="AG16"/>
      <c r="AH16"/>
      <c r="AI16"/>
      <c r="AJ16"/>
      <c r="AK16"/>
      <c r="AL16"/>
      <c r="AM16"/>
      <c r="AN16"/>
      <c r="AO16"/>
      <c r="AP16"/>
      <c r="AQ16"/>
    </row>
    <row r="17" spans="1:43" x14ac:dyDescent="0.55000000000000004">
      <c r="A17">
        <v>16</v>
      </c>
      <c r="B17" s="7">
        <f t="shared" si="0"/>
        <v>16</v>
      </c>
      <c r="C17" s="7">
        <f t="shared" si="1"/>
        <v>0</v>
      </c>
      <c r="D17" t="s">
        <v>97</v>
      </c>
      <c r="E17" t="s">
        <v>25</v>
      </c>
      <c r="F17" t="s">
        <v>98</v>
      </c>
      <c r="G17">
        <v>10</v>
      </c>
      <c r="H17">
        <v>34.6</v>
      </c>
      <c r="I17">
        <v>19.100000000000001</v>
      </c>
      <c r="J17">
        <v>0.53900000000000003</v>
      </c>
      <c r="K17">
        <v>2.4</v>
      </c>
      <c r="L17">
        <v>4.3</v>
      </c>
      <c r="M17">
        <v>0.76700000000000002</v>
      </c>
      <c r="N17">
        <v>6.2</v>
      </c>
      <c r="O17">
        <v>3.5</v>
      </c>
      <c r="P17">
        <v>1.7</v>
      </c>
      <c r="Q17">
        <v>0.7</v>
      </c>
      <c r="R17">
        <v>2.9</v>
      </c>
      <c r="S17">
        <v>26.3</v>
      </c>
      <c r="T17" s="14">
        <f>(J17 - AVERAGE(FG_Range))*I17</f>
        <v>1.5320623134328359</v>
      </c>
      <c r="U17" s="14">
        <f>(M17 - AVERAGE(FT_RANGE))*L17</f>
        <v>1.6627756653990355E-2</v>
      </c>
      <c r="V17" s="14">
        <f>(K17 - AVERAGE(Three_Range))/STDEV(Three_Range)</f>
        <v>0.94994484537327517</v>
      </c>
      <c r="W17" s="14">
        <f>(S17 - AVERAGE(Pts_Range))/STDEV(Pts_Range)</f>
        <v>2.1677313002370671</v>
      </c>
      <c r="X17" s="14">
        <f>(N17 - AVERAGE(Reb_Range))/STDEV(Reb_Range)</f>
        <v>0.53700469522948058</v>
      </c>
      <c r="Y17" s="14">
        <f>(O17 - AVERAGE(Ast_Range))/STDEV(Ast_Range)</f>
        <v>0.33711778949428262</v>
      </c>
      <c r="Z17" s="14">
        <f>(P17 - AVERAGE(Stl_Range))/STDEV(Stl_Range)</f>
        <v>1.8118654693465728</v>
      </c>
      <c r="AA17" s="14">
        <f>(Q17 - AVERAGE(Blk_Range))/STDEV(Blk_Range)</f>
        <v>0.29590506534349342</v>
      </c>
      <c r="AB17" s="14">
        <f>(R17 - AVERAGE(Tov_Range))/STDEV(Tov_Range)*-1</f>
        <v>-1.3824343499275364</v>
      </c>
      <c r="AC17" s="14">
        <f>SUM(T17:AB17)</f>
        <v>6.2658248851834619</v>
      </c>
      <c r="AD17" s="14">
        <v>6.265824885183461</v>
      </c>
      <c r="AE17" s="14">
        <f>AD17-AC17</f>
        <v>0</v>
      </c>
      <c r="AF17"/>
      <c r="AG17"/>
      <c r="AH17"/>
      <c r="AI17"/>
      <c r="AJ17"/>
      <c r="AK17"/>
      <c r="AL17"/>
      <c r="AM17"/>
      <c r="AN17"/>
      <c r="AO17"/>
      <c r="AP17"/>
      <c r="AQ17"/>
    </row>
    <row r="18" spans="1:43" x14ac:dyDescent="0.55000000000000004">
      <c r="A18">
        <v>17</v>
      </c>
      <c r="B18" s="7">
        <f t="shared" si="0"/>
        <v>17</v>
      </c>
      <c r="C18" s="7">
        <f t="shared" si="1"/>
        <v>0</v>
      </c>
      <c r="D18" t="s">
        <v>132</v>
      </c>
      <c r="E18" t="s">
        <v>46</v>
      </c>
      <c r="F18" t="s">
        <v>87</v>
      </c>
      <c r="G18">
        <v>11</v>
      </c>
      <c r="H18">
        <v>34.299999999999997</v>
      </c>
      <c r="I18">
        <v>20.3</v>
      </c>
      <c r="J18">
        <v>0.43</v>
      </c>
      <c r="K18">
        <v>4.0999999999999996</v>
      </c>
      <c r="L18">
        <v>6.7</v>
      </c>
      <c r="M18">
        <v>0.93200000000000005</v>
      </c>
      <c r="N18">
        <v>5.0999999999999996</v>
      </c>
      <c r="O18">
        <v>6.4</v>
      </c>
      <c r="P18">
        <v>1.2</v>
      </c>
      <c r="Q18">
        <v>0.2</v>
      </c>
      <c r="R18">
        <v>3.1</v>
      </c>
      <c r="S18">
        <v>27.8</v>
      </c>
      <c r="T18" s="14">
        <f>(J18 - AVERAGE(FG_Range))*I18</f>
        <v>-0.58438246268656802</v>
      </c>
      <c r="U18" s="14">
        <f>(M18 - AVERAGE(FT_RANGE))*L18</f>
        <v>1.1314083650190085</v>
      </c>
      <c r="V18" s="14">
        <f>(K18 - AVERAGE(Three_Range))/STDEV(Three_Range)</f>
        <v>2.6964939638238996</v>
      </c>
      <c r="W18" s="14">
        <f>(S18 - AVERAGE(Pts_Range))/STDEV(Pts_Range)</f>
        <v>2.4077213811203535</v>
      </c>
      <c r="X18" s="14">
        <f>(N18 - AVERAGE(Reb_Range))/STDEV(Reb_Range)</f>
        <v>0.1084476184735236</v>
      </c>
      <c r="Y18" s="14">
        <f>(O18 - AVERAGE(Ast_Range))/STDEV(Ast_Range)</f>
        <v>1.749559546879492</v>
      </c>
      <c r="Z18" s="14">
        <f>(P18 - AVERAGE(Stl_Range))/STDEV(Stl_Range)</f>
        <v>0.74041810441964995</v>
      </c>
      <c r="AA18" s="14">
        <f>(Q18 - AVERAGE(Blk_Range))/STDEV(Blk_Range)</f>
        <v>-0.6262176964245999</v>
      </c>
      <c r="AB18" s="14">
        <f>(R18 - AVERAGE(Tov_Range))/STDEV(Tov_Range)*-1</f>
        <v>-1.5919296316807623</v>
      </c>
      <c r="AC18" s="14">
        <f>SUM(T18:AB18)</f>
        <v>6.0315191889439967</v>
      </c>
      <c r="AD18" s="14">
        <v>6.0315191889439816</v>
      </c>
      <c r="AE18" s="14">
        <f>AD18-AC18</f>
        <v>-1.5099033134902129E-14</v>
      </c>
      <c r="AF18"/>
      <c r="AG18"/>
      <c r="AH18"/>
      <c r="AI18"/>
      <c r="AJ18"/>
      <c r="AK18"/>
      <c r="AL18"/>
      <c r="AM18"/>
      <c r="AN18"/>
      <c r="AO18"/>
      <c r="AP18"/>
      <c r="AQ18"/>
    </row>
    <row r="19" spans="1:43" x14ac:dyDescent="0.55000000000000004">
      <c r="A19">
        <v>18</v>
      </c>
      <c r="B19" s="7">
        <f t="shared" si="0"/>
        <v>18</v>
      </c>
      <c r="C19" s="7">
        <f t="shared" si="1"/>
        <v>0</v>
      </c>
      <c r="D19" t="s">
        <v>192</v>
      </c>
      <c r="E19" t="s">
        <v>25</v>
      </c>
      <c r="F19" t="s">
        <v>36</v>
      </c>
      <c r="G19">
        <v>8</v>
      </c>
      <c r="H19">
        <v>36.299999999999997</v>
      </c>
      <c r="I19">
        <v>16.899999999999999</v>
      </c>
      <c r="J19">
        <v>0.44400000000000001</v>
      </c>
      <c r="K19">
        <v>3.1</v>
      </c>
      <c r="L19">
        <v>7.5</v>
      </c>
      <c r="M19">
        <v>0.88300000000000001</v>
      </c>
      <c r="N19">
        <v>5.0999999999999996</v>
      </c>
      <c r="O19">
        <v>10.4</v>
      </c>
      <c r="P19">
        <v>0.9</v>
      </c>
      <c r="Q19">
        <v>0.8</v>
      </c>
      <c r="R19">
        <v>4.3</v>
      </c>
      <c r="S19">
        <v>24.8</v>
      </c>
      <c r="T19" s="14">
        <f>(J19 - AVERAGE(FG_Range))*I19</f>
        <v>-0.24990559701492579</v>
      </c>
      <c r="U19" s="14">
        <f>(M19 - AVERAGE(FT_RANGE))*L19</f>
        <v>0.89900190114068079</v>
      </c>
      <c r="V19" s="14">
        <f>(K19 - AVERAGE(Three_Range))/STDEV(Three_Range)</f>
        <v>1.6691121294411795</v>
      </c>
      <c r="W19" s="14">
        <f>(S19 - AVERAGE(Pts_Range))/STDEV(Pts_Range)</f>
        <v>1.9277412193537804</v>
      </c>
      <c r="X19" s="14">
        <f>(N19 - AVERAGE(Reb_Range))/STDEV(Reb_Range)</f>
        <v>0.1084476184735236</v>
      </c>
      <c r="Y19" s="14">
        <f>(O19 - AVERAGE(Ast_Range))/STDEV(Ast_Range)</f>
        <v>3.6977550743073668</v>
      </c>
      <c r="Z19" s="14">
        <f>(P19 - AVERAGE(Stl_Range))/STDEV(Stl_Range)</f>
        <v>9.7549685463496322E-2</v>
      </c>
      <c r="AA19" s="14">
        <f>(Q19 - AVERAGE(Blk_Range))/STDEV(Blk_Range)</f>
        <v>0.4803296176971123</v>
      </c>
      <c r="AB19" s="14">
        <f>(R19 - AVERAGE(Tov_Range))/STDEV(Tov_Range)*-1</f>
        <v>-2.848901322200116</v>
      </c>
      <c r="AC19" s="14">
        <f>SUM(T19:AB19)</f>
        <v>5.7811303266620984</v>
      </c>
      <c r="AD19" s="14">
        <v>5.7811303266620788</v>
      </c>
      <c r="AE19" s="14">
        <f>AD19-AC19</f>
        <v>-1.9539925233402755E-14</v>
      </c>
      <c r="AF19"/>
      <c r="AG19"/>
      <c r="AH19"/>
      <c r="AI19"/>
      <c r="AJ19"/>
      <c r="AK19"/>
      <c r="AL19"/>
      <c r="AM19"/>
      <c r="AN19"/>
      <c r="AO19"/>
      <c r="AP19"/>
      <c r="AQ19"/>
    </row>
    <row r="20" spans="1:43" x14ac:dyDescent="0.55000000000000004">
      <c r="A20">
        <v>19</v>
      </c>
      <c r="B20" s="7">
        <f t="shared" si="0"/>
        <v>19</v>
      </c>
      <c r="C20" s="7">
        <f t="shared" si="1"/>
        <v>0</v>
      </c>
      <c r="D20" t="s">
        <v>417</v>
      </c>
      <c r="E20" t="s">
        <v>25</v>
      </c>
      <c r="F20" t="s">
        <v>44</v>
      </c>
      <c r="G20">
        <v>10</v>
      </c>
      <c r="H20">
        <v>35.799999999999997</v>
      </c>
      <c r="I20">
        <v>17.3</v>
      </c>
      <c r="J20">
        <v>0.45100000000000001</v>
      </c>
      <c r="K20">
        <v>3.5</v>
      </c>
      <c r="L20">
        <v>2.2000000000000002</v>
      </c>
      <c r="M20">
        <v>0.81799999999999995</v>
      </c>
      <c r="N20">
        <v>4.5</v>
      </c>
      <c r="O20">
        <v>5.8</v>
      </c>
      <c r="P20">
        <v>1.3</v>
      </c>
      <c r="Q20">
        <v>0.6</v>
      </c>
      <c r="R20">
        <v>1.6</v>
      </c>
      <c r="S20">
        <v>20.9</v>
      </c>
      <c r="T20" s="14">
        <f>(J20 - AVERAGE(FG_Range))*I20</f>
        <v>-0.13472052238806004</v>
      </c>
      <c r="U20" s="14">
        <f>(M20 - AVERAGE(FT_RANGE))*L20</f>
        <v>0.12070722433459959</v>
      </c>
      <c r="V20" s="14">
        <f>(K20 - AVERAGE(Three_Range))/STDEV(Three_Range)</f>
        <v>2.0800648631942678</v>
      </c>
      <c r="W20" s="14">
        <f>(S20 - AVERAGE(Pts_Range))/STDEV(Pts_Range)</f>
        <v>1.3037670090572351</v>
      </c>
      <c r="X20" s="14">
        <f>(N20 - AVERAGE(Reb_Range))/STDEV(Reb_Range)</f>
        <v>-0.1253107870297254</v>
      </c>
      <c r="Y20" s="14">
        <f>(O20 - AVERAGE(Ast_Range))/STDEV(Ast_Range)</f>
        <v>1.4573302177653107</v>
      </c>
      <c r="Z20" s="14">
        <f>(P20 - AVERAGE(Stl_Range))/STDEV(Stl_Range)</f>
        <v>0.95470757740503476</v>
      </c>
      <c r="AA20" s="14">
        <f>(Q20 - AVERAGE(Blk_Range))/STDEV(Blk_Range)</f>
        <v>0.11148051298987478</v>
      </c>
      <c r="AB20" s="14">
        <f>(R20 - AVERAGE(Tov_Range))/STDEV(Tov_Range)*-1</f>
        <v>-2.0715018531569193E-2</v>
      </c>
      <c r="AC20" s="14">
        <f>SUM(T20:AB20)</f>
        <v>5.7473110767969686</v>
      </c>
      <c r="AD20" s="14">
        <v>5.7473110767969597</v>
      </c>
      <c r="AE20" s="14">
        <f>AD20-AC20</f>
        <v>-8.8817841970012523E-15</v>
      </c>
      <c r="AF20"/>
      <c r="AG20"/>
      <c r="AH20"/>
      <c r="AI20"/>
      <c r="AJ20"/>
      <c r="AK20"/>
      <c r="AL20"/>
      <c r="AM20"/>
      <c r="AN20"/>
      <c r="AO20"/>
      <c r="AP20"/>
      <c r="AQ20"/>
    </row>
    <row r="21" spans="1:43" x14ac:dyDescent="0.55000000000000004">
      <c r="A21">
        <v>20</v>
      </c>
      <c r="B21" s="7">
        <f t="shared" si="0"/>
        <v>20</v>
      </c>
      <c r="C21" s="7">
        <f t="shared" si="1"/>
        <v>0</v>
      </c>
      <c r="D21" t="s">
        <v>181</v>
      </c>
      <c r="E21" t="s">
        <v>34</v>
      </c>
      <c r="F21" t="s">
        <v>82</v>
      </c>
      <c r="G21">
        <v>10</v>
      </c>
      <c r="H21">
        <v>36.799999999999997</v>
      </c>
      <c r="I21">
        <v>18.5</v>
      </c>
      <c r="J21">
        <v>0.46500000000000002</v>
      </c>
      <c r="K21">
        <v>2.7</v>
      </c>
      <c r="L21">
        <v>6</v>
      </c>
      <c r="M21">
        <v>0.86699999999999999</v>
      </c>
      <c r="N21">
        <v>6.2</v>
      </c>
      <c r="O21">
        <v>1.9</v>
      </c>
      <c r="P21">
        <v>0.9</v>
      </c>
      <c r="Q21">
        <v>1.2</v>
      </c>
      <c r="R21">
        <v>1.4</v>
      </c>
      <c r="S21">
        <v>25.1</v>
      </c>
      <c r="T21" s="14">
        <f>(J21 - AVERAGE(FG_Range))*I21</f>
        <v>0.11493470149253718</v>
      </c>
      <c r="U21" s="14">
        <f>(M21 - AVERAGE(FT_RANGE))*L21</f>
        <v>0.62320152091254455</v>
      </c>
      <c r="V21" s="14">
        <f>(K21 - AVERAGE(Three_Range))/STDEV(Three_Range)</f>
        <v>1.2581593956880914</v>
      </c>
      <c r="W21" s="14">
        <f>(S21 - AVERAGE(Pts_Range))/STDEV(Pts_Range)</f>
        <v>1.975739235530438</v>
      </c>
      <c r="X21" s="14">
        <f>(N21 - AVERAGE(Reb_Range))/STDEV(Reb_Range)</f>
        <v>0.53700469522948058</v>
      </c>
      <c r="Y21" s="14">
        <f>(O21 - AVERAGE(Ast_Range))/STDEV(Ast_Range)</f>
        <v>-0.4421604214768674</v>
      </c>
      <c r="Z21" s="14">
        <f>(P21 - AVERAGE(Stl_Range))/STDEV(Stl_Range)</f>
        <v>9.7549685463496322E-2</v>
      </c>
      <c r="AA21" s="14">
        <f>(Q21 - AVERAGE(Blk_Range))/STDEV(Blk_Range)</f>
        <v>1.218027827111587</v>
      </c>
      <c r="AB21" s="14">
        <f>(R21 - AVERAGE(Tov_Range))/STDEV(Tov_Range)*-1</f>
        <v>0.18878026322165675</v>
      </c>
      <c r="AC21" s="14">
        <f>SUM(T21:AB21)</f>
        <v>5.5712369031729638</v>
      </c>
      <c r="AD21" s="14">
        <v>5.5712369031729594</v>
      </c>
      <c r="AE21" s="14">
        <f>AD21-AC21</f>
        <v>0</v>
      </c>
      <c r="AF21"/>
      <c r="AG21"/>
      <c r="AH21"/>
      <c r="AI21"/>
      <c r="AJ21"/>
      <c r="AK21"/>
      <c r="AL21"/>
      <c r="AM21"/>
      <c r="AN21"/>
      <c r="AO21"/>
      <c r="AP21"/>
      <c r="AQ21"/>
    </row>
    <row r="22" spans="1:43" x14ac:dyDescent="0.55000000000000004">
      <c r="A22">
        <v>21</v>
      </c>
      <c r="B22" s="7">
        <f t="shared" si="0"/>
        <v>21</v>
      </c>
      <c r="C22" s="7">
        <f t="shared" si="1"/>
        <v>0</v>
      </c>
      <c r="D22" t="s">
        <v>442</v>
      </c>
      <c r="E22" t="s">
        <v>18</v>
      </c>
      <c r="F22" t="s">
        <v>36</v>
      </c>
      <c r="G22">
        <v>8</v>
      </c>
      <c r="H22">
        <v>32.9</v>
      </c>
      <c r="I22">
        <v>17.5</v>
      </c>
      <c r="J22">
        <v>0.52900000000000003</v>
      </c>
      <c r="K22">
        <v>1.3</v>
      </c>
      <c r="L22">
        <v>4</v>
      </c>
      <c r="M22">
        <v>0.71899999999999997</v>
      </c>
      <c r="N22">
        <v>9.5</v>
      </c>
      <c r="O22">
        <v>1.3</v>
      </c>
      <c r="P22">
        <v>0.8</v>
      </c>
      <c r="Q22">
        <v>1.6</v>
      </c>
      <c r="R22">
        <v>1.5</v>
      </c>
      <c r="S22">
        <v>22.6</v>
      </c>
      <c r="T22" s="14">
        <f>(J22 - AVERAGE(FG_Range))*I22</f>
        <v>1.228722014925373</v>
      </c>
      <c r="U22" s="14">
        <f>(M22 - AVERAGE(FT_RANGE))*L22</f>
        <v>-0.17653231939163705</v>
      </c>
      <c r="V22" s="14">
        <f>(K22 - AVERAGE(Three_Range))/STDEV(Three_Range)</f>
        <v>-0.18017517244771702</v>
      </c>
      <c r="W22" s="14">
        <f>(S22 - AVERAGE(Pts_Range))/STDEV(Pts_Range)</f>
        <v>1.5757557673916269</v>
      </c>
      <c r="X22" s="14">
        <f>(N22 - AVERAGE(Reb_Range))/STDEV(Reb_Range)</f>
        <v>1.8226759254973508</v>
      </c>
      <c r="Y22" s="14">
        <f>(O22 - AVERAGE(Ast_Range))/STDEV(Ast_Range)</f>
        <v>-0.73438975059104861</v>
      </c>
      <c r="Z22" s="14">
        <f>(P22 - AVERAGE(Stl_Range))/STDEV(Stl_Range)</f>
        <v>-0.11673978752188821</v>
      </c>
      <c r="AA22" s="14">
        <f>(Q22 - AVERAGE(Blk_Range))/STDEV(Blk_Range)</f>
        <v>1.9557260365260618</v>
      </c>
      <c r="AB22" s="14">
        <f>(R22 - AVERAGE(Tov_Range))/STDEV(Tov_Range)*-1</f>
        <v>8.4032622345043773E-2</v>
      </c>
      <c r="AC22" s="14">
        <f>SUM(T22:AB22)</f>
        <v>5.4590753367331653</v>
      </c>
      <c r="AD22" s="14">
        <v>5.459075336733167</v>
      </c>
      <c r="AE22" s="14">
        <f>AD22-AC22</f>
        <v>0</v>
      </c>
      <c r="AF22"/>
      <c r="AG22"/>
      <c r="AH22"/>
      <c r="AI22"/>
      <c r="AJ22"/>
      <c r="AK22"/>
      <c r="AL22"/>
      <c r="AM22"/>
      <c r="AN22"/>
      <c r="AO22"/>
      <c r="AP22"/>
      <c r="AQ22"/>
    </row>
    <row r="23" spans="1:43" x14ac:dyDescent="0.55000000000000004">
      <c r="A23">
        <v>22</v>
      </c>
      <c r="B23" s="7">
        <f t="shared" si="0"/>
        <v>22</v>
      </c>
      <c r="C23" s="7">
        <f t="shared" si="1"/>
        <v>0</v>
      </c>
      <c r="D23" t="s">
        <v>308</v>
      </c>
      <c r="E23" t="s">
        <v>34</v>
      </c>
      <c r="F23" t="s">
        <v>38</v>
      </c>
      <c r="G23">
        <v>11</v>
      </c>
      <c r="H23">
        <v>32</v>
      </c>
      <c r="I23">
        <v>15.3</v>
      </c>
      <c r="J23">
        <v>0.55400000000000005</v>
      </c>
      <c r="K23">
        <v>2.8</v>
      </c>
      <c r="L23">
        <v>2.9</v>
      </c>
      <c r="M23">
        <v>0.93799999999999994</v>
      </c>
      <c r="N23">
        <v>6.7</v>
      </c>
      <c r="O23">
        <v>5.6</v>
      </c>
      <c r="P23">
        <v>0.9</v>
      </c>
      <c r="Q23">
        <v>0.2</v>
      </c>
      <c r="R23">
        <v>2.6</v>
      </c>
      <c r="S23">
        <v>22.5</v>
      </c>
      <c r="T23" s="14">
        <f>(J23 - AVERAGE(FG_Range))*I23</f>
        <v>1.4567541044776122</v>
      </c>
      <c r="U23" s="14">
        <f>(M23 - AVERAGE(FT_RANGE))*L23</f>
        <v>0.50711406844106299</v>
      </c>
      <c r="V23" s="14">
        <f>(K23 - AVERAGE(Three_Range))/STDEV(Three_Range)</f>
        <v>1.3608975791263631</v>
      </c>
      <c r="W23" s="14">
        <f>(S23 - AVERAGE(Pts_Range))/STDEV(Pts_Range)</f>
        <v>1.5597564286660743</v>
      </c>
      <c r="X23" s="14">
        <f>(N23 - AVERAGE(Reb_Range))/STDEV(Reb_Range)</f>
        <v>0.73180336648218824</v>
      </c>
      <c r="Y23" s="14">
        <f>(O23 - AVERAGE(Ast_Range))/STDEV(Ast_Range)</f>
        <v>1.3599204413939168</v>
      </c>
      <c r="Z23" s="14">
        <f>(P23 - AVERAGE(Stl_Range))/STDEV(Stl_Range)</f>
        <v>9.7549685463496322E-2</v>
      </c>
      <c r="AA23" s="14">
        <f>(Q23 - AVERAGE(Blk_Range))/STDEV(Blk_Range)</f>
        <v>-0.6262176964245999</v>
      </c>
      <c r="AB23" s="14">
        <f>(R23 - AVERAGE(Tov_Range))/STDEV(Tov_Range)*-1</f>
        <v>-1.068191427297698</v>
      </c>
      <c r="AC23" s="14">
        <f>SUM(T23:AB23)</f>
        <v>5.3793865503284151</v>
      </c>
      <c r="AD23" s="14">
        <v>5.3793865503284097</v>
      </c>
      <c r="AE23" s="14">
        <f>AD23-AC23</f>
        <v>0</v>
      </c>
      <c r="AF23"/>
      <c r="AG23"/>
      <c r="AH23"/>
      <c r="AI23"/>
      <c r="AJ23"/>
      <c r="AK23"/>
      <c r="AL23"/>
      <c r="AM23"/>
      <c r="AN23"/>
      <c r="AO23"/>
      <c r="AP23"/>
      <c r="AQ23"/>
    </row>
    <row r="24" spans="1:43" x14ac:dyDescent="0.55000000000000004">
      <c r="A24">
        <v>23</v>
      </c>
      <c r="B24" s="7">
        <f t="shared" si="0"/>
        <v>23</v>
      </c>
      <c r="C24" s="7">
        <f t="shared" si="1"/>
        <v>0</v>
      </c>
      <c r="D24" t="s">
        <v>85</v>
      </c>
      <c r="E24" t="s">
        <v>18</v>
      </c>
      <c r="F24" t="s">
        <v>44</v>
      </c>
      <c r="G24">
        <v>10</v>
      </c>
      <c r="H24">
        <v>22.2</v>
      </c>
      <c r="I24">
        <v>9</v>
      </c>
      <c r="J24">
        <v>0.57799999999999996</v>
      </c>
      <c r="K24">
        <v>1.7</v>
      </c>
      <c r="L24">
        <v>3</v>
      </c>
      <c r="M24">
        <v>0.73299999999999998</v>
      </c>
      <c r="N24">
        <v>6.2</v>
      </c>
      <c r="O24">
        <v>0.9</v>
      </c>
      <c r="P24">
        <v>0.6</v>
      </c>
      <c r="Q24">
        <v>2.6</v>
      </c>
      <c r="R24">
        <v>0.6</v>
      </c>
      <c r="S24">
        <v>14.3</v>
      </c>
      <c r="T24" s="14">
        <f>(J24 - AVERAGE(FG_Range))*I24</f>
        <v>1.072914179104477</v>
      </c>
      <c r="U24" s="14">
        <f>(M24 - AVERAGE(FT_RANGE))*L24</f>
        <v>-9.039923954372775E-2</v>
      </c>
      <c r="V24" s="14">
        <f>(K24 - AVERAGE(Three_Range))/STDEV(Three_Range)</f>
        <v>0.230777561305371</v>
      </c>
      <c r="W24" s="14">
        <f>(S24 - AVERAGE(Pts_Range))/STDEV(Pts_Range)</f>
        <v>0.24781065317077469</v>
      </c>
      <c r="X24" s="14">
        <f>(N24 - AVERAGE(Reb_Range))/STDEV(Reb_Range)</f>
        <v>0.53700469522948058</v>
      </c>
      <c r="Y24" s="14">
        <f>(O24 - AVERAGE(Ast_Range))/STDEV(Ast_Range)</f>
        <v>-0.92920930333383611</v>
      </c>
      <c r="Z24" s="14">
        <f>(P24 - AVERAGE(Stl_Range))/STDEV(Stl_Range)</f>
        <v>-0.54531873349265758</v>
      </c>
      <c r="AA24" s="14">
        <f>(Q24 - AVERAGE(Blk_Range))/STDEV(Blk_Range)</f>
        <v>3.7999715600622488</v>
      </c>
      <c r="AB24" s="14">
        <f>(R24 - AVERAGE(Tov_Range))/STDEV(Tov_Range)*-1</f>
        <v>1.0267613902345596</v>
      </c>
      <c r="AC24" s="14">
        <f>SUM(T24:AB24)</f>
        <v>5.3503127627366904</v>
      </c>
      <c r="AD24" s="14">
        <v>5.3503127627366887</v>
      </c>
      <c r="AE24" s="14">
        <f>AD24-AC24</f>
        <v>0</v>
      </c>
      <c r="AF24"/>
      <c r="AG24"/>
      <c r="AH24"/>
      <c r="AI24"/>
      <c r="AJ24"/>
      <c r="AK24"/>
      <c r="AL24"/>
      <c r="AM24"/>
      <c r="AN24"/>
      <c r="AO24"/>
      <c r="AP24"/>
      <c r="AQ24"/>
    </row>
    <row r="25" spans="1:43" x14ac:dyDescent="0.55000000000000004">
      <c r="A25">
        <v>24</v>
      </c>
      <c r="B25" s="7">
        <f t="shared" si="0"/>
        <v>24</v>
      </c>
      <c r="C25" s="7">
        <f t="shared" si="1"/>
        <v>0</v>
      </c>
      <c r="D25" t="s">
        <v>136</v>
      </c>
      <c r="E25" t="s">
        <v>34</v>
      </c>
      <c r="F25" t="s">
        <v>23</v>
      </c>
      <c r="G25">
        <v>9</v>
      </c>
      <c r="H25">
        <v>34.4</v>
      </c>
      <c r="I25">
        <v>14.8</v>
      </c>
      <c r="J25">
        <v>0.48899999999999999</v>
      </c>
      <c r="K25">
        <v>1</v>
      </c>
      <c r="L25">
        <v>6.7</v>
      </c>
      <c r="M25">
        <v>0.86699999999999999</v>
      </c>
      <c r="N25">
        <v>5.6</v>
      </c>
      <c r="O25">
        <v>7</v>
      </c>
      <c r="P25">
        <v>0.9</v>
      </c>
      <c r="Q25">
        <v>0.7</v>
      </c>
      <c r="R25">
        <v>1.3</v>
      </c>
      <c r="S25">
        <v>21.2</v>
      </c>
      <c r="T25" s="14">
        <f>(J25 - AVERAGE(FG_Range))*I25</f>
        <v>0.44714776119402927</v>
      </c>
      <c r="U25" s="14">
        <f>(M25 - AVERAGE(FT_RANGE))*L25</f>
        <v>0.6959083650190081</v>
      </c>
      <c r="V25" s="14">
        <f>(K25 - AVERAGE(Three_Range))/STDEV(Three_Range)</f>
        <v>-0.48838972276253317</v>
      </c>
      <c r="W25" s="14">
        <f>(S25 - AVERAGE(Pts_Range))/STDEV(Pts_Range)</f>
        <v>1.3517650252338926</v>
      </c>
      <c r="X25" s="14">
        <f>(N25 - AVERAGE(Reb_Range))/STDEV(Reb_Range)</f>
        <v>0.30324628972623124</v>
      </c>
      <c r="Y25" s="14">
        <f>(O25 - AVERAGE(Ast_Range))/STDEV(Ast_Range)</f>
        <v>2.0417888759936731</v>
      </c>
      <c r="Z25" s="14">
        <f>(P25 - AVERAGE(Stl_Range))/STDEV(Stl_Range)</f>
        <v>9.7549685463496322E-2</v>
      </c>
      <c r="AA25" s="14">
        <f>(Q25 - AVERAGE(Blk_Range))/STDEV(Blk_Range)</f>
        <v>0.29590506534349342</v>
      </c>
      <c r="AB25" s="14">
        <f>(R25 - AVERAGE(Tov_Range))/STDEV(Tov_Range)*-1</f>
        <v>0.29352790409826945</v>
      </c>
      <c r="AC25" s="14">
        <f>SUM(T25:AB25)</f>
        <v>5.0384492493095605</v>
      </c>
      <c r="AD25" s="14">
        <v>5.0384492493095614</v>
      </c>
      <c r="AE25" s="14">
        <f>AD25-AC25</f>
        <v>0</v>
      </c>
      <c r="AF25"/>
      <c r="AG25"/>
      <c r="AH25"/>
      <c r="AI25"/>
      <c r="AJ25"/>
      <c r="AK25"/>
      <c r="AL25"/>
      <c r="AM25"/>
      <c r="AN25"/>
      <c r="AO25"/>
      <c r="AP25"/>
      <c r="AQ25"/>
    </row>
    <row r="26" spans="1:43" x14ac:dyDescent="0.55000000000000004">
      <c r="A26">
        <v>25</v>
      </c>
      <c r="B26" s="7">
        <f t="shared" si="0"/>
        <v>25</v>
      </c>
      <c r="C26" s="7">
        <f t="shared" si="1"/>
        <v>0</v>
      </c>
      <c r="D26" t="s">
        <v>269</v>
      </c>
      <c r="E26" t="s">
        <v>25</v>
      </c>
      <c r="F26" t="s">
        <v>47</v>
      </c>
      <c r="G26">
        <v>11</v>
      </c>
      <c r="H26">
        <v>35.200000000000003</v>
      </c>
      <c r="I26">
        <v>19.8</v>
      </c>
      <c r="J26">
        <v>0.49099999999999999</v>
      </c>
      <c r="K26">
        <v>3.3</v>
      </c>
      <c r="L26">
        <v>5.6</v>
      </c>
      <c r="M26">
        <v>0.88700000000000001</v>
      </c>
      <c r="N26">
        <v>5.0999999999999996</v>
      </c>
      <c r="O26">
        <v>4.5999999999999996</v>
      </c>
      <c r="P26">
        <v>1.3</v>
      </c>
      <c r="Q26">
        <v>0.6</v>
      </c>
      <c r="R26">
        <v>4.0999999999999996</v>
      </c>
      <c r="S26">
        <v>27.7</v>
      </c>
      <c r="T26" s="14">
        <f>(J26 - AVERAGE(FG_Range))*I26</f>
        <v>0.63781119402984998</v>
      </c>
      <c r="U26" s="14">
        <f>(M26 - AVERAGE(FT_RANGE))*L26</f>
        <v>0.6936547528517083</v>
      </c>
      <c r="V26" s="14">
        <f>(K26 - AVERAGE(Three_Range))/STDEV(Three_Range)</f>
        <v>1.8745884963177233</v>
      </c>
      <c r="W26" s="14">
        <f>(S26 - AVERAGE(Pts_Range))/STDEV(Pts_Range)</f>
        <v>2.3917220423948011</v>
      </c>
      <c r="X26" s="14">
        <f>(N26 - AVERAGE(Reb_Range))/STDEV(Reb_Range)</f>
        <v>0.1084476184735236</v>
      </c>
      <c r="Y26" s="14">
        <f>(O26 - AVERAGE(Ast_Range))/STDEV(Ast_Range)</f>
        <v>0.87287155953694806</v>
      </c>
      <c r="Z26" s="14">
        <f>(P26 - AVERAGE(Stl_Range))/STDEV(Stl_Range)</f>
        <v>0.95470757740503476</v>
      </c>
      <c r="AA26" s="14">
        <f>(Q26 - AVERAGE(Blk_Range))/STDEV(Blk_Range)</f>
        <v>0.11148051298987478</v>
      </c>
      <c r="AB26" s="14">
        <f>(R26 - AVERAGE(Tov_Range))/STDEV(Tov_Range)*-1</f>
        <v>-2.6394060404468904</v>
      </c>
      <c r="AC26" s="14">
        <f>SUM(T26:AB26)</f>
        <v>5.0058777135525743</v>
      </c>
      <c r="AD26" s="14">
        <v>5.0058777135525609</v>
      </c>
      <c r="AE26" s="14">
        <f>AD26-AC26</f>
        <v>-1.3322676295501878E-14</v>
      </c>
      <c r="AF26"/>
      <c r="AG26"/>
      <c r="AH26"/>
      <c r="AI26"/>
      <c r="AJ26"/>
      <c r="AK26"/>
      <c r="AL26"/>
      <c r="AM26"/>
      <c r="AN26"/>
      <c r="AO26"/>
      <c r="AP26"/>
      <c r="AQ26"/>
    </row>
    <row r="27" spans="1:43" x14ac:dyDescent="0.55000000000000004">
      <c r="A27">
        <v>26</v>
      </c>
      <c r="B27" s="7">
        <f t="shared" si="0"/>
        <v>26</v>
      </c>
      <c r="C27" s="7">
        <f t="shared" si="1"/>
        <v>0</v>
      </c>
      <c r="D27" t="s">
        <v>279</v>
      </c>
      <c r="E27" t="s">
        <v>46</v>
      </c>
      <c r="F27" t="s">
        <v>43</v>
      </c>
      <c r="G27">
        <v>10</v>
      </c>
      <c r="H27">
        <v>35.1</v>
      </c>
      <c r="I27">
        <v>18.5</v>
      </c>
      <c r="J27">
        <v>0.438</v>
      </c>
      <c r="K27">
        <v>3.7</v>
      </c>
      <c r="L27">
        <v>6.8</v>
      </c>
      <c r="M27">
        <v>0.91200000000000003</v>
      </c>
      <c r="N27">
        <v>4.9000000000000004</v>
      </c>
      <c r="O27">
        <v>6.4</v>
      </c>
      <c r="P27">
        <v>0.8</v>
      </c>
      <c r="Q27">
        <v>0.3</v>
      </c>
      <c r="R27">
        <v>3</v>
      </c>
      <c r="S27">
        <v>26.1</v>
      </c>
      <c r="T27" s="14">
        <f>(J27 - AVERAGE(FG_Range))*I27</f>
        <v>-0.38456529850746324</v>
      </c>
      <c r="U27" s="14">
        <f>(M27 - AVERAGE(FT_RANGE))*L27</f>
        <v>1.0122950570342173</v>
      </c>
      <c r="V27" s="14">
        <f>(K27 - AVERAGE(Three_Range))/STDEV(Three_Range)</f>
        <v>2.285541230070812</v>
      </c>
      <c r="W27" s="14">
        <f>(S27 - AVERAGE(Pts_Range))/STDEV(Pts_Range)</f>
        <v>2.1357326227859623</v>
      </c>
      <c r="X27" s="14">
        <f>(N27 - AVERAGE(Reb_Range))/STDEV(Reb_Range)</f>
        <v>3.0528149972440837E-2</v>
      </c>
      <c r="Y27" s="14">
        <f>(O27 - AVERAGE(Ast_Range))/STDEV(Ast_Range)</f>
        <v>1.749559546879492</v>
      </c>
      <c r="Z27" s="14">
        <f>(P27 - AVERAGE(Stl_Range))/STDEV(Stl_Range)</f>
        <v>-0.11673978752188821</v>
      </c>
      <c r="AA27" s="14">
        <f>(Q27 - AVERAGE(Blk_Range))/STDEV(Blk_Range)</f>
        <v>-0.4417931440709813</v>
      </c>
      <c r="AB27" s="14">
        <f>(R27 - AVERAGE(Tov_Range))/STDEV(Tov_Range)*-1</f>
        <v>-1.4871819908041493</v>
      </c>
      <c r="AC27" s="14">
        <f>SUM(T27:AB27)</f>
        <v>4.7833763858384426</v>
      </c>
      <c r="AD27" s="14">
        <v>4.7833763858384266</v>
      </c>
      <c r="AE27" s="14">
        <f>AD27-AC27</f>
        <v>-1.5987211554602254E-14</v>
      </c>
      <c r="AF27"/>
      <c r="AG27"/>
      <c r="AH27"/>
      <c r="AI27"/>
      <c r="AJ27"/>
      <c r="AK27"/>
      <c r="AL27"/>
      <c r="AM27"/>
      <c r="AN27"/>
      <c r="AO27"/>
      <c r="AP27"/>
      <c r="AQ27"/>
    </row>
    <row r="28" spans="1:43" x14ac:dyDescent="0.55000000000000004">
      <c r="A28">
        <v>27</v>
      </c>
      <c r="B28" s="7">
        <f t="shared" si="0"/>
        <v>27</v>
      </c>
      <c r="C28" s="7">
        <f t="shared" si="1"/>
        <v>0</v>
      </c>
      <c r="D28" t="s">
        <v>37</v>
      </c>
      <c r="E28" t="s">
        <v>15</v>
      </c>
      <c r="F28" t="s">
        <v>38</v>
      </c>
      <c r="G28">
        <v>10</v>
      </c>
      <c r="H28">
        <v>31</v>
      </c>
      <c r="I28">
        <v>18.100000000000001</v>
      </c>
      <c r="J28">
        <v>0.52500000000000002</v>
      </c>
      <c r="K28">
        <v>1.4</v>
      </c>
      <c r="L28">
        <v>10</v>
      </c>
      <c r="M28">
        <v>0.62</v>
      </c>
      <c r="N28">
        <v>10.1</v>
      </c>
      <c r="O28">
        <v>5.0999999999999996</v>
      </c>
      <c r="P28">
        <v>1.2</v>
      </c>
      <c r="Q28">
        <v>1</v>
      </c>
      <c r="R28">
        <v>3.4</v>
      </c>
      <c r="S28">
        <v>26.6</v>
      </c>
      <c r="T28" s="14">
        <f>(J28 - AVERAGE(FG_Range))*I28</f>
        <v>1.1984496268656715</v>
      </c>
      <c r="U28" s="14">
        <f>(M28 - AVERAGE(FT_RANGE))*L28</f>
        <v>-1.4313307984790924</v>
      </c>
      <c r="V28" s="14">
        <f>(K28 - AVERAGE(Three_Range))/STDEV(Three_Range)</f>
        <v>-7.7436989009445123E-2</v>
      </c>
      <c r="W28" s="14">
        <f>(S28 - AVERAGE(Pts_Range))/STDEV(Pts_Range)</f>
        <v>2.2157293164137246</v>
      </c>
      <c r="X28" s="14">
        <f>(N28 - AVERAGE(Reb_Range))/STDEV(Reb_Range)</f>
        <v>2.0564343310006001</v>
      </c>
      <c r="Y28" s="14">
        <f>(O28 - AVERAGE(Ast_Range))/STDEV(Ast_Range)</f>
        <v>1.1163960004654323</v>
      </c>
      <c r="Z28" s="14">
        <f>(P28 - AVERAGE(Stl_Range))/STDEV(Stl_Range)</f>
        <v>0.74041810441964995</v>
      </c>
      <c r="AA28" s="14">
        <f>(Q28 - AVERAGE(Blk_Range))/STDEV(Blk_Range)</f>
        <v>0.84917872240434955</v>
      </c>
      <c r="AB28" s="14">
        <f>(R28 - AVERAGE(Tov_Range))/STDEV(Tov_Range)*-1</f>
        <v>-1.9061725543106007</v>
      </c>
      <c r="AC28" s="14">
        <f>SUM(T28:AB28)</f>
        <v>4.7616657597702901</v>
      </c>
      <c r="AD28" s="14">
        <v>4.7616657597702865</v>
      </c>
      <c r="AE28" s="14">
        <f>AD28-AC28</f>
        <v>0</v>
      </c>
      <c r="AF28"/>
      <c r="AG28"/>
      <c r="AH28"/>
      <c r="AI28"/>
      <c r="AJ28"/>
      <c r="AK28"/>
      <c r="AL28"/>
      <c r="AM28"/>
      <c r="AN28"/>
      <c r="AO28"/>
      <c r="AP28"/>
      <c r="AQ28"/>
    </row>
    <row r="29" spans="1:43" x14ac:dyDescent="0.55000000000000004">
      <c r="A29">
        <v>28</v>
      </c>
      <c r="B29" s="7">
        <f t="shared" si="0"/>
        <v>28</v>
      </c>
      <c r="C29" s="7">
        <f t="shared" si="1"/>
        <v>0</v>
      </c>
      <c r="D29" t="s">
        <v>198</v>
      </c>
      <c r="E29" t="s">
        <v>15</v>
      </c>
      <c r="F29" t="s">
        <v>80</v>
      </c>
      <c r="G29">
        <v>9</v>
      </c>
      <c r="H29">
        <v>32.9</v>
      </c>
      <c r="I29">
        <v>14.9</v>
      </c>
      <c r="J29">
        <v>0.50700000000000001</v>
      </c>
      <c r="K29">
        <v>2.2999999999999998</v>
      </c>
      <c r="L29">
        <v>1.9</v>
      </c>
      <c r="M29">
        <v>0.82399999999999995</v>
      </c>
      <c r="N29">
        <v>7.9</v>
      </c>
      <c r="O29">
        <v>3.1</v>
      </c>
      <c r="P29">
        <v>1.1000000000000001</v>
      </c>
      <c r="Q29">
        <v>1</v>
      </c>
      <c r="R29">
        <v>2.2000000000000002</v>
      </c>
      <c r="S29">
        <v>19</v>
      </c>
      <c r="T29" s="14">
        <f>(J29 - AVERAGE(FG_Range))*I29</f>
        <v>0.71836902985074591</v>
      </c>
      <c r="U29" s="14">
        <f>(M29 - AVERAGE(FT_RANGE))*L29</f>
        <v>0.11564714828897237</v>
      </c>
      <c r="V29" s="14">
        <f>(K29 - AVERAGE(Three_Range))/STDEV(Three_Range)</f>
        <v>0.84720666193500305</v>
      </c>
      <c r="W29" s="14">
        <f>(S29 - AVERAGE(Pts_Range))/STDEV(Pts_Range)</f>
        <v>0.99977957327173905</v>
      </c>
      <c r="X29" s="14">
        <f>(N29 - AVERAGE(Reb_Range))/STDEV(Reb_Range)</f>
        <v>1.1993201774886866</v>
      </c>
      <c r="Y29" s="14">
        <f>(O29 - AVERAGE(Ast_Range))/STDEV(Ast_Range)</f>
        <v>0.14229823675149517</v>
      </c>
      <c r="Z29" s="14">
        <f>(P29 - AVERAGE(Stl_Range))/STDEV(Stl_Range)</f>
        <v>0.52612863143426558</v>
      </c>
      <c r="AA29" s="14">
        <f>(Q29 - AVERAGE(Blk_Range))/STDEV(Blk_Range)</f>
        <v>0.84917872240434955</v>
      </c>
      <c r="AB29" s="14">
        <f>(R29 - AVERAGE(Tov_Range))/STDEV(Tov_Range)*-1</f>
        <v>-0.64920086379124653</v>
      </c>
      <c r="AC29" s="14">
        <f>SUM(T29:AB29)</f>
        <v>4.7487273176340121</v>
      </c>
      <c r="AD29" s="14">
        <v>4.7487273176340086</v>
      </c>
      <c r="AE29" s="14">
        <f>AD29-AC29</f>
        <v>0</v>
      </c>
      <c r="AF29"/>
      <c r="AG29"/>
      <c r="AH29"/>
      <c r="AI29"/>
      <c r="AJ29"/>
      <c r="AK29"/>
      <c r="AL29"/>
      <c r="AM29"/>
      <c r="AN29"/>
      <c r="AO29"/>
      <c r="AP29"/>
      <c r="AQ29"/>
    </row>
    <row r="30" spans="1:43" x14ac:dyDescent="0.55000000000000004">
      <c r="A30">
        <v>29</v>
      </c>
      <c r="B30" s="7">
        <f t="shared" si="0"/>
        <v>29</v>
      </c>
      <c r="C30" s="7">
        <f t="shared" si="1"/>
        <v>0</v>
      </c>
      <c r="D30" t="s">
        <v>104</v>
      </c>
      <c r="E30" t="s">
        <v>25</v>
      </c>
      <c r="F30" t="s">
        <v>31</v>
      </c>
      <c r="G30">
        <v>3</v>
      </c>
      <c r="H30">
        <v>27.7</v>
      </c>
      <c r="I30">
        <v>10.7</v>
      </c>
      <c r="J30">
        <v>0.53100000000000003</v>
      </c>
      <c r="K30">
        <v>3.3</v>
      </c>
      <c r="L30">
        <v>6.7</v>
      </c>
      <c r="M30">
        <v>0.9</v>
      </c>
      <c r="N30">
        <v>3.7</v>
      </c>
      <c r="O30">
        <v>3.7</v>
      </c>
      <c r="P30">
        <v>1</v>
      </c>
      <c r="Q30">
        <v>0.7</v>
      </c>
      <c r="R30">
        <v>2.2999999999999998</v>
      </c>
      <c r="S30">
        <v>20.7</v>
      </c>
      <c r="T30" s="14">
        <f>(J30 - AVERAGE(FG_Range))*I30</f>
        <v>0.77267574626865665</v>
      </c>
      <c r="U30" s="14">
        <f>(M30 - AVERAGE(FT_RANGE))*L30</f>
        <v>0.91700836501900829</v>
      </c>
      <c r="V30" s="14">
        <f>(K30 - AVERAGE(Three_Range))/STDEV(Three_Range)</f>
        <v>1.8745884963177233</v>
      </c>
      <c r="W30" s="14">
        <f>(S30 - AVERAGE(Pts_Range))/STDEV(Pts_Range)</f>
        <v>1.2717683316061303</v>
      </c>
      <c r="X30" s="14">
        <f>(N30 - AVERAGE(Reb_Range))/STDEV(Reb_Range)</f>
        <v>-0.43698866103405754</v>
      </c>
      <c r="Y30" s="14">
        <f>(O30 - AVERAGE(Ast_Range))/STDEV(Ast_Range)</f>
        <v>0.43452756586567642</v>
      </c>
      <c r="Z30" s="14">
        <f>(P30 - AVERAGE(Stl_Range))/STDEV(Stl_Range)</f>
        <v>0.31183915844888088</v>
      </c>
      <c r="AA30" s="14">
        <f>(Q30 - AVERAGE(Blk_Range))/STDEV(Blk_Range)</f>
        <v>0.29590506534349342</v>
      </c>
      <c r="AB30" s="14">
        <f>(R30 - AVERAGE(Tov_Range))/STDEV(Tov_Range)*-1</f>
        <v>-0.75394850466785901</v>
      </c>
      <c r="AC30" s="14">
        <f>SUM(T30:AB30)</f>
        <v>4.6873755631676524</v>
      </c>
      <c r="AD30" s="14">
        <v>4.6873755631676426</v>
      </c>
      <c r="AE30" s="14">
        <f>AD30-AC30</f>
        <v>-9.7699626167013776E-15</v>
      </c>
      <c r="AF30"/>
      <c r="AG30"/>
      <c r="AH30"/>
      <c r="AI30"/>
      <c r="AJ30"/>
      <c r="AK30"/>
      <c r="AL30"/>
      <c r="AM30"/>
      <c r="AN30"/>
      <c r="AO30"/>
      <c r="AP30"/>
      <c r="AQ30"/>
    </row>
    <row r="31" spans="1:43" x14ac:dyDescent="0.55000000000000004">
      <c r="A31">
        <v>30</v>
      </c>
      <c r="B31" s="7">
        <f t="shared" si="0"/>
        <v>30</v>
      </c>
      <c r="C31" s="7">
        <f t="shared" si="1"/>
        <v>0</v>
      </c>
      <c r="D31" t="s">
        <v>215</v>
      </c>
      <c r="E31" t="s">
        <v>46</v>
      </c>
      <c r="F31" t="s">
        <v>38</v>
      </c>
      <c r="G31">
        <v>11</v>
      </c>
      <c r="H31">
        <v>31.1</v>
      </c>
      <c r="I31">
        <v>11.8</v>
      </c>
      <c r="J31">
        <v>0.47699999999999998</v>
      </c>
      <c r="K31">
        <v>1.6</v>
      </c>
      <c r="L31">
        <v>2</v>
      </c>
      <c r="M31">
        <v>0.86399999999999999</v>
      </c>
      <c r="N31">
        <v>4.2</v>
      </c>
      <c r="O31">
        <v>5</v>
      </c>
      <c r="P31">
        <v>2.1</v>
      </c>
      <c r="Q31">
        <v>0.6</v>
      </c>
      <c r="R31">
        <v>1.5</v>
      </c>
      <c r="S31">
        <v>14.6</v>
      </c>
      <c r="T31" s="14">
        <f>(J31 - AVERAGE(FG_Range))*I31</f>
        <v>0.21490970149253671</v>
      </c>
      <c r="U31" s="14">
        <f>(M31 - AVERAGE(FT_RANGE))*L31</f>
        <v>0.20173384030418151</v>
      </c>
      <c r="V31" s="14">
        <f>(K31 - AVERAGE(Three_Range))/STDEV(Three_Range)</f>
        <v>0.12803937786709912</v>
      </c>
      <c r="W31" s="14">
        <f>(S31 - AVERAGE(Pts_Range))/STDEV(Pts_Range)</f>
        <v>0.29580866934743183</v>
      </c>
      <c r="X31" s="14">
        <f>(N31 - AVERAGE(Reb_Range))/STDEV(Reb_Range)</f>
        <v>-0.24218998978134992</v>
      </c>
      <c r="Y31" s="14">
        <f>(O31 - AVERAGE(Ast_Range))/STDEV(Ast_Range)</f>
        <v>1.0676911122797357</v>
      </c>
      <c r="Z31" s="14">
        <f>(P31 - AVERAGE(Stl_Range))/STDEV(Stl_Range)</f>
        <v>2.6690233612881116</v>
      </c>
      <c r="AA31" s="14">
        <f>(Q31 - AVERAGE(Blk_Range))/STDEV(Blk_Range)</f>
        <v>0.11148051298987478</v>
      </c>
      <c r="AB31" s="14">
        <f>(R31 - AVERAGE(Tov_Range))/STDEV(Tov_Range)*-1</f>
        <v>8.4032622345043773E-2</v>
      </c>
      <c r="AC31" s="14">
        <f>SUM(T31:AB31)</f>
        <v>4.5305292081326645</v>
      </c>
      <c r="AD31" s="14">
        <v>4.5305292081326716</v>
      </c>
      <c r="AE31" s="14">
        <f>AD31-AC31</f>
        <v>7.1054273576010019E-15</v>
      </c>
      <c r="AF31"/>
      <c r="AG31"/>
      <c r="AH31"/>
      <c r="AI31"/>
      <c r="AJ31"/>
      <c r="AK31"/>
      <c r="AL31"/>
      <c r="AM31"/>
      <c r="AN31"/>
      <c r="AO31"/>
      <c r="AP31"/>
      <c r="AQ31"/>
    </row>
    <row r="32" spans="1:43" x14ac:dyDescent="0.55000000000000004">
      <c r="A32">
        <v>31</v>
      </c>
      <c r="B32" s="7">
        <f t="shared" si="0"/>
        <v>31</v>
      </c>
      <c r="C32" s="7">
        <f t="shared" si="1"/>
        <v>0</v>
      </c>
      <c r="D32" t="s">
        <v>204</v>
      </c>
      <c r="E32" t="s">
        <v>34</v>
      </c>
      <c r="F32" t="s">
        <v>54</v>
      </c>
      <c r="G32">
        <v>11</v>
      </c>
      <c r="H32">
        <v>34.799999999999997</v>
      </c>
      <c r="I32">
        <v>16.600000000000001</v>
      </c>
      <c r="J32">
        <v>0.503</v>
      </c>
      <c r="K32">
        <v>2.1</v>
      </c>
      <c r="L32">
        <v>4</v>
      </c>
      <c r="M32">
        <v>0.93200000000000005</v>
      </c>
      <c r="N32">
        <v>5.2</v>
      </c>
      <c r="O32">
        <v>4</v>
      </c>
      <c r="P32">
        <v>1.4</v>
      </c>
      <c r="Q32">
        <v>0.4</v>
      </c>
      <c r="R32">
        <v>2.2999999999999998</v>
      </c>
      <c r="S32">
        <v>22.5</v>
      </c>
      <c r="T32" s="14">
        <f>(J32 - AVERAGE(FG_Range))*I32</f>
        <v>0.73393059701492491</v>
      </c>
      <c r="U32" s="14">
        <f>(M32 - AVERAGE(FT_RANGE))*L32</f>
        <v>0.67546768060836326</v>
      </c>
      <c r="V32" s="14">
        <f>(K32 - AVERAGE(Three_Range))/STDEV(Three_Range)</f>
        <v>0.64173029505845924</v>
      </c>
      <c r="W32" s="14">
        <f>(S32 - AVERAGE(Pts_Range))/STDEV(Pts_Range)</f>
        <v>1.5597564286660743</v>
      </c>
      <c r="X32" s="14">
        <f>(N32 - AVERAGE(Reb_Range))/STDEV(Reb_Range)</f>
        <v>0.14740735272406535</v>
      </c>
      <c r="Y32" s="14">
        <f>(O32 - AVERAGE(Ast_Range))/STDEV(Ast_Range)</f>
        <v>0.58064223042276697</v>
      </c>
      <c r="Z32" s="14">
        <f>(P32 - AVERAGE(Stl_Range))/STDEV(Stl_Range)</f>
        <v>1.168997050390419</v>
      </c>
      <c r="AA32" s="14">
        <f>(Q32 - AVERAGE(Blk_Range))/STDEV(Blk_Range)</f>
        <v>-0.25736859171736254</v>
      </c>
      <c r="AB32" s="14">
        <f>(R32 - AVERAGE(Tov_Range))/STDEV(Tov_Range)*-1</f>
        <v>-0.75394850466785901</v>
      </c>
      <c r="AC32" s="14">
        <f>SUM(T32:AB32)</f>
        <v>4.4966145384998519</v>
      </c>
      <c r="AD32" s="14">
        <v>4.496614538499851</v>
      </c>
      <c r="AE32" s="14">
        <f>AD32-AC32</f>
        <v>0</v>
      </c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x14ac:dyDescent="0.55000000000000004">
      <c r="A33">
        <v>32</v>
      </c>
      <c r="B33" s="7">
        <f t="shared" si="0"/>
        <v>32</v>
      </c>
      <c r="C33" s="7">
        <f t="shared" si="1"/>
        <v>0</v>
      </c>
      <c r="D33" t="s">
        <v>229</v>
      </c>
      <c r="E33" t="s">
        <v>34</v>
      </c>
      <c r="F33" t="s">
        <v>26</v>
      </c>
      <c r="G33">
        <v>9</v>
      </c>
      <c r="H33">
        <v>34.700000000000003</v>
      </c>
      <c r="I33">
        <v>17.8</v>
      </c>
      <c r="J33">
        <v>0.45</v>
      </c>
      <c r="K33">
        <v>2.2000000000000002</v>
      </c>
      <c r="L33">
        <v>6.8</v>
      </c>
      <c r="M33">
        <v>0.85199999999999998</v>
      </c>
      <c r="N33">
        <v>7.1</v>
      </c>
      <c r="O33">
        <v>5.8</v>
      </c>
      <c r="P33">
        <v>0.7</v>
      </c>
      <c r="Q33">
        <v>0.8</v>
      </c>
      <c r="R33">
        <v>2.7</v>
      </c>
      <c r="S33">
        <v>24</v>
      </c>
      <c r="T33" s="14">
        <f>(J33 - AVERAGE(FG_Range))*I33</f>
        <v>-0.156414179104478</v>
      </c>
      <c r="U33" s="14">
        <f>(M33 - AVERAGE(FT_RANGE))*L33</f>
        <v>0.60429505703421704</v>
      </c>
      <c r="V33" s="14">
        <f>(K33 - AVERAGE(Three_Range))/STDEV(Three_Range)</f>
        <v>0.74446847849673137</v>
      </c>
      <c r="W33" s="14">
        <f>(S33 - AVERAGE(Pts_Range))/STDEV(Pts_Range)</f>
        <v>1.799746509549361</v>
      </c>
      <c r="X33" s="14">
        <f>(N33 - AVERAGE(Reb_Range))/STDEV(Reb_Range)</f>
        <v>0.88764230348435413</v>
      </c>
      <c r="Y33" s="14">
        <f>(O33 - AVERAGE(Ast_Range))/STDEV(Ast_Range)</f>
        <v>1.4573302177653107</v>
      </c>
      <c r="Z33" s="14">
        <f>(P33 - AVERAGE(Stl_Range))/STDEV(Stl_Range)</f>
        <v>-0.33102926050727299</v>
      </c>
      <c r="AA33" s="14">
        <f>(Q33 - AVERAGE(Blk_Range))/STDEV(Blk_Range)</f>
        <v>0.4803296176971123</v>
      </c>
      <c r="AB33" s="14">
        <f>(R33 - AVERAGE(Tov_Range))/STDEV(Tov_Range)*-1</f>
        <v>-1.1729390681743108</v>
      </c>
      <c r="AC33" s="14">
        <f>SUM(T33:AB33)</f>
        <v>4.3134296762410251</v>
      </c>
      <c r="AD33" s="14">
        <v>4.3134296762410163</v>
      </c>
      <c r="AE33" s="14">
        <f>AD33-AC33</f>
        <v>-8.8817841970012523E-15</v>
      </c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x14ac:dyDescent="0.55000000000000004">
      <c r="A34">
        <v>33</v>
      </c>
      <c r="B34" s="7">
        <f t="shared" si="0"/>
        <v>33</v>
      </c>
      <c r="C34" s="7">
        <f t="shared" si="1"/>
        <v>0</v>
      </c>
      <c r="D34" t="s">
        <v>601</v>
      </c>
      <c r="E34" t="s">
        <v>46</v>
      </c>
      <c r="F34" t="s">
        <v>56</v>
      </c>
      <c r="G34">
        <v>8</v>
      </c>
      <c r="H34">
        <v>34</v>
      </c>
      <c r="I34">
        <v>20.3</v>
      </c>
      <c r="J34">
        <v>0.45100000000000001</v>
      </c>
      <c r="K34">
        <v>1.6</v>
      </c>
      <c r="L34">
        <v>8.6</v>
      </c>
      <c r="M34">
        <v>0.78300000000000003</v>
      </c>
      <c r="N34">
        <v>9.1</v>
      </c>
      <c r="O34">
        <v>8.3000000000000007</v>
      </c>
      <c r="P34">
        <v>1.1000000000000001</v>
      </c>
      <c r="Q34">
        <v>0.6</v>
      </c>
      <c r="R34">
        <v>4.5</v>
      </c>
      <c r="S34">
        <v>26.6</v>
      </c>
      <c r="T34" s="14">
        <f>(J34 - AVERAGE(FG_Range))*I34</f>
        <v>-0.15808246268656756</v>
      </c>
      <c r="U34" s="14">
        <f>(M34 - AVERAGE(FT_RANGE))*L34</f>
        <v>0.17085551330798082</v>
      </c>
      <c r="V34" s="14">
        <f>(K34 - AVERAGE(Three_Range))/STDEV(Three_Range)</f>
        <v>0.12803937786709912</v>
      </c>
      <c r="W34" s="14">
        <f>(S34 - AVERAGE(Pts_Range))/STDEV(Pts_Range)</f>
        <v>2.2157293164137246</v>
      </c>
      <c r="X34" s="14">
        <f>(N34 - AVERAGE(Reb_Range))/STDEV(Reb_Range)</f>
        <v>1.6668369884951846</v>
      </c>
      <c r="Y34" s="14">
        <f>(O34 - AVERAGE(Ast_Range))/STDEV(Ast_Range)</f>
        <v>2.674952422407733</v>
      </c>
      <c r="Z34" s="14">
        <f>(P34 - AVERAGE(Stl_Range))/STDEV(Stl_Range)</f>
        <v>0.52612863143426558</v>
      </c>
      <c r="AA34" s="14">
        <f>(Q34 - AVERAGE(Blk_Range))/STDEV(Blk_Range)</f>
        <v>0.11148051298987478</v>
      </c>
      <c r="AB34" s="14">
        <f>(R34 - AVERAGE(Tov_Range))/STDEV(Tov_Range)*-1</f>
        <v>-3.0583966039533421</v>
      </c>
      <c r="AC34" s="14">
        <f>SUM(T34:AB34)</f>
        <v>4.2775436962759521</v>
      </c>
      <c r="AD34" s="14">
        <v>4.2775436962759441</v>
      </c>
      <c r="AE34" s="14">
        <f>AD34-AC34</f>
        <v>-7.9936057773011271E-15</v>
      </c>
      <c r="AF34"/>
      <c r="AG34"/>
      <c r="AH34"/>
      <c r="AI34"/>
      <c r="AJ34"/>
      <c r="AK34"/>
      <c r="AL34"/>
      <c r="AM34"/>
      <c r="AN34"/>
      <c r="AO34"/>
      <c r="AP34"/>
      <c r="AQ34"/>
    </row>
    <row r="35" spans="1:43" x14ac:dyDescent="0.55000000000000004">
      <c r="A35">
        <v>34</v>
      </c>
      <c r="B35" s="7">
        <f t="shared" si="0"/>
        <v>34</v>
      </c>
      <c r="C35" s="7">
        <f t="shared" si="1"/>
        <v>0</v>
      </c>
      <c r="D35" t="s">
        <v>105</v>
      </c>
      <c r="E35" t="s">
        <v>34</v>
      </c>
      <c r="F35" t="s">
        <v>21</v>
      </c>
      <c r="G35">
        <v>6</v>
      </c>
      <c r="H35">
        <v>29</v>
      </c>
      <c r="I35">
        <v>12.8</v>
      </c>
      <c r="J35">
        <v>0.442</v>
      </c>
      <c r="K35">
        <v>0</v>
      </c>
      <c r="L35">
        <v>4.8</v>
      </c>
      <c r="M35">
        <v>0.93100000000000005</v>
      </c>
      <c r="N35">
        <v>5.5</v>
      </c>
      <c r="O35">
        <v>5.3</v>
      </c>
      <c r="P35">
        <v>2.2000000000000002</v>
      </c>
      <c r="Q35">
        <v>0.7</v>
      </c>
      <c r="R35">
        <v>1.8</v>
      </c>
      <c r="S35">
        <v>15.8</v>
      </c>
      <c r="T35" s="14">
        <f>(J35 - AVERAGE(FG_Range))*I35</f>
        <v>-0.21487761194029886</v>
      </c>
      <c r="U35" s="14">
        <f>(M35 - AVERAGE(FT_RANGE))*L35</f>
        <v>0.80576121673003587</v>
      </c>
      <c r="V35" s="14">
        <f>(K35 - AVERAGE(Three_Range))/STDEV(Three_Range)</f>
        <v>-1.5157715571452535</v>
      </c>
      <c r="W35" s="14">
        <f>(S35 - AVERAGE(Pts_Range))/STDEV(Pts_Range)</f>
        <v>0.48780073405406121</v>
      </c>
      <c r="X35" s="14">
        <f>(N35 - AVERAGE(Reb_Range))/STDEV(Reb_Range)</f>
        <v>0.26428655547568985</v>
      </c>
      <c r="Y35" s="14">
        <f>(O35 - AVERAGE(Ast_Range))/STDEV(Ast_Range)</f>
        <v>1.2138057768368262</v>
      </c>
      <c r="Z35" s="14">
        <f>(P35 - AVERAGE(Stl_Range))/STDEV(Stl_Range)</f>
        <v>2.8833128342734962</v>
      </c>
      <c r="AA35" s="14">
        <f>(Q35 - AVERAGE(Blk_Range))/STDEV(Blk_Range)</f>
        <v>0.29590506534349342</v>
      </c>
      <c r="AB35" s="14">
        <f>(R35 - AVERAGE(Tov_Range))/STDEV(Tov_Range)*-1</f>
        <v>-0.23021030028479489</v>
      </c>
      <c r="AC35" s="14">
        <f>SUM(T35:AB35)</f>
        <v>3.9900127133432557</v>
      </c>
      <c r="AD35" s="14">
        <v>3.990012713343269</v>
      </c>
      <c r="AE35" s="14">
        <f>AD35-AC35</f>
        <v>1.3322676295501878E-14</v>
      </c>
      <c r="AF35"/>
      <c r="AG35"/>
      <c r="AH35"/>
      <c r="AI35"/>
      <c r="AJ35"/>
      <c r="AK35"/>
      <c r="AL35"/>
      <c r="AM35"/>
      <c r="AN35"/>
      <c r="AO35"/>
      <c r="AP35"/>
      <c r="AQ35"/>
    </row>
    <row r="36" spans="1:43" x14ac:dyDescent="0.55000000000000004">
      <c r="A36">
        <v>35</v>
      </c>
      <c r="B36" s="7">
        <f t="shared" si="0"/>
        <v>35</v>
      </c>
      <c r="C36" s="7">
        <f t="shared" si="1"/>
        <v>0</v>
      </c>
      <c r="D36" t="s">
        <v>238</v>
      </c>
      <c r="E36" t="s">
        <v>46</v>
      </c>
      <c r="F36" t="s">
        <v>40</v>
      </c>
      <c r="G36">
        <v>12</v>
      </c>
      <c r="H36">
        <v>32.299999999999997</v>
      </c>
      <c r="I36">
        <v>18.3</v>
      </c>
      <c r="J36">
        <v>0.48599999999999999</v>
      </c>
      <c r="K36">
        <v>2.2999999999999998</v>
      </c>
      <c r="L36">
        <v>5.8</v>
      </c>
      <c r="M36">
        <v>0.7</v>
      </c>
      <c r="N36">
        <v>8.3000000000000007</v>
      </c>
      <c r="O36">
        <v>7.5</v>
      </c>
      <c r="P36">
        <v>0.8</v>
      </c>
      <c r="Q36">
        <v>0.4</v>
      </c>
      <c r="R36">
        <v>3.7</v>
      </c>
      <c r="S36">
        <v>24.2</v>
      </c>
      <c r="T36" s="14">
        <f>(J36 - AVERAGE(FG_Range))*I36</f>
        <v>0.49799216417910369</v>
      </c>
      <c r="U36" s="14">
        <f>(M36 - AVERAGE(FT_RANGE))*L36</f>
        <v>-0.36617186311787381</v>
      </c>
      <c r="V36" s="14">
        <f>(K36 - AVERAGE(Three_Range))/STDEV(Three_Range)</f>
        <v>0.84720666193500305</v>
      </c>
      <c r="W36" s="14">
        <f>(S36 - AVERAGE(Pts_Range))/STDEV(Pts_Range)</f>
        <v>1.8317451870004657</v>
      </c>
      <c r="X36" s="14">
        <f>(N36 - AVERAGE(Reb_Range))/STDEV(Reb_Range)</f>
        <v>1.3551591144908528</v>
      </c>
      <c r="Y36" s="14">
        <f>(O36 - AVERAGE(Ast_Range))/STDEV(Ast_Range)</f>
        <v>2.2853133169221573</v>
      </c>
      <c r="Z36" s="14">
        <f>(P36 - AVERAGE(Stl_Range))/STDEV(Stl_Range)</f>
        <v>-0.11673978752188821</v>
      </c>
      <c r="AA36" s="14">
        <f>(Q36 - AVERAGE(Blk_Range))/STDEV(Blk_Range)</f>
        <v>-0.25736859171736254</v>
      </c>
      <c r="AB36" s="14">
        <f>(R36 - AVERAGE(Tov_Range))/STDEV(Tov_Range)*-1</f>
        <v>-2.2204154769404396</v>
      </c>
      <c r="AC36" s="14">
        <f>SUM(T36:AB36)</f>
        <v>3.856720725230018</v>
      </c>
      <c r="AD36" s="14">
        <v>3.8567207252300091</v>
      </c>
      <c r="AE36" s="14">
        <f>AD36-AC36</f>
        <v>-8.8817841970012523E-15</v>
      </c>
      <c r="AF36"/>
      <c r="AG36"/>
      <c r="AH36"/>
      <c r="AI36"/>
      <c r="AJ36"/>
      <c r="AK36"/>
      <c r="AL36"/>
      <c r="AM36"/>
      <c r="AN36"/>
      <c r="AO36"/>
      <c r="AP36"/>
      <c r="AQ36"/>
    </row>
    <row r="37" spans="1:43" x14ac:dyDescent="0.55000000000000004">
      <c r="A37">
        <v>36</v>
      </c>
      <c r="B37" s="7">
        <f t="shared" si="0"/>
        <v>36</v>
      </c>
      <c r="C37" s="7">
        <f t="shared" si="1"/>
        <v>0</v>
      </c>
      <c r="D37" t="s">
        <v>318</v>
      </c>
      <c r="E37" t="s">
        <v>46</v>
      </c>
      <c r="F37" t="s">
        <v>28</v>
      </c>
      <c r="G37">
        <v>3</v>
      </c>
      <c r="H37">
        <v>27</v>
      </c>
      <c r="I37">
        <v>18.3</v>
      </c>
      <c r="J37">
        <v>0.54500000000000004</v>
      </c>
      <c r="K37">
        <v>1</v>
      </c>
      <c r="L37">
        <v>6.3</v>
      </c>
      <c r="M37">
        <v>0.84199999999999997</v>
      </c>
      <c r="N37">
        <v>2.2999999999999998</v>
      </c>
      <c r="O37">
        <v>6.3</v>
      </c>
      <c r="P37">
        <v>0.7</v>
      </c>
      <c r="Q37">
        <v>0.7</v>
      </c>
      <c r="R37">
        <v>2.2999999999999998</v>
      </c>
      <c r="S37">
        <v>26.3</v>
      </c>
      <c r="T37" s="14">
        <f>(J37 - AVERAGE(FG_Range))*I37</f>
        <v>1.5776921641791046</v>
      </c>
      <c r="U37" s="14">
        <f>(M37 - AVERAGE(FT_RANGE))*L37</f>
        <v>0.49686159695817161</v>
      </c>
      <c r="V37" s="14">
        <f>(K37 - AVERAGE(Three_Range))/STDEV(Three_Range)</f>
        <v>-0.48838972276253317</v>
      </c>
      <c r="W37" s="14">
        <f>(S37 - AVERAGE(Pts_Range))/STDEV(Pts_Range)</f>
        <v>2.1677313002370671</v>
      </c>
      <c r="X37" s="14">
        <f>(N37 - AVERAGE(Reb_Range))/STDEV(Reb_Range)</f>
        <v>-0.98242494054163909</v>
      </c>
      <c r="Y37" s="14">
        <f>(O37 - AVERAGE(Ast_Range))/STDEV(Ast_Range)</f>
        <v>1.7008546586937949</v>
      </c>
      <c r="Z37" s="14">
        <f>(P37 - AVERAGE(Stl_Range))/STDEV(Stl_Range)</f>
        <v>-0.33102926050727299</v>
      </c>
      <c r="AA37" s="14">
        <f>(Q37 - AVERAGE(Blk_Range))/STDEV(Blk_Range)</f>
        <v>0.29590506534349342</v>
      </c>
      <c r="AB37" s="14">
        <f>(R37 - AVERAGE(Tov_Range))/STDEV(Tov_Range)*-1</f>
        <v>-0.75394850466785901</v>
      </c>
      <c r="AC37" s="14">
        <f>SUM(T37:AB37)</f>
        <v>3.6832523569323277</v>
      </c>
      <c r="AD37" s="14">
        <v>3.6832523569323223</v>
      </c>
      <c r="AE37" s="14">
        <f>AD37-AC37</f>
        <v>-5.3290705182007514E-15</v>
      </c>
      <c r="AF37"/>
      <c r="AG37"/>
      <c r="AH37"/>
      <c r="AI37"/>
      <c r="AJ37"/>
      <c r="AK37"/>
      <c r="AL37"/>
      <c r="AM37"/>
      <c r="AN37"/>
      <c r="AO37"/>
      <c r="AP37"/>
      <c r="AQ37"/>
    </row>
    <row r="38" spans="1:43" x14ac:dyDescent="0.55000000000000004">
      <c r="A38">
        <v>37</v>
      </c>
      <c r="B38" s="7">
        <f t="shared" si="0"/>
        <v>37</v>
      </c>
      <c r="C38" s="7">
        <f t="shared" si="1"/>
        <v>0</v>
      </c>
      <c r="D38" t="s">
        <v>218</v>
      </c>
      <c r="E38" t="s">
        <v>18</v>
      </c>
      <c r="F38" t="s">
        <v>49</v>
      </c>
      <c r="G38">
        <v>10</v>
      </c>
      <c r="H38">
        <v>28.1</v>
      </c>
      <c r="I38">
        <v>8.3000000000000007</v>
      </c>
      <c r="J38">
        <v>0.67500000000000004</v>
      </c>
      <c r="K38">
        <v>0.1</v>
      </c>
      <c r="L38">
        <v>2.2999999999999998</v>
      </c>
      <c r="M38">
        <v>0.82599999999999996</v>
      </c>
      <c r="N38">
        <v>7.7</v>
      </c>
      <c r="O38">
        <v>1.7</v>
      </c>
      <c r="P38">
        <v>1.1000000000000001</v>
      </c>
      <c r="Q38">
        <v>1.5</v>
      </c>
      <c r="R38">
        <v>1.4</v>
      </c>
      <c r="S38">
        <v>13.2</v>
      </c>
      <c r="T38" s="14">
        <f>(J38 - AVERAGE(FG_Range))*I38</f>
        <v>1.7945652985074629</v>
      </c>
      <c r="U38" s="14">
        <f>(M38 - AVERAGE(FT_RANGE))*L38</f>
        <v>0.14459391634980864</v>
      </c>
      <c r="V38" s="14">
        <f>(K38 - AVERAGE(Three_Range))/STDEV(Three_Range)</f>
        <v>-1.4130333737069813</v>
      </c>
      <c r="W38" s="14">
        <f>(S38 - AVERAGE(Pts_Range))/STDEV(Pts_Range)</f>
        <v>7.1817927189697664E-2</v>
      </c>
      <c r="X38" s="14">
        <f>(N38 - AVERAGE(Reb_Range))/STDEV(Reb_Range)</f>
        <v>1.1214007089876035</v>
      </c>
      <c r="Y38" s="14">
        <f>(O38 - AVERAGE(Ast_Range))/STDEV(Ast_Range)</f>
        <v>-0.5395701978482611</v>
      </c>
      <c r="Z38" s="14">
        <f>(P38 - AVERAGE(Stl_Range))/STDEV(Stl_Range)</f>
        <v>0.52612863143426558</v>
      </c>
      <c r="AA38" s="14">
        <f>(Q38 - AVERAGE(Blk_Range))/STDEV(Blk_Range)</f>
        <v>1.771301484172443</v>
      </c>
      <c r="AB38" s="14">
        <f>(R38 - AVERAGE(Tov_Range))/STDEV(Tov_Range)*-1</f>
        <v>0.18878026322165675</v>
      </c>
      <c r="AC38" s="14">
        <f>SUM(T38:AB38)</f>
        <v>3.6659846583076958</v>
      </c>
      <c r="AD38" s="14">
        <v>3.6659846583077056</v>
      </c>
      <c r="AE38" s="14">
        <f>AD38-AC38</f>
        <v>9.7699626167013776E-15</v>
      </c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x14ac:dyDescent="0.55000000000000004">
      <c r="A39">
        <v>38</v>
      </c>
      <c r="B39" s="7">
        <f t="shared" si="0"/>
        <v>38</v>
      </c>
      <c r="C39" s="7">
        <f t="shared" si="1"/>
        <v>0</v>
      </c>
      <c r="D39" t="s">
        <v>374</v>
      </c>
      <c r="E39" t="s">
        <v>18</v>
      </c>
      <c r="F39" t="s">
        <v>31</v>
      </c>
      <c r="G39">
        <v>11</v>
      </c>
      <c r="H39">
        <v>30.1</v>
      </c>
      <c r="I39">
        <v>6</v>
      </c>
      <c r="J39">
        <v>0.68200000000000005</v>
      </c>
      <c r="K39">
        <v>0</v>
      </c>
      <c r="L39">
        <v>1.5</v>
      </c>
      <c r="M39">
        <v>0.47099999999999997</v>
      </c>
      <c r="N39">
        <v>8.1</v>
      </c>
      <c r="O39">
        <v>0.5</v>
      </c>
      <c r="P39">
        <v>1.5</v>
      </c>
      <c r="Q39">
        <v>1.9</v>
      </c>
      <c r="R39">
        <v>0.8</v>
      </c>
      <c r="S39">
        <v>8.9</v>
      </c>
      <c r="T39" s="14">
        <f>(J39 - AVERAGE(FG_Range))*I39</f>
        <v>1.3392761194029852</v>
      </c>
      <c r="U39" s="14">
        <f>(M39 - AVERAGE(FT_RANGE))*L39</f>
        <v>-0.43819961977186389</v>
      </c>
      <c r="V39" s="14">
        <f>(K39 - AVERAGE(Three_Range))/STDEV(Three_Range)</f>
        <v>-1.5157715571452535</v>
      </c>
      <c r="W39" s="14">
        <f>(S39 - AVERAGE(Pts_Range))/STDEV(Pts_Range)</f>
        <v>-0.61615363800905687</v>
      </c>
      <c r="X39" s="14">
        <f>(N39 - AVERAGE(Reb_Range))/STDEV(Reb_Range)</f>
        <v>1.2772396459897695</v>
      </c>
      <c r="Y39" s="14">
        <f>(O39 - AVERAGE(Ast_Range))/STDEV(Ast_Range)</f>
        <v>-1.1240288560766236</v>
      </c>
      <c r="Z39" s="14">
        <f>(P39 - AVERAGE(Stl_Range))/STDEV(Stl_Range)</f>
        <v>1.3832865233758038</v>
      </c>
      <c r="AA39" s="14">
        <f>(Q39 - AVERAGE(Blk_Range))/STDEV(Blk_Range)</f>
        <v>2.5089996935869174</v>
      </c>
      <c r="AB39" s="14">
        <f>(R39 - AVERAGE(Tov_Range))/STDEV(Tov_Range)*-1</f>
        <v>0.81726610848133385</v>
      </c>
      <c r="AC39" s="14">
        <f>SUM(T39:AB39)</f>
        <v>3.6319144198340116</v>
      </c>
      <c r="AD39" s="14">
        <v>3.6319144198340272</v>
      </c>
      <c r="AE39" s="14">
        <f>AD39-AC39</f>
        <v>1.5543122344752192E-14</v>
      </c>
      <c r="AF39"/>
      <c r="AG39"/>
      <c r="AH39"/>
      <c r="AI39"/>
      <c r="AJ39"/>
      <c r="AK39"/>
      <c r="AL39"/>
      <c r="AM39"/>
      <c r="AN39"/>
      <c r="AO39"/>
      <c r="AP39"/>
      <c r="AQ39"/>
    </row>
    <row r="40" spans="1:43" x14ac:dyDescent="0.55000000000000004">
      <c r="A40">
        <v>39</v>
      </c>
      <c r="B40" s="7">
        <f t="shared" si="0"/>
        <v>39</v>
      </c>
      <c r="C40" s="7">
        <f t="shared" si="1"/>
        <v>0</v>
      </c>
      <c r="D40" t="s">
        <v>386</v>
      </c>
      <c r="E40" t="s">
        <v>25</v>
      </c>
      <c r="F40" t="s">
        <v>118</v>
      </c>
      <c r="G40">
        <v>8</v>
      </c>
      <c r="H40">
        <v>37.4</v>
      </c>
      <c r="I40">
        <v>18.399999999999999</v>
      </c>
      <c r="J40">
        <v>0.53100000000000003</v>
      </c>
      <c r="K40">
        <v>2</v>
      </c>
      <c r="L40">
        <v>4.4000000000000004</v>
      </c>
      <c r="M40">
        <v>0.82899999999999996</v>
      </c>
      <c r="N40">
        <v>2.1</v>
      </c>
      <c r="O40">
        <v>3.5</v>
      </c>
      <c r="P40">
        <v>1.4</v>
      </c>
      <c r="Q40">
        <v>0.3</v>
      </c>
      <c r="R40">
        <v>2.1</v>
      </c>
      <c r="S40">
        <v>25.1</v>
      </c>
      <c r="T40" s="14">
        <f>(J40 - AVERAGE(FG_Range))*I40</f>
        <v>1.3287134328358208</v>
      </c>
      <c r="U40" s="14">
        <f>(M40 - AVERAGE(FT_RANGE))*L40</f>
        <v>0.2898144486691992</v>
      </c>
      <c r="V40" s="14">
        <f>(K40 - AVERAGE(Three_Range))/STDEV(Three_Range)</f>
        <v>0.53899211162018712</v>
      </c>
      <c r="W40" s="14">
        <f>(S40 - AVERAGE(Pts_Range))/STDEV(Pts_Range)</f>
        <v>1.975739235530438</v>
      </c>
      <c r="X40" s="14">
        <f>(N40 - AVERAGE(Reb_Range))/STDEV(Reb_Range)</f>
        <v>-1.0603444090427221</v>
      </c>
      <c r="Y40" s="14">
        <f>(O40 - AVERAGE(Ast_Range))/STDEV(Ast_Range)</f>
        <v>0.33711778949428262</v>
      </c>
      <c r="Z40" s="14">
        <f>(P40 - AVERAGE(Stl_Range))/STDEV(Stl_Range)</f>
        <v>1.168997050390419</v>
      </c>
      <c r="AA40" s="14">
        <f>(Q40 - AVERAGE(Blk_Range))/STDEV(Blk_Range)</f>
        <v>-0.4417931440709813</v>
      </c>
      <c r="AB40" s="14">
        <f>(R40 - AVERAGE(Tov_Range))/STDEV(Tov_Range)*-1</f>
        <v>-0.54445322291463361</v>
      </c>
      <c r="AC40" s="14">
        <f>SUM(T40:AB40)</f>
        <v>3.5927832925120096</v>
      </c>
      <c r="AD40" s="14">
        <v>3.5927832925120073</v>
      </c>
      <c r="AE40" s="14">
        <f>AD40-AC40</f>
        <v>0</v>
      </c>
      <c r="AF40"/>
      <c r="AG40"/>
      <c r="AH40"/>
      <c r="AI40"/>
      <c r="AJ40"/>
      <c r="AK40"/>
      <c r="AL40"/>
      <c r="AM40"/>
      <c r="AN40"/>
      <c r="AO40"/>
      <c r="AP40"/>
      <c r="AQ40"/>
    </row>
    <row r="41" spans="1:43" x14ac:dyDescent="0.55000000000000004">
      <c r="A41">
        <v>40</v>
      </c>
      <c r="B41" s="7">
        <f t="shared" si="0"/>
        <v>40</v>
      </c>
      <c r="C41" s="7">
        <f t="shared" si="1"/>
        <v>0</v>
      </c>
      <c r="D41" t="s">
        <v>92</v>
      </c>
      <c r="E41" t="s">
        <v>34</v>
      </c>
      <c r="F41" t="s">
        <v>52</v>
      </c>
      <c r="G41">
        <v>11</v>
      </c>
      <c r="H41">
        <v>32.700000000000003</v>
      </c>
      <c r="I41">
        <v>10.3</v>
      </c>
      <c r="J41">
        <v>0.504</v>
      </c>
      <c r="K41">
        <v>2.6</v>
      </c>
      <c r="L41">
        <v>2.4</v>
      </c>
      <c r="M41">
        <v>0.88500000000000001</v>
      </c>
      <c r="N41">
        <v>5.4</v>
      </c>
      <c r="O41">
        <v>1.3</v>
      </c>
      <c r="P41">
        <v>0.5</v>
      </c>
      <c r="Q41">
        <v>1.2</v>
      </c>
      <c r="R41">
        <v>0.3</v>
      </c>
      <c r="S41">
        <v>15.1</v>
      </c>
      <c r="T41" s="14">
        <f>(J41 - AVERAGE(FG_Range))*I41</f>
        <v>0.46569067164179079</v>
      </c>
      <c r="U41" s="14">
        <f>(M41 - AVERAGE(FT_RANGE))*L41</f>
        <v>0.29248060836501782</v>
      </c>
      <c r="V41" s="14">
        <f>(K41 - AVERAGE(Three_Range))/STDEV(Three_Range)</f>
        <v>1.1554212122498193</v>
      </c>
      <c r="W41" s="14">
        <f>(S41 - AVERAGE(Pts_Range))/STDEV(Pts_Range)</f>
        <v>0.37580536297519401</v>
      </c>
      <c r="X41" s="14">
        <f>(N41 - AVERAGE(Reb_Range))/STDEV(Reb_Range)</f>
        <v>0.22532682122514847</v>
      </c>
      <c r="Y41" s="14">
        <f>(O41 - AVERAGE(Ast_Range))/STDEV(Ast_Range)</f>
        <v>-0.73438975059104861</v>
      </c>
      <c r="Z41" s="14">
        <f>(P41 - AVERAGE(Stl_Range))/STDEV(Stl_Range)</f>
        <v>-0.75960820647804206</v>
      </c>
      <c r="AA41" s="14">
        <f>(Q41 - AVERAGE(Blk_Range))/STDEV(Blk_Range)</f>
        <v>1.218027827111587</v>
      </c>
      <c r="AB41" s="14">
        <f>(R41 - AVERAGE(Tov_Range))/STDEV(Tov_Range)*-1</f>
        <v>1.3410043128643983</v>
      </c>
      <c r="AC41" s="14">
        <f>SUM(T41:AB41)</f>
        <v>3.5797588593638654</v>
      </c>
      <c r="AD41" s="14">
        <v>3.5797588593638618</v>
      </c>
      <c r="AE41" s="14">
        <f>AD41-AC41</f>
        <v>-3.5527136788005009E-15</v>
      </c>
      <c r="AF41"/>
      <c r="AG41"/>
      <c r="AH41"/>
      <c r="AI41"/>
      <c r="AJ41"/>
      <c r="AK41"/>
      <c r="AL41"/>
      <c r="AM41"/>
      <c r="AN41"/>
      <c r="AO41"/>
      <c r="AP41"/>
      <c r="AQ41"/>
    </row>
    <row r="42" spans="1:43" x14ac:dyDescent="0.55000000000000004">
      <c r="A42">
        <v>41</v>
      </c>
      <c r="B42" s="7">
        <f t="shared" si="0"/>
        <v>41</v>
      </c>
      <c r="C42" s="7">
        <f t="shared" si="1"/>
        <v>0</v>
      </c>
      <c r="D42" t="s">
        <v>378</v>
      </c>
      <c r="E42" t="s">
        <v>25</v>
      </c>
      <c r="F42" t="s">
        <v>54</v>
      </c>
      <c r="G42">
        <v>11</v>
      </c>
      <c r="H42">
        <v>32.1</v>
      </c>
      <c r="I42">
        <v>14</v>
      </c>
      <c r="J42">
        <v>0.46800000000000003</v>
      </c>
      <c r="K42">
        <v>3.4</v>
      </c>
      <c r="L42">
        <v>4</v>
      </c>
      <c r="M42">
        <v>0.77300000000000002</v>
      </c>
      <c r="N42">
        <v>3.5</v>
      </c>
      <c r="O42">
        <v>2.8</v>
      </c>
      <c r="P42">
        <v>1.5</v>
      </c>
      <c r="Q42">
        <v>0.5</v>
      </c>
      <c r="R42">
        <v>2</v>
      </c>
      <c r="S42">
        <v>19.5</v>
      </c>
      <c r="T42" s="14">
        <f>(J42 - AVERAGE(FG_Range))*I42</f>
        <v>0.12897761194029844</v>
      </c>
      <c r="U42" s="14">
        <f>(M42 - AVERAGE(FT_RANGE))*L42</f>
        <v>3.9467680608363143E-2</v>
      </c>
      <c r="V42" s="14">
        <f>(K42 - AVERAGE(Three_Range))/STDEV(Three_Range)</f>
        <v>1.9773266797559954</v>
      </c>
      <c r="W42" s="14">
        <f>(S42 - AVERAGE(Pts_Range))/STDEV(Pts_Range)</f>
        <v>1.0797762668995012</v>
      </c>
      <c r="X42" s="14">
        <f>(N42 - AVERAGE(Reb_Range))/STDEV(Reb_Range)</f>
        <v>-0.51490812953514065</v>
      </c>
      <c r="Y42" s="14">
        <f>(O42 - AVERAGE(Ast_Range))/STDEV(Ast_Range)</f>
        <v>-3.8164278055955883E-3</v>
      </c>
      <c r="Z42" s="14">
        <f>(P42 - AVERAGE(Stl_Range))/STDEV(Stl_Range)</f>
        <v>1.3832865233758038</v>
      </c>
      <c r="AA42" s="14">
        <f>(Q42 - AVERAGE(Blk_Range))/STDEV(Blk_Range)</f>
        <v>-7.2944039363743871E-2</v>
      </c>
      <c r="AB42" s="14">
        <f>(R42 - AVERAGE(Tov_Range))/STDEV(Tov_Range)*-1</f>
        <v>-0.43970558203802057</v>
      </c>
      <c r="AC42" s="14">
        <f>SUM(T42:AB42)</f>
        <v>3.5774605838374622</v>
      </c>
      <c r="AD42" s="14">
        <v>3.5774605838374547</v>
      </c>
      <c r="AE42" s="14">
        <f>AD42-AC42</f>
        <v>-7.5495165674510645E-15</v>
      </c>
      <c r="AF42"/>
      <c r="AG42"/>
      <c r="AH42"/>
      <c r="AI42"/>
      <c r="AJ42"/>
      <c r="AK42"/>
      <c r="AL42"/>
      <c r="AM42"/>
      <c r="AN42"/>
      <c r="AO42"/>
      <c r="AP42"/>
      <c r="AQ42"/>
    </row>
    <row r="43" spans="1:43" x14ac:dyDescent="0.55000000000000004">
      <c r="A43">
        <v>42</v>
      </c>
      <c r="B43" s="7">
        <f t="shared" si="0"/>
        <v>42</v>
      </c>
      <c r="C43" s="7">
        <f t="shared" si="1"/>
        <v>0</v>
      </c>
      <c r="D43" t="s">
        <v>454</v>
      </c>
      <c r="E43" t="s">
        <v>25</v>
      </c>
      <c r="F43" t="s">
        <v>75</v>
      </c>
      <c r="G43">
        <v>9</v>
      </c>
      <c r="H43">
        <v>33.299999999999997</v>
      </c>
      <c r="I43">
        <v>16.899999999999999</v>
      </c>
      <c r="J43">
        <v>0.42099999999999999</v>
      </c>
      <c r="K43">
        <v>2.8</v>
      </c>
      <c r="L43">
        <v>4.0999999999999996</v>
      </c>
      <c r="M43">
        <v>0.73</v>
      </c>
      <c r="N43">
        <v>5.7</v>
      </c>
      <c r="O43">
        <v>4.2</v>
      </c>
      <c r="P43">
        <v>1.7</v>
      </c>
      <c r="Q43">
        <v>0.2</v>
      </c>
      <c r="R43">
        <v>2</v>
      </c>
      <c r="S43">
        <v>20</v>
      </c>
      <c r="T43" s="14">
        <f>(J43 - AVERAGE(FG_Range))*I43</f>
        <v>-0.63860559701492614</v>
      </c>
      <c r="U43" s="14">
        <f>(M43 - AVERAGE(FT_RANGE))*L43</f>
        <v>-0.13584562737642791</v>
      </c>
      <c r="V43" s="14">
        <f>(K43 - AVERAGE(Three_Range))/STDEV(Three_Range)</f>
        <v>1.3608975791263631</v>
      </c>
      <c r="W43" s="14">
        <f>(S43 - AVERAGE(Pts_Range))/STDEV(Pts_Range)</f>
        <v>1.1597729605272635</v>
      </c>
      <c r="X43" s="14">
        <f>(N43 - AVERAGE(Reb_Range))/STDEV(Reb_Range)</f>
        <v>0.34220602397677297</v>
      </c>
      <c r="Y43" s="14">
        <f>(O43 - AVERAGE(Ast_Range))/STDEV(Ast_Range)</f>
        <v>0.67805200679416078</v>
      </c>
      <c r="Z43" s="14">
        <f>(P43 - AVERAGE(Stl_Range))/STDEV(Stl_Range)</f>
        <v>1.8118654693465728</v>
      </c>
      <c r="AA43" s="14">
        <f>(Q43 - AVERAGE(Blk_Range))/STDEV(Blk_Range)</f>
        <v>-0.6262176964245999</v>
      </c>
      <c r="AB43" s="14">
        <f>(R43 - AVERAGE(Tov_Range))/STDEV(Tov_Range)*-1</f>
        <v>-0.43970558203802057</v>
      </c>
      <c r="AC43" s="14">
        <f>SUM(T43:AB43)</f>
        <v>3.5124195369171587</v>
      </c>
      <c r="AD43" s="14">
        <v>3.5124195369171582</v>
      </c>
      <c r="AE43" s="14">
        <f>AD43-AC43</f>
        <v>0</v>
      </c>
      <c r="AF43"/>
      <c r="AG43"/>
      <c r="AH43"/>
      <c r="AI43"/>
      <c r="AJ43"/>
      <c r="AK43"/>
      <c r="AL43"/>
      <c r="AM43"/>
      <c r="AN43"/>
      <c r="AO43"/>
      <c r="AP43"/>
      <c r="AQ43"/>
    </row>
    <row r="44" spans="1:43" x14ac:dyDescent="0.55000000000000004">
      <c r="A44">
        <v>43</v>
      </c>
      <c r="B44" s="7">
        <f t="shared" si="0"/>
        <v>43</v>
      </c>
      <c r="C44" s="7">
        <f t="shared" si="1"/>
        <v>0</v>
      </c>
      <c r="D44" t="s">
        <v>640</v>
      </c>
      <c r="E44" t="s">
        <v>15</v>
      </c>
      <c r="F44" t="s">
        <v>118</v>
      </c>
      <c r="G44">
        <v>12</v>
      </c>
      <c r="H44">
        <v>34.799999999999997</v>
      </c>
      <c r="I44">
        <v>8.1</v>
      </c>
      <c r="J44">
        <v>0.48499999999999999</v>
      </c>
      <c r="K44">
        <v>1.6</v>
      </c>
      <c r="L44">
        <v>1.3</v>
      </c>
      <c r="M44">
        <v>0.56299999999999994</v>
      </c>
      <c r="N44">
        <v>5.8</v>
      </c>
      <c r="O44">
        <v>3.7</v>
      </c>
      <c r="P44">
        <v>2.4</v>
      </c>
      <c r="Q44">
        <v>0.5</v>
      </c>
      <c r="R44">
        <v>1.8</v>
      </c>
      <c r="S44">
        <v>10.199999999999999</v>
      </c>
      <c r="T44" s="14">
        <f>(J44 - AVERAGE(FG_Range))*I44</f>
        <v>0.21232276119402949</v>
      </c>
      <c r="U44" s="14">
        <f>(M44 - AVERAGE(FT_RANGE))*L44</f>
        <v>-0.26017300380228209</v>
      </c>
      <c r="V44" s="14">
        <f>(K44 - AVERAGE(Three_Range))/STDEV(Three_Range)</f>
        <v>0.12803937786709912</v>
      </c>
      <c r="W44" s="14">
        <f>(S44 - AVERAGE(Pts_Range))/STDEV(Pts_Range)</f>
        <v>-0.40816223457687539</v>
      </c>
      <c r="X44" s="14">
        <f>(N44 - AVERAGE(Reb_Range))/STDEV(Reb_Range)</f>
        <v>0.38116575822731436</v>
      </c>
      <c r="Y44" s="14">
        <f>(O44 - AVERAGE(Ast_Range))/STDEV(Ast_Range)</f>
        <v>0.43452756586567642</v>
      </c>
      <c r="Z44" s="14">
        <f>(P44 - AVERAGE(Stl_Range))/STDEV(Stl_Range)</f>
        <v>3.3118917802442649</v>
      </c>
      <c r="AA44" s="14">
        <f>(Q44 - AVERAGE(Blk_Range))/STDEV(Blk_Range)</f>
        <v>-7.2944039363743871E-2</v>
      </c>
      <c r="AB44" s="14">
        <f>(R44 - AVERAGE(Tov_Range))/STDEV(Tov_Range)*-1</f>
        <v>-0.23021030028479489</v>
      </c>
      <c r="AC44" s="14">
        <f>SUM(T44:AB44)</f>
        <v>3.4964576653706878</v>
      </c>
      <c r="AD44" s="14">
        <v>3.4964576653706989</v>
      </c>
      <c r="AE44" s="14">
        <f>AD44-AC44</f>
        <v>1.1102230246251565E-14</v>
      </c>
      <c r="AF44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55000000000000004">
      <c r="A45">
        <v>44</v>
      </c>
      <c r="B45" s="7">
        <f t="shared" si="0"/>
        <v>44</v>
      </c>
      <c r="C45" s="7">
        <f t="shared" si="1"/>
        <v>0</v>
      </c>
      <c r="D45" t="s">
        <v>131</v>
      </c>
      <c r="E45" t="s">
        <v>25</v>
      </c>
      <c r="F45" t="s">
        <v>80</v>
      </c>
      <c r="G45">
        <v>8</v>
      </c>
      <c r="H45">
        <v>30</v>
      </c>
      <c r="I45">
        <v>9.8000000000000007</v>
      </c>
      <c r="J45">
        <v>0.60299999999999998</v>
      </c>
      <c r="K45">
        <v>3.1</v>
      </c>
      <c r="L45">
        <v>2.1</v>
      </c>
      <c r="M45">
        <v>1</v>
      </c>
      <c r="N45">
        <v>2.2999999999999998</v>
      </c>
      <c r="O45">
        <v>3.6</v>
      </c>
      <c r="P45">
        <v>0.8</v>
      </c>
      <c r="Q45">
        <v>0.4</v>
      </c>
      <c r="R45">
        <v>1.5</v>
      </c>
      <c r="S45">
        <v>17</v>
      </c>
      <c r="T45" s="14">
        <f>(J45 - AVERAGE(FG_Range))*I45</f>
        <v>1.4132843283582086</v>
      </c>
      <c r="U45" s="14">
        <f>(M45 - AVERAGE(FT_RANGE))*L45</f>
        <v>0.49742053231939065</v>
      </c>
      <c r="V45" s="14">
        <f>(K45 - AVERAGE(Three_Range))/STDEV(Three_Range)</f>
        <v>1.6691121294411795</v>
      </c>
      <c r="W45" s="14">
        <f>(S45 - AVERAGE(Pts_Range))/STDEV(Pts_Range)</f>
        <v>0.67979279876069032</v>
      </c>
      <c r="X45" s="14">
        <f>(N45 - AVERAGE(Reb_Range))/STDEV(Reb_Range)</f>
        <v>-0.98242494054163909</v>
      </c>
      <c r="Y45" s="14">
        <f>(O45 - AVERAGE(Ast_Range))/STDEV(Ast_Range)</f>
        <v>0.38582267767997952</v>
      </c>
      <c r="Z45" s="14">
        <f>(P45 - AVERAGE(Stl_Range))/STDEV(Stl_Range)</f>
        <v>-0.11673978752188821</v>
      </c>
      <c r="AA45" s="14">
        <f>(Q45 - AVERAGE(Blk_Range))/STDEV(Blk_Range)</f>
        <v>-0.25736859171736254</v>
      </c>
      <c r="AB45" s="14">
        <f>(R45 - AVERAGE(Tov_Range))/STDEV(Tov_Range)*-1</f>
        <v>8.4032622345043773E-2</v>
      </c>
      <c r="AC45" s="14">
        <f>SUM(T45:AB45)</f>
        <v>3.3729317691236025</v>
      </c>
      <c r="AD45" s="14">
        <v>3.3729317691235936</v>
      </c>
      <c r="AE45" s="14">
        <f>AD45-AC45</f>
        <v>-8.8817841970012523E-15</v>
      </c>
      <c r="AF45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55000000000000004">
      <c r="A46">
        <v>45</v>
      </c>
      <c r="B46" s="7">
        <f t="shared" si="0"/>
        <v>45</v>
      </c>
      <c r="C46" s="7">
        <f t="shared" si="1"/>
        <v>0</v>
      </c>
      <c r="D46" t="s">
        <v>175</v>
      </c>
      <c r="E46" t="s">
        <v>18</v>
      </c>
      <c r="F46" t="s">
        <v>79</v>
      </c>
      <c r="G46">
        <v>11</v>
      </c>
      <c r="H46">
        <v>30.4</v>
      </c>
      <c r="I46">
        <v>8.5</v>
      </c>
      <c r="J46">
        <v>0.55300000000000005</v>
      </c>
      <c r="K46">
        <v>0</v>
      </c>
      <c r="L46">
        <v>4.5</v>
      </c>
      <c r="M46">
        <v>0.48</v>
      </c>
      <c r="N46">
        <v>13.4</v>
      </c>
      <c r="O46">
        <v>1.5</v>
      </c>
      <c r="P46">
        <v>0.5</v>
      </c>
      <c r="Q46">
        <v>2.6</v>
      </c>
      <c r="R46">
        <v>1.8</v>
      </c>
      <c r="S46">
        <v>11.6</v>
      </c>
      <c r="T46" s="14">
        <f>(J46 - AVERAGE(FG_Range))*I46</f>
        <v>0.80080783582089565</v>
      </c>
      <c r="U46" s="14">
        <f>(M46 - AVERAGE(FT_RANGE))*L46</f>
        <v>-1.2740988593155915</v>
      </c>
      <c r="V46" s="14">
        <f>(K46 - AVERAGE(Three_Range))/STDEV(Three_Range)</f>
        <v>-1.5157715571452535</v>
      </c>
      <c r="W46" s="14">
        <f>(S46 - AVERAGE(Pts_Range))/STDEV(Pts_Range)</f>
        <v>-0.18417149241914127</v>
      </c>
      <c r="X46" s="14">
        <f>(N46 - AVERAGE(Reb_Range))/STDEV(Reb_Range)</f>
        <v>3.3421055612684705</v>
      </c>
      <c r="Y46" s="14">
        <f>(O46 - AVERAGE(Ast_Range))/STDEV(Ast_Range)</f>
        <v>-0.63697997421965491</v>
      </c>
      <c r="Z46" s="14">
        <f>(P46 - AVERAGE(Stl_Range))/STDEV(Stl_Range)</f>
        <v>-0.75960820647804206</v>
      </c>
      <c r="AA46" s="14">
        <f>(Q46 - AVERAGE(Blk_Range))/STDEV(Blk_Range)</f>
        <v>3.7999715600622488</v>
      </c>
      <c r="AB46" s="14">
        <f>(R46 - AVERAGE(Tov_Range))/STDEV(Tov_Range)*-1</f>
        <v>-0.23021030028479489</v>
      </c>
      <c r="AC46" s="14">
        <f>SUM(T46:AB46)</f>
        <v>3.342044567289137</v>
      </c>
      <c r="AD46" s="14">
        <v>3.3420445672891446</v>
      </c>
      <c r="AE46" s="14">
        <f>AD46-AC46</f>
        <v>7.5495165674510645E-15</v>
      </c>
      <c r="AF46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55000000000000004">
      <c r="A47">
        <v>46</v>
      </c>
      <c r="B47" s="7">
        <f t="shared" si="0"/>
        <v>46</v>
      </c>
      <c r="C47" s="7">
        <f t="shared" si="1"/>
        <v>0</v>
      </c>
      <c r="D47" t="s">
        <v>381</v>
      </c>
      <c r="E47" t="s">
        <v>15</v>
      </c>
      <c r="F47" t="s">
        <v>75</v>
      </c>
      <c r="G47">
        <v>11</v>
      </c>
      <c r="H47">
        <v>37.700000000000003</v>
      </c>
      <c r="I47">
        <v>15.5</v>
      </c>
      <c r="J47">
        <v>0.55600000000000005</v>
      </c>
      <c r="K47">
        <v>0.8</v>
      </c>
      <c r="L47">
        <v>5.5</v>
      </c>
      <c r="M47">
        <v>0.68300000000000005</v>
      </c>
      <c r="N47">
        <v>12.5</v>
      </c>
      <c r="O47">
        <v>5.8</v>
      </c>
      <c r="P47">
        <v>0.5</v>
      </c>
      <c r="Q47">
        <v>0.5</v>
      </c>
      <c r="R47">
        <v>3.6</v>
      </c>
      <c r="S47">
        <v>21.8</v>
      </c>
      <c r="T47" s="14">
        <f>(J47 - AVERAGE(FG_Range))*I47</f>
        <v>1.506796641791045</v>
      </c>
      <c r="U47" s="14">
        <f>(M47 - AVERAGE(FT_RANGE))*L47</f>
        <v>-0.44073193916350051</v>
      </c>
      <c r="V47" s="14">
        <f>(K47 - AVERAGE(Three_Range))/STDEV(Three_Range)</f>
        <v>-0.69386608963907714</v>
      </c>
      <c r="W47" s="14">
        <f>(S47 - AVERAGE(Pts_Range))/STDEV(Pts_Range)</f>
        <v>1.4477610575872073</v>
      </c>
      <c r="X47" s="14">
        <f>(N47 - AVERAGE(Reb_Range))/STDEV(Reb_Range)</f>
        <v>2.9914679530135966</v>
      </c>
      <c r="Y47" s="14">
        <f>(O47 - AVERAGE(Ast_Range))/STDEV(Ast_Range)</f>
        <v>1.4573302177653107</v>
      </c>
      <c r="Z47" s="14">
        <f>(P47 - AVERAGE(Stl_Range))/STDEV(Stl_Range)</f>
        <v>-0.75960820647804206</v>
      </c>
      <c r="AA47" s="14">
        <f>(Q47 - AVERAGE(Blk_Range))/STDEV(Blk_Range)</f>
        <v>-7.2944039363743871E-2</v>
      </c>
      <c r="AB47" s="14">
        <f>(R47 - AVERAGE(Tov_Range))/STDEV(Tov_Range)*-1</f>
        <v>-2.1156678360638268</v>
      </c>
      <c r="AC47" s="14">
        <f>SUM(T47:AB47)</f>
        <v>3.3205377594489689</v>
      </c>
      <c r="AD47" s="14">
        <v>3.3205377594489689</v>
      </c>
      <c r="AE47" s="14">
        <f>AD47-AC47</f>
        <v>0</v>
      </c>
      <c r="AF47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55000000000000004">
      <c r="A48">
        <v>47</v>
      </c>
      <c r="B48" s="7">
        <f t="shared" si="0"/>
        <v>47</v>
      </c>
      <c r="C48" s="7">
        <f t="shared" si="1"/>
        <v>0</v>
      </c>
      <c r="D48" t="s">
        <v>20</v>
      </c>
      <c r="E48" t="s">
        <v>18</v>
      </c>
      <c r="F48" t="s">
        <v>21</v>
      </c>
      <c r="G48">
        <v>8</v>
      </c>
      <c r="H48">
        <v>30.4</v>
      </c>
      <c r="I48">
        <v>10.1</v>
      </c>
      <c r="J48">
        <v>0.64200000000000002</v>
      </c>
      <c r="K48">
        <v>0</v>
      </c>
      <c r="L48">
        <v>5.5</v>
      </c>
      <c r="M48">
        <v>0.79500000000000004</v>
      </c>
      <c r="N48">
        <v>9</v>
      </c>
      <c r="O48">
        <v>5</v>
      </c>
      <c r="P48">
        <v>1</v>
      </c>
      <c r="Q48">
        <v>1</v>
      </c>
      <c r="R48">
        <v>3.4</v>
      </c>
      <c r="S48">
        <v>17.399999999999999</v>
      </c>
      <c r="T48" s="14">
        <f>(J48 - AVERAGE(FG_Range))*I48</f>
        <v>1.8504481343283581</v>
      </c>
      <c r="U48" s="14">
        <f>(M48 - AVERAGE(FT_RANGE))*L48</f>
        <v>0.17526806083649943</v>
      </c>
      <c r="V48" s="14">
        <f>(K48 - AVERAGE(Three_Range))/STDEV(Three_Range)</f>
        <v>-1.5157715571452535</v>
      </c>
      <c r="W48" s="14">
        <f>(S48 - AVERAGE(Pts_Range))/STDEV(Pts_Range)</f>
        <v>0.74379015366289991</v>
      </c>
      <c r="X48" s="14">
        <f>(N48 - AVERAGE(Reb_Range))/STDEV(Reb_Range)</f>
        <v>1.6278772542446434</v>
      </c>
      <c r="Y48" s="14">
        <f>(O48 - AVERAGE(Ast_Range))/STDEV(Ast_Range)</f>
        <v>1.0676911122797357</v>
      </c>
      <c r="Z48" s="14">
        <f>(P48 - AVERAGE(Stl_Range))/STDEV(Stl_Range)</f>
        <v>0.31183915844888088</v>
      </c>
      <c r="AA48" s="14">
        <f>(Q48 - AVERAGE(Blk_Range))/STDEV(Blk_Range)</f>
        <v>0.84917872240434955</v>
      </c>
      <c r="AB48" s="14">
        <f>(R48 - AVERAGE(Tov_Range))/STDEV(Tov_Range)*-1</f>
        <v>-1.9061725543106007</v>
      </c>
      <c r="AC48" s="14">
        <f>SUM(T48:AB48)</f>
        <v>3.2041484847495134</v>
      </c>
      <c r="AD48" s="14">
        <v>3.2041484847495174</v>
      </c>
      <c r="AE48" s="14">
        <f>AD48-AC48</f>
        <v>3.9968028886505635E-15</v>
      </c>
      <c r="AF48"/>
      <c r="AG48"/>
      <c r="AH48"/>
      <c r="AI48"/>
      <c r="AJ48"/>
      <c r="AK48"/>
      <c r="AL48"/>
      <c r="AM48"/>
      <c r="AN48"/>
      <c r="AO48"/>
      <c r="AP48"/>
      <c r="AQ48"/>
    </row>
    <row r="49" spans="1:43" x14ac:dyDescent="0.55000000000000004">
      <c r="A49">
        <v>48</v>
      </c>
      <c r="B49" s="7">
        <f t="shared" si="0"/>
        <v>48</v>
      </c>
      <c r="C49" s="7">
        <f t="shared" si="1"/>
        <v>0</v>
      </c>
      <c r="D49" t="s">
        <v>144</v>
      </c>
      <c r="E49" t="s">
        <v>18</v>
      </c>
      <c r="F49" t="s">
        <v>118</v>
      </c>
      <c r="G49">
        <v>11</v>
      </c>
      <c r="H49">
        <v>31.5</v>
      </c>
      <c r="I49">
        <v>16.399999999999999</v>
      </c>
      <c r="J49">
        <v>0.46700000000000003</v>
      </c>
      <c r="K49">
        <v>0</v>
      </c>
      <c r="L49">
        <v>5.3</v>
      </c>
      <c r="M49">
        <v>0.51700000000000002</v>
      </c>
      <c r="N49">
        <v>15.1</v>
      </c>
      <c r="O49">
        <v>2.9</v>
      </c>
      <c r="P49">
        <v>1.6</v>
      </c>
      <c r="Q49">
        <v>1.5</v>
      </c>
      <c r="R49">
        <v>3.9</v>
      </c>
      <c r="S49">
        <v>18</v>
      </c>
      <c r="T49" s="14">
        <f>(J49 - AVERAGE(FG_Range))*I49</f>
        <v>0.13468805970149245</v>
      </c>
      <c r="U49" s="14">
        <f>(M49 - AVERAGE(FT_RANGE))*L49</f>
        <v>-1.3045053231939188</v>
      </c>
      <c r="V49" s="14">
        <f>(K49 - AVERAGE(Three_Range))/STDEV(Three_Range)</f>
        <v>-1.5157715571452535</v>
      </c>
      <c r="W49" s="14">
        <f>(S49 - AVERAGE(Pts_Range))/STDEV(Pts_Range)</f>
        <v>0.83978618601621469</v>
      </c>
      <c r="X49" s="14">
        <f>(N49 - AVERAGE(Reb_Range))/STDEV(Reb_Range)</f>
        <v>4.0044210435276764</v>
      </c>
      <c r="Y49" s="14">
        <f>(O49 - AVERAGE(Ast_Range))/STDEV(Ast_Range)</f>
        <v>4.488846038010133E-2</v>
      </c>
      <c r="Z49" s="14">
        <f>(P49 - AVERAGE(Stl_Range))/STDEV(Stl_Range)</f>
        <v>1.5975759963611886</v>
      </c>
      <c r="AA49" s="14">
        <f>(Q49 - AVERAGE(Blk_Range))/STDEV(Blk_Range)</f>
        <v>1.771301484172443</v>
      </c>
      <c r="AB49" s="14">
        <f>(R49 - AVERAGE(Tov_Range))/STDEV(Tov_Range)*-1</f>
        <v>-2.4299107586936652</v>
      </c>
      <c r="AC49" s="14">
        <f>SUM(T49:AB49)</f>
        <v>3.1424735911262789</v>
      </c>
      <c r="AD49" s="14">
        <v>3.1424735911262909</v>
      </c>
      <c r="AE49" s="14">
        <f>AD49-AC49</f>
        <v>1.1990408665951691E-14</v>
      </c>
      <c r="AF49"/>
      <c r="AG49"/>
      <c r="AH49"/>
      <c r="AI49"/>
      <c r="AJ49"/>
      <c r="AK49"/>
      <c r="AL49"/>
      <c r="AM49"/>
      <c r="AN49"/>
      <c r="AO49"/>
      <c r="AP49"/>
      <c r="AQ49"/>
    </row>
    <row r="50" spans="1:43" x14ac:dyDescent="0.55000000000000004">
      <c r="A50">
        <v>49</v>
      </c>
      <c r="B50" s="7">
        <f t="shared" si="0"/>
        <v>49</v>
      </c>
      <c r="C50" s="7">
        <f t="shared" si="1"/>
        <v>0</v>
      </c>
      <c r="D50" t="s">
        <v>671</v>
      </c>
      <c r="E50" t="s">
        <v>46</v>
      </c>
      <c r="F50" t="s">
        <v>49</v>
      </c>
      <c r="G50">
        <v>9</v>
      </c>
      <c r="H50">
        <v>28.6</v>
      </c>
      <c r="I50">
        <v>8.3000000000000007</v>
      </c>
      <c r="J50">
        <v>0.52</v>
      </c>
      <c r="K50">
        <v>2.4</v>
      </c>
      <c r="L50">
        <v>1.2</v>
      </c>
      <c r="M50">
        <v>0.81799999999999995</v>
      </c>
      <c r="N50">
        <v>2.7</v>
      </c>
      <c r="O50">
        <v>5.3</v>
      </c>
      <c r="P50">
        <v>1.3</v>
      </c>
      <c r="Q50">
        <v>0.4</v>
      </c>
      <c r="R50">
        <v>1</v>
      </c>
      <c r="S50">
        <v>12.1</v>
      </c>
      <c r="T50" s="14">
        <f>(J50 - AVERAGE(FG_Range))*I50</f>
        <v>0.50806529850746263</v>
      </c>
      <c r="U50" s="14">
        <f>(M50 - AVERAGE(FT_RANGE))*L50</f>
        <v>6.5840304182508858E-2</v>
      </c>
      <c r="V50" s="14">
        <f>(K50 - AVERAGE(Three_Range))/STDEV(Three_Range)</f>
        <v>0.94994484537327517</v>
      </c>
      <c r="W50" s="14">
        <f>(S50 - AVERAGE(Pts_Range))/STDEV(Pts_Range)</f>
        <v>-0.10417479879137907</v>
      </c>
      <c r="X50" s="14">
        <f>(N50 - AVERAGE(Reb_Range))/STDEV(Reb_Range)</f>
        <v>-0.82658600353947276</v>
      </c>
      <c r="Y50" s="14">
        <f>(O50 - AVERAGE(Ast_Range))/STDEV(Ast_Range)</f>
        <v>1.2138057768368262</v>
      </c>
      <c r="Z50" s="14">
        <f>(P50 - AVERAGE(Stl_Range))/STDEV(Stl_Range)</f>
        <v>0.95470757740503476</v>
      </c>
      <c r="AA50" s="14">
        <f>(Q50 - AVERAGE(Blk_Range))/STDEV(Blk_Range)</f>
        <v>-0.25736859171736254</v>
      </c>
      <c r="AB50" s="14">
        <f>(R50 - AVERAGE(Tov_Range))/STDEV(Tov_Range)*-1</f>
        <v>0.60777082672810812</v>
      </c>
      <c r="AC50" s="14">
        <f>SUM(T50:AB50)</f>
        <v>3.1120052349850011</v>
      </c>
      <c r="AD50" s="14">
        <v>3.1120052349850007</v>
      </c>
      <c r="AE50" s="14">
        <f>AD50-AC50</f>
        <v>0</v>
      </c>
      <c r="AF50"/>
      <c r="AG50"/>
      <c r="AH50"/>
      <c r="AI50"/>
      <c r="AJ50"/>
      <c r="AK50"/>
      <c r="AL50"/>
      <c r="AM50"/>
      <c r="AN50"/>
      <c r="AO50"/>
      <c r="AP50"/>
      <c r="AQ50"/>
    </row>
    <row r="51" spans="1:43" x14ac:dyDescent="0.55000000000000004">
      <c r="A51">
        <v>50</v>
      </c>
      <c r="B51" s="7">
        <f t="shared" si="0"/>
        <v>50</v>
      </c>
      <c r="C51" s="7">
        <f t="shared" si="1"/>
        <v>0</v>
      </c>
      <c r="D51" t="s">
        <v>174</v>
      </c>
      <c r="E51" t="s">
        <v>25</v>
      </c>
      <c r="F51" t="s">
        <v>19</v>
      </c>
      <c r="G51">
        <v>10</v>
      </c>
      <c r="H51">
        <v>33.6</v>
      </c>
      <c r="I51">
        <v>15</v>
      </c>
      <c r="J51">
        <v>0.49299999999999999</v>
      </c>
      <c r="K51">
        <v>1.8</v>
      </c>
      <c r="L51">
        <v>5.7</v>
      </c>
      <c r="M51">
        <v>0.754</v>
      </c>
      <c r="N51">
        <v>5.7</v>
      </c>
      <c r="O51">
        <v>6.3</v>
      </c>
      <c r="P51">
        <v>1</v>
      </c>
      <c r="Q51">
        <v>0.5</v>
      </c>
      <c r="R51">
        <v>2.8</v>
      </c>
      <c r="S51">
        <v>20.9</v>
      </c>
      <c r="T51" s="14">
        <f>(J51 - AVERAGE(FG_Range))*I51</f>
        <v>0.51319029850746212</v>
      </c>
      <c r="U51" s="14">
        <f>(M51 - AVERAGE(FT_RANGE))*L51</f>
        <v>-5.2058555133082621E-2</v>
      </c>
      <c r="V51" s="14">
        <f>(K51 - AVERAGE(Three_Range))/STDEV(Three_Range)</f>
        <v>0.33351574474364315</v>
      </c>
      <c r="W51" s="14">
        <f>(S51 - AVERAGE(Pts_Range))/STDEV(Pts_Range)</f>
        <v>1.3037670090572351</v>
      </c>
      <c r="X51" s="14">
        <f>(N51 - AVERAGE(Reb_Range))/STDEV(Reb_Range)</f>
        <v>0.34220602397677297</v>
      </c>
      <c r="Y51" s="14">
        <f>(O51 - AVERAGE(Ast_Range))/STDEV(Ast_Range)</f>
        <v>1.7008546586937949</v>
      </c>
      <c r="Z51" s="14">
        <f>(P51 - AVERAGE(Stl_Range))/STDEV(Stl_Range)</f>
        <v>0.31183915844888088</v>
      </c>
      <c r="AA51" s="14">
        <f>(Q51 - AVERAGE(Blk_Range))/STDEV(Blk_Range)</f>
        <v>-7.2944039363743871E-2</v>
      </c>
      <c r="AB51" s="14">
        <f>(R51 - AVERAGE(Tov_Range))/STDEV(Tov_Range)*-1</f>
        <v>-1.2776867090509234</v>
      </c>
      <c r="AC51" s="14">
        <f>SUM(T51:AB51)</f>
        <v>3.1026835898800393</v>
      </c>
      <c r="AD51" s="14">
        <v>3.1026835898800349</v>
      </c>
      <c r="AE51" s="14">
        <f>AD51-AC51</f>
        <v>-4.4408920985006262E-15</v>
      </c>
      <c r="AF51"/>
      <c r="AG51"/>
      <c r="AH51"/>
      <c r="AI51"/>
      <c r="AJ51"/>
      <c r="AK51"/>
      <c r="AL51"/>
      <c r="AM51"/>
      <c r="AN51"/>
      <c r="AO51"/>
      <c r="AP51"/>
      <c r="AQ51"/>
    </row>
    <row r="52" spans="1:43" x14ac:dyDescent="0.55000000000000004">
      <c r="A52">
        <v>51</v>
      </c>
      <c r="B52" s="7">
        <f t="shared" si="0"/>
        <v>51</v>
      </c>
      <c r="C52" s="7">
        <f t="shared" si="1"/>
        <v>0</v>
      </c>
      <c r="D52" t="s">
        <v>667</v>
      </c>
      <c r="E52" t="s">
        <v>46</v>
      </c>
      <c r="F52" t="s">
        <v>54</v>
      </c>
      <c r="G52">
        <v>11</v>
      </c>
      <c r="H52">
        <v>25.3</v>
      </c>
      <c r="I52">
        <v>11</v>
      </c>
      <c r="J52">
        <v>0.41299999999999998</v>
      </c>
      <c r="K52">
        <v>1.6</v>
      </c>
      <c r="L52">
        <v>2.2999999999999998</v>
      </c>
      <c r="M52">
        <v>0.72</v>
      </c>
      <c r="N52">
        <v>7</v>
      </c>
      <c r="O52">
        <v>6</v>
      </c>
      <c r="P52">
        <v>1.6</v>
      </c>
      <c r="Q52">
        <v>0.4</v>
      </c>
      <c r="R52">
        <v>2</v>
      </c>
      <c r="S52">
        <v>12.4</v>
      </c>
      <c r="T52" s="14">
        <f>(J52 - AVERAGE(FG_Range))*I52</f>
        <v>-0.50366044776119456</v>
      </c>
      <c r="U52" s="14">
        <f>(M52 - AVERAGE(FT_RANGE))*L52</f>
        <v>-9.920608365019129E-2</v>
      </c>
      <c r="V52" s="14">
        <f>(K52 - AVERAGE(Three_Range))/STDEV(Three_Range)</f>
        <v>0.12803937786709912</v>
      </c>
      <c r="W52" s="14">
        <f>(S52 - AVERAGE(Pts_Range))/STDEV(Pts_Range)</f>
        <v>-5.617678261472165E-2</v>
      </c>
      <c r="X52" s="14">
        <f>(N52 - AVERAGE(Reb_Range))/STDEV(Reb_Range)</f>
        <v>0.8486825692338128</v>
      </c>
      <c r="Y52" s="14">
        <f>(O52 - AVERAGE(Ast_Range))/STDEV(Ast_Range)</f>
        <v>1.5547399941367044</v>
      </c>
      <c r="Z52" s="14">
        <f>(P52 - AVERAGE(Stl_Range))/STDEV(Stl_Range)</f>
        <v>1.5975759963611886</v>
      </c>
      <c r="AA52" s="14">
        <f>(Q52 - AVERAGE(Blk_Range))/STDEV(Blk_Range)</f>
        <v>-0.25736859171736254</v>
      </c>
      <c r="AB52" s="14">
        <f>(R52 - AVERAGE(Tov_Range))/STDEV(Tov_Range)*-1</f>
        <v>-0.43970558203802057</v>
      </c>
      <c r="AC52" s="14">
        <f>SUM(T52:AB52)</f>
        <v>2.7729204498173141</v>
      </c>
      <c r="AD52" s="14">
        <v>2.772920449817319</v>
      </c>
      <c r="AE52" s="14">
        <f>AD52-AC52</f>
        <v>4.8849813083506888E-15</v>
      </c>
      <c r="AF52"/>
      <c r="AG52"/>
      <c r="AH52"/>
      <c r="AI52"/>
      <c r="AJ52"/>
      <c r="AK52"/>
      <c r="AL52"/>
      <c r="AM52"/>
      <c r="AN52"/>
      <c r="AO52"/>
      <c r="AP52"/>
      <c r="AQ52"/>
    </row>
    <row r="53" spans="1:43" x14ac:dyDescent="0.55000000000000004">
      <c r="A53">
        <v>52</v>
      </c>
      <c r="B53" s="7">
        <f t="shared" si="0"/>
        <v>52</v>
      </c>
      <c r="C53" s="7">
        <f t="shared" si="1"/>
        <v>0</v>
      </c>
      <c r="D53" t="s">
        <v>343</v>
      </c>
      <c r="E53" t="s">
        <v>18</v>
      </c>
      <c r="F53" t="s">
        <v>21</v>
      </c>
      <c r="G53">
        <v>8</v>
      </c>
      <c r="H53">
        <v>28.5</v>
      </c>
      <c r="I53">
        <v>9.3000000000000007</v>
      </c>
      <c r="J53">
        <v>0.47299999999999998</v>
      </c>
      <c r="K53">
        <v>2.8</v>
      </c>
      <c r="L53">
        <v>0.8</v>
      </c>
      <c r="M53">
        <v>0.66700000000000004</v>
      </c>
      <c r="N53">
        <v>5.8</v>
      </c>
      <c r="O53">
        <v>2.4</v>
      </c>
      <c r="P53">
        <v>1.1000000000000001</v>
      </c>
      <c r="Q53">
        <v>0.9</v>
      </c>
      <c r="R53">
        <v>1.5</v>
      </c>
      <c r="S53">
        <v>12</v>
      </c>
      <c r="T53" s="14">
        <f>(J53 - AVERAGE(FG_Range))*I53</f>
        <v>0.13217798507462636</v>
      </c>
      <c r="U53" s="14">
        <f>(M53 - AVERAGE(FT_RANGE))*L53</f>
        <v>-7.6906463878327364E-2</v>
      </c>
      <c r="V53" s="14">
        <f>(K53 - AVERAGE(Three_Range))/STDEV(Three_Range)</f>
        <v>1.3608975791263631</v>
      </c>
      <c r="W53" s="14">
        <f>(S53 - AVERAGE(Pts_Range))/STDEV(Pts_Range)</f>
        <v>-0.12017413751693146</v>
      </c>
      <c r="X53" s="14">
        <f>(N53 - AVERAGE(Reb_Range))/STDEV(Reb_Range)</f>
        <v>0.38116575822731436</v>
      </c>
      <c r="Y53" s="14">
        <f>(O53 - AVERAGE(Ast_Range))/STDEV(Ast_Range)</f>
        <v>-0.19863598054838305</v>
      </c>
      <c r="Z53" s="14">
        <f>(P53 - AVERAGE(Stl_Range))/STDEV(Stl_Range)</f>
        <v>0.52612863143426558</v>
      </c>
      <c r="AA53" s="14">
        <f>(Q53 - AVERAGE(Blk_Range))/STDEV(Blk_Range)</f>
        <v>0.6647541700507309</v>
      </c>
      <c r="AB53" s="14">
        <f>(R53 - AVERAGE(Tov_Range))/STDEV(Tov_Range)*-1</f>
        <v>8.4032622345043773E-2</v>
      </c>
      <c r="AC53" s="14">
        <f>SUM(T53:AB53)</f>
        <v>2.7534401643147017</v>
      </c>
      <c r="AD53" s="14">
        <v>2.7534401643147004</v>
      </c>
      <c r="AE53" s="14">
        <f>AD53-AC53</f>
        <v>0</v>
      </c>
      <c r="AF53"/>
      <c r="AG53"/>
      <c r="AH53"/>
      <c r="AI53"/>
      <c r="AJ53"/>
      <c r="AK53"/>
      <c r="AL53"/>
      <c r="AM53"/>
      <c r="AN53"/>
      <c r="AO53"/>
      <c r="AP53"/>
      <c r="AQ53"/>
    </row>
    <row r="54" spans="1:43" x14ac:dyDescent="0.55000000000000004">
      <c r="A54">
        <v>53</v>
      </c>
      <c r="B54" s="7">
        <f t="shared" si="0"/>
        <v>53</v>
      </c>
      <c r="C54" s="7">
        <f t="shared" si="1"/>
        <v>0</v>
      </c>
      <c r="D54" t="s">
        <v>388</v>
      </c>
      <c r="E54" t="s">
        <v>15</v>
      </c>
      <c r="F54" t="s">
        <v>44</v>
      </c>
      <c r="G54">
        <v>9</v>
      </c>
      <c r="H54">
        <v>35.9</v>
      </c>
      <c r="I54">
        <v>16.600000000000001</v>
      </c>
      <c r="J54">
        <v>0.46300000000000002</v>
      </c>
      <c r="K54">
        <v>1.4</v>
      </c>
      <c r="L54">
        <v>4.9000000000000004</v>
      </c>
      <c r="M54">
        <v>0.75</v>
      </c>
      <c r="N54">
        <v>8.8000000000000007</v>
      </c>
      <c r="O54">
        <v>5.0999999999999996</v>
      </c>
      <c r="P54">
        <v>0.8</v>
      </c>
      <c r="Q54">
        <v>0.6</v>
      </c>
      <c r="R54">
        <v>2.6</v>
      </c>
      <c r="S54">
        <v>20.399999999999999</v>
      </c>
      <c r="T54" s="14">
        <f>(J54 - AVERAGE(FG_Range))*I54</f>
        <v>6.9930597014925225E-2</v>
      </c>
      <c r="U54" s="14">
        <f>(M54 - AVERAGE(FT_RANGE))*L54</f>
        <v>-6.4352091254755259E-2</v>
      </c>
      <c r="V54" s="14">
        <f>(K54 - AVERAGE(Three_Range))/STDEV(Three_Range)</f>
        <v>-7.7436989009445123E-2</v>
      </c>
      <c r="W54" s="14">
        <f>(S54 - AVERAGE(Pts_Range))/STDEV(Pts_Range)</f>
        <v>1.223770315429473</v>
      </c>
      <c r="X54" s="14">
        <f>(N54 - AVERAGE(Reb_Range))/STDEV(Reb_Range)</f>
        <v>1.5499577857435605</v>
      </c>
      <c r="Y54" s="14">
        <f>(O54 - AVERAGE(Ast_Range))/STDEV(Ast_Range)</f>
        <v>1.1163960004654323</v>
      </c>
      <c r="Z54" s="14">
        <f>(P54 - AVERAGE(Stl_Range))/STDEV(Stl_Range)</f>
        <v>-0.11673978752188821</v>
      </c>
      <c r="AA54" s="14">
        <f>(Q54 - AVERAGE(Blk_Range))/STDEV(Blk_Range)</f>
        <v>0.11148051298987478</v>
      </c>
      <c r="AB54" s="14">
        <f>(R54 - AVERAGE(Tov_Range))/STDEV(Tov_Range)*-1</f>
        <v>-1.068191427297698</v>
      </c>
      <c r="AC54" s="14">
        <f>SUM(T54:AB54)</f>
        <v>2.7448149165594797</v>
      </c>
      <c r="AD54" s="14">
        <v>2.744814916559478</v>
      </c>
      <c r="AE54" s="14">
        <f>AD54-AC54</f>
        <v>0</v>
      </c>
      <c r="AF54"/>
      <c r="AG54"/>
      <c r="AH54"/>
      <c r="AI54"/>
      <c r="AJ54"/>
      <c r="AK54"/>
      <c r="AL54"/>
      <c r="AM54"/>
      <c r="AN54"/>
      <c r="AO54"/>
      <c r="AP54"/>
      <c r="AQ54"/>
    </row>
    <row r="55" spans="1:43" x14ac:dyDescent="0.55000000000000004">
      <c r="A55">
        <v>54</v>
      </c>
      <c r="B55" s="7">
        <f t="shared" si="0"/>
        <v>54</v>
      </c>
      <c r="C55" s="7">
        <f t="shared" si="1"/>
        <v>0</v>
      </c>
      <c r="D55" t="s">
        <v>225</v>
      </c>
      <c r="E55" t="s">
        <v>34</v>
      </c>
      <c r="F55" t="s">
        <v>70</v>
      </c>
      <c r="G55">
        <v>10</v>
      </c>
      <c r="H55">
        <v>31.6</v>
      </c>
      <c r="I55">
        <v>11</v>
      </c>
      <c r="J55">
        <v>0.51800000000000002</v>
      </c>
      <c r="K55">
        <v>2</v>
      </c>
      <c r="L55">
        <v>3.4</v>
      </c>
      <c r="M55">
        <v>0.85299999999999998</v>
      </c>
      <c r="N55">
        <v>6.8</v>
      </c>
      <c r="O55">
        <v>2.1</v>
      </c>
      <c r="P55">
        <v>0.6</v>
      </c>
      <c r="Q55">
        <v>0.6</v>
      </c>
      <c r="R55">
        <v>1</v>
      </c>
      <c r="S55">
        <v>16.3</v>
      </c>
      <c r="T55" s="14">
        <f>(J55 - AVERAGE(FG_Range))*I55</f>
        <v>0.6513395522388058</v>
      </c>
      <c r="U55" s="14">
        <f>(M55 - AVERAGE(FT_RANGE))*L55</f>
        <v>0.30554752851710854</v>
      </c>
      <c r="V55" s="14">
        <f>(K55 - AVERAGE(Three_Range))/STDEV(Three_Range)</f>
        <v>0.53899211162018712</v>
      </c>
      <c r="W55" s="14">
        <f>(S55 - AVERAGE(Pts_Range))/STDEV(Pts_Range)</f>
        <v>0.5677974276818234</v>
      </c>
      <c r="X55" s="14">
        <f>(N55 - AVERAGE(Reb_Range))/STDEV(Reb_Range)</f>
        <v>0.77076310073272958</v>
      </c>
      <c r="Y55" s="14">
        <f>(O55 - AVERAGE(Ast_Range))/STDEV(Ast_Range)</f>
        <v>-0.3447506451054736</v>
      </c>
      <c r="Z55" s="14">
        <f>(P55 - AVERAGE(Stl_Range))/STDEV(Stl_Range)</f>
        <v>-0.54531873349265758</v>
      </c>
      <c r="AA55" s="14">
        <f>(Q55 - AVERAGE(Blk_Range))/STDEV(Blk_Range)</f>
        <v>0.11148051298987478</v>
      </c>
      <c r="AB55" s="14">
        <f>(R55 - AVERAGE(Tov_Range))/STDEV(Tov_Range)*-1</f>
        <v>0.60777082672810812</v>
      </c>
      <c r="AC55" s="14">
        <f>SUM(T55:AB55)</f>
        <v>2.6636216819105063</v>
      </c>
      <c r="AD55" s="14">
        <v>2.6636216819105059</v>
      </c>
      <c r="AE55" s="14">
        <f>AD55-AC55</f>
        <v>0</v>
      </c>
      <c r="AF55"/>
      <c r="AG55"/>
      <c r="AH55"/>
      <c r="AI55"/>
      <c r="AJ55"/>
      <c r="AK55"/>
      <c r="AL55"/>
      <c r="AM55"/>
      <c r="AN55"/>
      <c r="AO55"/>
      <c r="AP55"/>
      <c r="AQ55"/>
    </row>
    <row r="56" spans="1:43" x14ac:dyDescent="0.55000000000000004">
      <c r="A56">
        <v>55</v>
      </c>
      <c r="B56" s="7">
        <f t="shared" si="0"/>
        <v>55</v>
      </c>
      <c r="C56" s="7">
        <f t="shared" si="1"/>
        <v>0</v>
      </c>
      <c r="D56" t="s">
        <v>285</v>
      </c>
      <c r="E56" t="s">
        <v>46</v>
      </c>
      <c r="F56" t="s">
        <v>44</v>
      </c>
      <c r="G56">
        <v>9</v>
      </c>
      <c r="H56">
        <v>36.4</v>
      </c>
      <c r="I56">
        <v>14.4</v>
      </c>
      <c r="J56">
        <v>0.40799999999999997</v>
      </c>
      <c r="K56">
        <v>2.9</v>
      </c>
      <c r="L56">
        <v>5</v>
      </c>
      <c r="M56">
        <v>0.86699999999999999</v>
      </c>
      <c r="N56">
        <v>6</v>
      </c>
      <c r="O56">
        <v>6.7</v>
      </c>
      <c r="P56">
        <v>1.1000000000000001</v>
      </c>
      <c r="Q56">
        <v>0</v>
      </c>
      <c r="R56">
        <v>3.1</v>
      </c>
      <c r="S56">
        <v>19</v>
      </c>
      <c r="T56" s="14">
        <f>(J56 - AVERAGE(FG_Range))*I56</f>
        <v>-0.7313373134328367</v>
      </c>
      <c r="U56" s="14">
        <f>(M56 - AVERAGE(FT_RANGE))*L56</f>
        <v>0.51933460076045379</v>
      </c>
      <c r="V56" s="14">
        <f>(K56 - AVERAGE(Three_Range))/STDEV(Three_Range)</f>
        <v>1.4636357625646352</v>
      </c>
      <c r="W56" s="14">
        <f>(S56 - AVERAGE(Pts_Range))/STDEV(Pts_Range)</f>
        <v>0.99977957327173905</v>
      </c>
      <c r="X56" s="14">
        <f>(N56 - AVERAGE(Reb_Range))/STDEV(Reb_Range)</f>
        <v>0.45908522672839747</v>
      </c>
      <c r="Y56" s="14">
        <f>(O56 - AVERAGE(Ast_Range))/STDEV(Ast_Range)</f>
        <v>1.8956742114365825</v>
      </c>
      <c r="Z56" s="14">
        <f>(P56 - AVERAGE(Stl_Range))/STDEV(Stl_Range)</f>
        <v>0.52612863143426558</v>
      </c>
      <c r="AA56" s="14">
        <f>(Q56 - AVERAGE(Blk_Range))/STDEV(Blk_Range)</f>
        <v>-0.99506680113183732</v>
      </c>
      <c r="AB56" s="14">
        <f>(R56 - AVERAGE(Tov_Range))/STDEV(Tov_Range)*-1</f>
        <v>-1.5919296316807623</v>
      </c>
      <c r="AC56" s="14">
        <f>SUM(T56:AB56)</f>
        <v>2.5453042599506377</v>
      </c>
      <c r="AD56" s="14">
        <v>2.5453042599506288</v>
      </c>
      <c r="AE56" s="14">
        <f>AD56-AC56</f>
        <v>-8.8817841970012523E-15</v>
      </c>
      <c r="AF56"/>
      <c r="AG56"/>
      <c r="AH56"/>
      <c r="AI56"/>
      <c r="AJ56"/>
      <c r="AK56"/>
      <c r="AL56"/>
      <c r="AM56"/>
      <c r="AN56"/>
      <c r="AO56"/>
      <c r="AP56"/>
      <c r="AQ56"/>
    </row>
    <row r="57" spans="1:43" x14ac:dyDescent="0.55000000000000004">
      <c r="A57">
        <v>56</v>
      </c>
      <c r="B57" s="7">
        <f t="shared" si="0"/>
        <v>56</v>
      </c>
      <c r="C57" s="7">
        <f t="shared" si="1"/>
        <v>0</v>
      </c>
      <c r="D57" t="s">
        <v>124</v>
      </c>
      <c r="E57" t="s">
        <v>46</v>
      </c>
      <c r="F57" t="s">
        <v>79</v>
      </c>
      <c r="G57">
        <v>11</v>
      </c>
      <c r="H57">
        <v>30.3</v>
      </c>
      <c r="I57">
        <v>13.3</v>
      </c>
      <c r="J57">
        <v>0.45200000000000001</v>
      </c>
      <c r="K57">
        <v>3.1</v>
      </c>
      <c r="L57">
        <v>2.8</v>
      </c>
      <c r="M57">
        <v>0.77400000000000002</v>
      </c>
      <c r="N57">
        <v>4.3</v>
      </c>
      <c r="O57">
        <v>5.6</v>
      </c>
      <c r="P57">
        <v>1.1000000000000001</v>
      </c>
      <c r="Q57">
        <v>0.1</v>
      </c>
      <c r="R57">
        <v>2.2999999999999998</v>
      </c>
      <c r="S57">
        <v>17.3</v>
      </c>
      <c r="T57" s="14">
        <f>(J57 - AVERAGE(FG_Range))*I57</f>
        <v>-9.0271268656716669E-2</v>
      </c>
      <c r="U57" s="14">
        <f>(M57 - AVERAGE(FT_RANGE))*L57</f>
        <v>3.0427376425854202E-2</v>
      </c>
      <c r="V57" s="14">
        <f>(K57 - AVERAGE(Three_Range))/STDEV(Three_Range)</f>
        <v>1.6691121294411795</v>
      </c>
      <c r="W57" s="14">
        <f>(S57 - AVERAGE(Pts_Range))/STDEV(Pts_Range)</f>
        <v>0.72779081493734776</v>
      </c>
      <c r="X57" s="14">
        <f>(N57 - AVERAGE(Reb_Range))/STDEV(Reb_Range)</f>
        <v>-0.20323025553080853</v>
      </c>
      <c r="Y57" s="14">
        <f>(O57 - AVERAGE(Ast_Range))/STDEV(Ast_Range)</f>
        <v>1.3599204413939168</v>
      </c>
      <c r="Z57" s="14">
        <f>(P57 - AVERAGE(Stl_Range))/STDEV(Stl_Range)</f>
        <v>0.52612863143426558</v>
      </c>
      <c r="AA57" s="14">
        <f>(Q57 - AVERAGE(Blk_Range))/STDEV(Blk_Range)</f>
        <v>-0.81064224877821867</v>
      </c>
      <c r="AB57" s="14">
        <f>(R57 - AVERAGE(Tov_Range))/STDEV(Tov_Range)*-1</f>
        <v>-0.75394850466785901</v>
      </c>
      <c r="AC57" s="14">
        <f>SUM(T57:AB57)</f>
        <v>2.4552871159989613</v>
      </c>
      <c r="AD57" s="14">
        <v>2.4552871159989538</v>
      </c>
      <c r="AE57" s="14">
        <f>AD57-AC57</f>
        <v>-7.5495165674510645E-15</v>
      </c>
      <c r="AF57"/>
      <c r="AG57"/>
      <c r="AH57"/>
      <c r="AI57"/>
      <c r="AJ57"/>
      <c r="AK57"/>
      <c r="AL57"/>
      <c r="AM57"/>
      <c r="AN57"/>
      <c r="AO57"/>
      <c r="AP57"/>
      <c r="AQ57"/>
    </row>
    <row r="58" spans="1:43" x14ac:dyDescent="0.55000000000000004">
      <c r="A58">
        <v>57</v>
      </c>
      <c r="B58" s="7">
        <f t="shared" si="0"/>
        <v>57</v>
      </c>
      <c r="C58" s="7">
        <f t="shared" si="1"/>
        <v>0</v>
      </c>
      <c r="D58" t="s">
        <v>122</v>
      </c>
      <c r="E58" t="s">
        <v>15</v>
      </c>
      <c r="F58" t="s">
        <v>70</v>
      </c>
      <c r="G58">
        <v>10</v>
      </c>
      <c r="H58">
        <v>28.1</v>
      </c>
      <c r="I58">
        <v>11.5</v>
      </c>
      <c r="J58">
        <v>0.54800000000000004</v>
      </c>
      <c r="K58">
        <v>1.3</v>
      </c>
      <c r="L58">
        <v>3.5</v>
      </c>
      <c r="M58">
        <v>0.8</v>
      </c>
      <c r="N58">
        <v>7.7</v>
      </c>
      <c r="O58">
        <v>1.5</v>
      </c>
      <c r="P58">
        <v>0.6</v>
      </c>
      <c r="Q58">
        <v>0.7</v>
      </c>
      <c r="R58">
        <v>1.1000000000000001</v>
      </c>
      <c r="S58">
        <v>16.7</v>
      </c>
      <c r="T58" s="14">
        <f>(J58 - AVERAGE(FG_Range))*I58</f>
        <v>1.0259458955223881</v>
      </c>
      <c r="U58" s="14">
        <f>(M58 - AVERAGE(FT_RANGE))*L58</f>
        <v>0.12903422053231783</v>
      </c>
      <c r="V58" s="14">
        <f>(K58 - AVERAGE(Three_Range))/STDEV(Three_Range)</f>
        <v>-0.18017517244771702</v>
      </c>
      <c r="W58" s="14">
        <f>(S58 - AVERAGE(Pts_Range))/STDEV(Pts_Range)</f>
        <v>0.63179478258403299</v>
      </c>
      <c r="X58" s="14">
        <f>(N58 - AVERAGE(Reb_Range))/STDEV(Reb_Range)</f>
        <v>1.1214007089876035</v>
      </c>
      <c r="Y58" s="14">
        <f>(O58 - AVERAGE(Ast_Range))/STDEV(Ast_Range)</f>
        <v>-0.63697997421965491</v>
      </c>
      <c r="Z58" s="14">
        <f>(P58 - AVERAGE(Stl_Range))/STDEV(Stl_Range)</f>
        <v>-0.54531873349265758</v>
      </c>
      <c r="AA58" s="14">
        <f>(Q58 - AVERAGE(Blk_Range))/STDEV(Blk_Range)</f>
        <v>0.29590506534349342</v>
      </c>
      <c r="AB58" s="14">
        <f>(R58 - AVERAGE(Tov_Range))/STDEV(Tov_Range)*-1</f>
        <v>0.50302318585149519</v>
      </c>
      <c r="AC58" s="14">
        <f>SUM(T58:AB58)</f>
        <v>2.3446299786613012</v>
      </c>
      <c r="AD58" s="14">
        <v>2.3446299786613052</v>
      </c>
      <c r="AE58" s="14">
        <f>AD58-AC58</f>
        <v>3.9968028886505635E-15</v>
      </c>
      <c r="AF58"/>
      <c r="AG58"/>
      <c r="AH58"/>
      <c r="AI58"/>
      <c r="AJ58"/>
      <c r="AK58"/>
      <c r="AL58"/>
      <c r="AM58"/>
      <c r="AN58"/>
      <c r="AO58"/>
      <c r="AP58"/>
      <c r="AQ58"/>
    </row>
    <row r="59" spans="1:43" x14ac:dyDescent="0.55000000000000004">
      <c r="A59">
        <v>58</v>
      </c>
      <c r="B59" s="7">
        <f t="shared" si="0"/>
        <v>58</v>
      </c>
      <c r="C59" s="7">
        <f t="shared" si="1"/>
        <v>0</v>
      </c>
      <c r="D59" t="s">
        <v>364</v>
      </c>
      <c r="E59" t="s">
        <v>15</v>
      </c>
      <c r="F59" t="s">
        <v>31</v>
      </c>
      <c r="G59">
        <v>11</v>
      </c>
      <c r="H59">
        <v>37.1</v>
      </c>
      <c r="I59">
        <v>16</v>
      </c>
      <c r="J59">
        <v>0.49399999999999999</v>
      </c>
      <c r="K59">
        <v>1.3</v>
      </c>
      <c r="L59">
        <v>6.5</v>
      </c>
      <c r="M59">
        <v>0.77500000000000002</v>
      </c>
      <c r="N59">
        <v>11.2</v>
      </c>
      <c r="O59">
        <v>6.9</v>
      </c>
      <c r="P59">
        <v>0.5</v>
      </c>
      <c r="Q59">
        <v>0.3</v>
      </c>
      <c r="R59">
        <v>4.4000000000000004</v>
      </c>
      <c r="S59">
        <v>22.1</v>
      </c>
      <c r="T59" s="14">
        <f>(J59 - AVERAGE(FG_Range))*I59</f>
        <v>0.56340298507462627</v>
      </c>
      <c r="U59" s="14">
        <f>(M59 - AVERAGE(FT_RANGE))*L59</f>
        <v>7.7134980988590118E-2</v>
      </c>
      <c r="V59" s="14">
        <f>(K59 - AVERAGE(Three_Range))/STDEV(Three_Range)</f>
        <v>-0.18017517244771702</v>
      </c>
      <c r="W59" s="14">
        <f>(S59 - AVERAGE(Pts_Range))/STDEV(Pts_Range)</f>
        <v>1.4957590737638649</v>
      </c>
      <c r="X59" s="14">
        <f>(N59 - AVERAGE(Reb_Range))/STDEV(Reb_Range)</f>
        <v>2.4849914077565565</v>
      </c>
      <c r="Y59" s="14">
        <f>(O59 - AVERAGE(Ast_Range))/STDEV(Ast_Range)</f>
        <v>1.9930839878079765</v>
      </c>
      <c r="Z59" s="14">
        <f>(P59 - AVERAGE(Stl_Range))/STDEV(Stl_Range)</f>
        <v>-0.75960820647804206</v>
      </c>
      <c r="AA59" s="14">
        <f>(Q59 - AVERAGE(Blk_Range))/STDEV(Blk_Range)</f>
        <v>-0.4417931440709813</v>
      </c>
      <c r="AB59" s="14">
        <f>(R59 - AVERAGE(Tov_Range))/STDEV(Tov_Range)*-1</f>
        <v>-2.9536489630767297</v>
      </c>
      <c r="AC59" s="14">
        <f>SUM(T59:AB59)</f>
        <v>2.279146949318144</v>
      </c>
      <c r="AD59" s="14">
        <v>2.2791469493181395</v>
      </c>
      <c r="AE59" s="14">
        <f>AD59-AC59</f>
        <v>-4.4408920985006262E-15</v>
      </c>
      <c r="AF59"/>
      <c r="AG59"/>
      <c r="AH59"/>
      <c r="AI59"/>
      <c r="AJ59"/>
      <c r="AK59"/>
      <c r="AL59"/>
      <c r="AM59"/>
      <c r="AN59"/>
      <c r="AO59"/>
      <c r="AP59"/>
      <c r="AQ59"/>
    </row>
    <row r="60" spans="1:43" x14ac:dyDescent="0.55000000000000004">
      <c r="A60">
        <v>59</v>
      </c>
      <c r="B60" s="7">
        <f t="shared" si="0"/>
        <v>59</v>
      </c>
      <c r="C60" s="7">
        <f t="shared" si="1"/>
        <v>0</v>
      </c>
      <c r="D60" t="s">
        <v>62</v>
      </c>
      <c r="E60" t="s">
        <v>34</v>
      </c>
      <c r="F60" t="s">
        <v>72</v>
      </c>
      <c r="G60">
        <v>11</v>
      </c>
      <c r="H60">
        <v>29.3</v>
      </c>
      <c r="I60">
        <v>6.8</v>
      </c>
      <c r="J60">
        <v>0.50700000000000001</v>
      </c>
      <c r="K60">
        <v>1.8</v>
      </c>
      <c r="L60">
        <v>1.7</v>
      </c>
      <c r="M60">
        <v>0.89500000000000002</v>
      </c>
      <c r="N60">
        <v>5.6</v>
      </c>
      <c r="O60">
        <v>2.9</v>
      </c>
      <c r="P60">
        <v>1.3</v>
      </c>
      <c r="Q60">
        <v>0.3</v>
      </c>
      <c r="R60">
        <v>0.7</v>
      </c>
      <c r="S60">
        <v>10.3</v>
      </c>
      <c r="T60" s="14">
        <f>(J60 - AVERAGE(FG_Range))*I60</f>
        <v>0.32784626865671623</v>
      </c>
      <c r="U60" s="14">
        <f>(M60 - AVERAGE(FT_RANGE))*L60</f>
        <v>0.22417376425855431</v>
      </c>
      <c r="V60" s="14">
        <f>(K60 - AVERAGE(Three_Range))/STDEV(Three_Range)</f>
        <v>0.33351574474364315</v>
      </c>
      <c r="W60" s="14">
        <f>(S60 - AVERAGE(Pts_Range))/STDEV(Pts_Range)</f>
        <v>-0.39216289585132275</v>
      </c>
      <c r="X60" s="14">
        <f>(N60 - AVERAGE(Reb_Range))/STDEV(Reb_Range)</f>
        <v>0.30324628972623124</v>
      </c>
      <c r="Y60" s="14">
        <f>(O60 - AVERAGE(Ast_Range))/STDEV(Ast_Range)</f>
        <v>4.488846038010133E-2</v>
      </c>
      <c r="Z60" s="14">
        <f>(P60 - AVERAGE(Stl_Range))/STDEV(Stl_Range)</f>
        <v>0.95470757740503476</v>
      </c>
      <c r="AA60" s="14">
        <f>(Q60 - AVERAGE(Blk_Range))/STDEV(Blk_Range)</f>
        <v>-0.4417931440709813</v>
      </c>
      <c r="AB60" s="14">
        <f>(R60 - AVERAGE(Tov_Range))/STDEV(Tov_Range)*-1</f>
        <v>0.92201374935794678</v>
      </c>
      <c r="AC60" s="14">
        <f>SUM(T60:AB60)</f>
        <v>2.2764358146059238</v>
      </c>
      <c r="AD60" s="14">
        <v>2.27643581460593</v>
      </c>
      <c r="AE60" s="14">
        <f>AD60-AC60</f>
        <v>6.2172489379008766E-15</v>
      </c>
      <c r="AF60"/>
      <c r="AG60"/>
      <c r="AH60"/>
      <c r="AI60"/>
      <c r="AJ60"/>
      <c r="AK60"/>
      <c r="AL60"/>
      <c r="AM60"/>
      <c r="AN60"/>
      <c r="AO60"/>
      <c r="AP60"/>
      <c r="AQ60"/>
    </row>
    <row r="61" spans="1:43" x14ac:dyDescent="0.55000000000000004">
      <c r="A61">
        <v>60</v>
      </c>
      <c r="B61" s="7">
        <f t="shared" si="0"/>
        <v>60</v>
      </c>
      <c r="C61" s="7">
        <f t="shared" si="1"/>
        <v>0</v>
      </c>
      <c r="D61" t="s">
        <v>57</v>
      </c>
      <c r="E61" t="s">
        <v>15</v>
      </c>
      <c r="F61" t="s">
        <v>49</v>
      </c>
      <c r="G61">
        <v>11</v>
      </c>
      <c r="H61">
        <v>34.6</v>
      </c>
      <c r="I61">
        <v>11.8</v>
      </c>
      <c r="J61">
        <v>0.53100000000000003</v>
      </c>
      <c r="K61">
        <v>1.5</v>
      </c>
      <c r="L61">
        <v>4.8</v>
      </c>
      <c r="M61">
        <v>0.79200000000000004</v>
      </c>
      <c r="N61">
        <v>6.9</v>
      </c>
      <c r="O61">
        <v>3.1</v>
      </c>
      <c r="P61">
        <v>0.7</v>
      </c>
      <c r="Q61">
        <v>0.3</v>
      </c>
      <c r="R61">
        <v>1.4</v>
      </c>
      <c r="S61">
        <v>17.899999999999999</v>
      </c>
      <c r="T61" s="14">
        <f>(J61 - AVERAGE(FG_Range))*I61</f>
        <v>0.85210970149253729</v>
      </c>
      <c r="U61" s="14">
        <f>(M61 - AVERAGE(FT_RANGE))*L61</f>
        <v>0.13856121673003585</v>
      </c>
      <c r="V61" s="14">
        <f>(K61 - AVERAGE(Three_Range))/STDEV(Three_Range)</f>
        <v>2.5301194428826994E-2</v>
      </c>
      <c r="W61" s="14">
        <f>(S61 - AVERAGE(Pts_Range))/STDEV(Pts_Range)</f>
        <v>0.82378684729066209</v>
      </c>
      <c r="X61" s="14">
        <f>(N61 - AVERAGE(Reb_Range))/STDEV(Reb_Range)</f>
        <v>0.80972283498327136</v>
      </c>
      <c r="Y61" s="14">
        <f>(O61 - AVERAGE(Ast_Range))/STDEV(Ast_Range)</f>
        <v>0.14229823675149517</v>
      </c>
      <c r="Z61" s="14">
        <f>(P61 - AVERAGE(Stl_Range))/STDEV(Stl_Range)</f>
        <v>-0.33102926050727299</v>
      </c>
      <c r="AA61" s="14">
        <f>(Q61 - AVERAGE(Blk_Range))/STDEV(Blk_Range)</f>
        <v>-0.4417931440709813</v>
      </c>
      <c r="AB61" s="14">
        <f>(R61 - AVERAGE(Tov_Range))/STDEV(Tov_Range)*-1</f>
        <v>0.18878026322165675</v>
      </c>
      <c r="AC61" s="14">
        <f>SUM(T61:AB61)</f>
        <v>2.2077378903202307</v>
      </c>
      <c r="AD61" s="14">
        <v>2.2077378903202329</v>
      </c>
      <c r="AE61" s="14">
        <f>AD61-AC61</f>
        <v>0</v>
      </c>
      <c r="AF61"/>
      <c r="AG61"/>
      <c r="AH61"/>
      <c r="AI61"/>
      <c r="AJ61"/>
      <c r="AK61"/>
      <c r="AL61"/>
      <c r="AM61"/>
      <c r="AN61"/>
      <c r="AO61"/>
      <c r="AP61"/>
      <c r="AQ61"/>
    </row>
    <row r="62" spans="1:43" x14ac:dyDescent="0.55000000000000004">
      <c r="A62">
        <v>61</v>
      </c>
      <c r="B62" s="7">
        <f t="shared" si="0"/>
        <v>61</v>
      </c>
      <c r="C62" s="7">
        <f t="shared" si="1"/>
        <v>0</v>
      </c>
      <c r="D62" t="s">
        <v>29</v>
      </c>
      <c r="E62" t="s">
        <v>18</v>
      </c>
      <c r="F62" t="s">
        <v>30</v>
      </c>
      <c r="G62">
        <v>12</v>
      </c>
      <c r="H62">
        <v>26.7</v>
      </c>
      <c r="I62">
        <v>5.4</v>
      </c>
      <c r="J62">
        <v>0.67700000000000005</v>
      </c>
      <c r="K62">
        <v>0</v>
      </c>
      <c r="L62">
        <v>5.0999999999999996</v>
      </c>
      <c r="M62">
        <v>0.754</v>
      </c>
      <c r="N62">
        <v>10.4</v>
      </c>
      <c r="O62">
        <v>1.7</v>
      </c>
      <c r="P62">
        <v>0.6</v>
      </c>
      <c r="Q62">
        <v>1.6</v>
      </c>
      <c r="R62">
        <v>1.8</v>
      </c>
      <c r="S62">
        <v>11.2</v>
      </c>
      <c r="T62" s="14">
        <f>(J62 - AVERAGE(FG_Range))*I62</f>
        <v>1.1783485074626867</v>
      </c>
      <c r="U62" s="14">
        <f>(M62 - AVERAGE(FT_RANGE))*L62</f>
        <v>-4.6578707224337074E-2</v>
      </c>
      <c r="V62" s="14">
        <f>(K62 - AVERAGE(Three_Range))/STDEV(Three_Range)</f>
        <v>-1.5157715571452535</v>
      </c>
      <c r="W62" s="14">
        <f>(S62 - AVERAGE(Pts_Range))/STDEV(Pts_Range)</f>
        <v>-0.24816884732135105</v>
      </c>
      <c r="X62" s="14">
        <f>(N62 - AVERAGE(Reb_Range))/STDEV(Reb_Range)</f>
        <v>2.1733135337522249</v>
      </c>
      <c r="Y62" s="14">
        <f>(O62 - AVERAGE(Ast_Range))/STDEV(Ast_Range)</f>
        <v>-0.5395701978482611</v>
      </c>
      <c r="Z62" s="14">
        <f>(P62 - AVERAGE(Stl_Range))/STDEV(Stl_Range)</f>
        <v>-0.54531873349265758</v>
      </c>
      <c r="AA62" s="14">
        <f>(Q62 - AVERAGE(Blk_Range))/STDEV(Blk_Range)</f>
        <v>1.9557260365260618</v>
      </c>
      <c r="AB62" s="14">
        <f>(R62 - AVERAGE(Tov_Range))/STDEV(Tov_Range)*-1</f>
        <v>-0.23021030028479489</v>
      </c>
      <c r="AC62" s="14">
        <f>SUM(T62:AB62)</f>
        <v>2.1817697344243183</v>
      </c>
      <c r="AD62" s="14">
        <v>2.1817697344243263</v>
      </c>
      <c r="AE62" s="14">
        <f>AD62-AC62</f>
        <v>7.9936057773011271E-15</v>
      </c>
      <c r="AF62"/>
      <c r="AG62"/>
      <c r="AH62"/>
      <c r="AI62"/>
      <c r="AJ62"/>
      <c r="AK62"/>
      <c r="AL62"/>
      <c r="AM62"/>
      <c r="AN62"/>
      <c r="AO62"/>
      <c r="AP62"/>
      <c r="AQ62"/>
    </row>
    <row r="63" spans="1:43" x14ac:dyDescent="0.55000000000000004">
      <c r="A63">
        <v>62</v>
      </c>
      <c r="B63" s="7">
        <f t="shared" si="0"/>
        <v>62</v>
      </c>
      <c r="C63" s="7">
        <f t="shared" si="1"/>
        <v>0</v>
      </c>
      <c r="D63" t="s">
        <v>390</v>
      </c>
      <c r="E63" t="s">
        <v>46</v>
      </c>
      <c r="F63" t="s">
        <v>80</v>
      </c>
      <c r="G63">
        <v>10</v>
      </c>
      <c r="H63">
        <v>32.6</v>
      </c>
      <c r="I63">
        <v>9.3000000000000007</v>
      </c>
      <c r="J63">
        <v>0.51600000000000001</v>
      </c>
      <c r="K63">
        <v>0.1</v>
      </c>
      <c r="L63">
        <v>4.8</v>
      </c>
      <c r="M63">
        <v>0.60399999999999998</v>
      </c>
      <c r="N63">
        <v>8.5</v>
      </c>
      <c r="O63">
        <v>7.5</v>
      </c>
      <c r="P63">
        <v>1.5</v>
      </c>
      <c r="Q63">
        <v>1.1000000000000001</v>
      </c>
      <c r="R63">
        <v>3.8</v>
      </c>
      <c r="S63">
        <v>12.6</v>
      </c>
      <c r="T63" s="14">
        <f>(J63 - AVERAGE(FG_Range))*I63</f>
        <v>0.53207798507462678</v>
      </c>
      <c r="U63" s="14">
        <f>(M63 - AVERAGE(FT_RANGE))*L63</f>
        <v>-0.76383878326996435</v>
      </c>
      <c r="V63" s="14">
        <f>(K63 - AVERAGE(Three_Range))/STDEV(Three_Range)</f>
        <v>-1.4130333737069813</v>
      </c>
      <c r="W63" s="14">
        <f>(S63 - AVERAGE(Pts_Range))/STDEV(Pts_Range)</f>
        <v>-2.4178105163616896E-2</v>
      </c>
      <c r="X63" s="14">
        <f>(N63 - AVERAGE(Reb_Range))/STDEV(Reb_Range)</f>
        <v>1.4330785829919357</v>
      </c>
      <c r="Y63" s="14">
        <f>(O63 - AVERAGE(Ast_Range))/STDEV(Ast_Range)</f>
        <v>2.2853133169221573</v>
      </c>
      <c r="Z63" s="14">
        <f>(P63 - AVERAGE(Stl_Range))/STDEV(Stl_Range)</f>
        <v>1.3832865233758038</v>
      </c>
      <c r="AA63" s="14">
        <f>(Q63 - AVERAGE(Blk_Range))/STDEV(Blk_Range)</f>
        <v>1.0336032747579684</v>
      </c>
      <c r="AB63" s="14">
        <f>(R63 - AVERAGE(Tov_Range))/STDEV(Tov_Range)*-1</f>
        <v>-2.325163117817052</v>
      </c>
      <c r="AC63" s="14">
        <f>SUM(T63:AB63)</f>
        <v>2.1411463031648781</v>
      </c>
      <c r="AD63" s="14">
        <v>2.141146303164883</v>
      </c>
      <c r="AE63" s="14">
        <f>AD63-AC63</f>
        <v>4.8849813083506888E-15</v>
      </c>
      <c r="AF63"/>
      <c r="AG63"/>
      <c r="AH63"/>
      <c r="AI63"/>
      <c r="AJ63"/>
      <c r="AK63"/>
      <c r="AL63"/>
      <c r="AM63"/>
      <c r="AN63"/>
      <c r="AO63"/>
      <c r="AP63"/>
      <c r="AQ63"/>
    </row>
    <row r="64" spans="1:43" x14ac:dyDescent="0.55000000000000004">
      <c r="A64">
        <v>63</v>
      </c>
      <c r="B64" s="7">
        <f t="shared" si="0"/>
        <v>63</v>
      </c>
      <c r="C64" s="7">
        <f t="shared" si="1"/>
        <v>0</v>
      </c>
      <c r="D64" t="s">
        <v>532</v>
      </c>
      <c r="E64" t="s">
        <v>46</v>
      </c>
      <c r="F64" t="s">
        <v>36</v>
      </c>
      <c r="G64">
        <v>7</v>
      </c>
      <c r="H64">
        <v>33.9</v>
      </c>
      <c r="I64">
        <v>15.4</v>
      </c>
      <c r="J64">
        <v>0.45400000000000001</v>
      </c>
      <c r="K64">
        <v>1.4</v>
      </c>
      <c r="L64">
        <v>3.7</v>
      </c>
      <c r="M64">
        <v>0.84599999999999997</v>
      </c>
      <c r="N64">
        <v>4.7</v>
      </c>
      <c r="O64">
        <v>5.0999999999999996</v>
      </c>
      <c r="P64">
        <v>1.3</v>
      </c>
      <c r="Q64">
        <v>1</v>
      </c>
      <c r="R64">
        <v>3.4</v>
      </c>
      <c r="S64">
        <v>18.600000000000001</v>
      </c>
      <c r="T64" s="14">
        <f>(J64 - AVERAGE(FG_Range))*I64</f>
        <v>-7.3724626865671911E-2</v>
      </c>
      <c r="U64" s="14">
        <f>(M64 - AVERAGE(FT_RANGE))*L64</f>
        <v>0.30660760456273572</v>
      </c>
      <c r="V64" s="14">
        <f>(K64 - AVERAGE(Three_Range))/STDEV(Three_Range)</f>
        <v>-7.7436989009445123E-2</v>
      </c>
      <c r="W64" s="14">
        <f>(S64 - AVERAGE(Pts_Range))/STDEV(Pts_Range)</f>
        <v>0.93578221836952957</v>
      </c>
      <c r="X64" s="14">
        <f>(N64 - AVERAGE(Reb_Range))/STDEV(Reb_Range)</f>
        <v>-4.7391318528642284E-2</v>
      </c>
      <c r="Y64" s="14">
        <f>(O64 - AVERAGE(Ast_Range))/STDEV(Ast_Range)</f>
        <v>1.1163960004654323</v>
      </c>
      <c r="Z64" s="14">
        <f>(P64 - AVERAGE(Stl_Range))/STDEV(Stl_Range)</f>
        <v>0.95470757740503476</v>
      </c>
      <c r="AA64" s="14">
        <f>(Q64 - AVERAGE(Blk_Range))/STDEV(Blk_Range)</f>
        <v>0.84917872240434955</v>
      </c>
      <c r="AB64" s="14">
        <f>(R64 - AVERAGE(Tov_Range))/STDEV(Tov_Range)*-1</f>
        <v>-1.9061725543106007</v>
      </c>
      <c r="AC64" s="14">
        <f>SUM(T64:AB64)</f>
        <v>2.0579466344927217</v>
      </c>
      <c r="AD64" s="14">
        <v>2.0579466344927195</v>
      </c>
      <c r="AE64" s="14">
        <f>AD64-AC64</f>
        <v>0</v>
      </c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55000000000000004">
      <c r="A65">
        <v>64</v>
      </c>
      <c r="B65" s="7">
        <f t="shared" si="0"/>
        <v>64</v>
      </c>
      <c r="C65" s="7">
        <f t="shared" si="1"/>
        <v>0</v>
      </c>
      <c r="D65" t="s">
        <v>168</v>
      </c>
      <c r="E65" t="s">
        <v>46</v>
      </c>
      <c r="F65" t="s">
        <v>118</v>
      </c>
      <c r="G65">
        <v>6</v>
      </c>
      <c r="H65">
        <v>35.799999999999997</v>
      </c>
      <c r="I65">
        <v>14.7</v>
      </c>
      <c r="J65">
        <v>0.45500000000000002</v>
      </c>
      <c r="K65">
        <v>2.5</v>
      </c>
      <c r="L65">
        <v>1.5</v>
      </c>
      <c r="M65">
        <v>0.88900000000000001</v>
      </c>
      <c r="N65">
        <v>3.3</v>
      </c>
      <c r="O65">
        <v>6.3</v>
      </c>
      <c r="P65">
        <v>1.3</v>
      </c>
      <c r="Q65">
        <v>0.3</v>
      </c>
      <c r="R65">
        <v>3</v>
      </c>
      <c r="S65">
        <v>17.2</v>
      </c>
      <c r="T65" s="14">
        <f>(J65 - AVERAGE(FG_Range))*I65</f>
        <v>-5.5673507462686803E-2</v>
      </c>
      <c r="U65" s="14">
        <f>(M65 - AVERAGE(FT_RANGE))*L65</f>
        <v>0.18880038022813617</v>
      </c>
      <c r="V65" s="14">
        <f>(K65 - AVERAGE(Three_Range))/STDEV(Three_Range)</f>
        <v>1.0526830288115472</v>
      </c>
      <c r="W65" s="14">
        <f>(S65 - AVERAGE(Pts_Range))/STDEV(Pts_Range)</f>
        <v>0.71179147621179506</v>
      </c>
      <c r="X65" s="14">
        <f>(N65 - AVERAGE(Reb_Range))/STDEV(Reb_Range)</f>
        <v>-0.59282759803622376</v>
      </c>
      <c r="Y65" s="14">
        <f>(O65 - AVERAGE(Ast_Range))/STDEV(Ast_Range)</f>
        <v>1.7008546586937949</v>
      </c>
      <c r="Z65" s="14">
        <f>(P65 - AVERAGE(Stl_Range))/STDEV(Stl_Range)</f>
        <v>0.95470757740503476</v>
      </c>
      <c r="AA65" s="14">
        <f>(Q65 - AVERAGE(Blk_Range))/STDEV(Blk_Range)</f>
        <v>-0.4417931440709813</v>
      </c>
      <c r="AB65" s="14">
        <f>(R65 - AVERAGE(Tov_Range))/STDEV(Tov_Range)*-1</f>
        <v>-1.4871819908041493</v>
      </c>
      <c r="AC65" s="14">
        <f>SUM(T65:AB65)</f>
        <v>2.0313608809762664</v>
      </c>
      <c r="AD65" s="14">
        <v>2.0313608809762611</v>
      </c>
      <c r="AE65" s="14">
        <f>AD65-AC65</f>
        <v>-5.3290705182007514E-15</v>
      </c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55000000000000004">
      <c r="A66">
        <v>65</v>
      </c>
      <c r="B66" s="7">
        <f t="shared" si="0"/>
        <v>65</v>
      </c>
      <c r="C66" s="7">
        <f t="shared" si="1"/>
        <v>0</v>
      </c>
      <c r="D66" t="s">
        <v>278</v>
      </c>
      <c r="E66" t="s">
        <v>25</v>
      </c>
      <c r="F66" t="s">
        <v>30</v>
      </c>
      <c r="G66">
        <v>12</v>
      </c>
      <c r="H66">
        <v>27.8</v>
      </c>
      <c r="I66">
        <v>16.7</v>
      </c>
      <c r="J66">
        <v>0.435</v>
      </c>
      <c r="K66">
        <v>1.8</v>
      </c>
      <c r="L66">
        <v>2.8</v>
      </c>
      <c r="M66">
        <v>0.76500000000000001</v>
      </c>
      <c r="N66">
        <v>4.3</v>
      </c>
      <c r="O66">
        <v>6</v>
      </c>
      <c r="P66">
        <v>1.1000000000000001</v>
      </c>
      <c r="Q66">
        <v>0.5</v>
      </c>
      <c r="R66">
        <v>2.2000000000000002</v>
      </c>
      <c r="S66">
        <v>18.5</v>
      </c>
      <c r="T66" s="14">
        <f>(J66 - AVERAGE(FG_Range))*I66</f>
        <v>-0.39724813432835876</v>
      </c>
      <c r="U66" s="14">
        <f>(M66 - AVERAGE(FT_RANGE))*L66</f>
        <v>5.2273764258541798E-3</v>
      </c>
      <c r="V66" s="14">
        <f>(K66 - AVERAGE(Three_Range))/STDEV(Three_Range)</f>
        <v>0.33351574474364315</v>
      </c>
      <c r="W66" s="14">
        <f>(S66 - AVERAGE(Pts_Range))/STDEV(Pts_Range)</f>
        <v>0.91978287964397687</v>
      </c>
      <c r="X66" s="14">
        <f>(N66 - AVERAGE(Reb_Range))/STDEV(Reb_Range)</f>
        <v>-0.20323025553080853</v>
      </c>
      <c r="Y66" s="14">
        <f>(O66 - AVERAGE(Ast_Range))/STDEV(Ast_Range)</f>
        <v>1.5547399941367044</v>
      </c>
      <c r="Z66" s="14">
        <f>(P66 - AVERAGE(Stl_Range))/STDEV(Stl_Range)</f>
        <v>0.52612863143426558</v>
      </c>
      <c r="AA66" s="14">
        <f>(Q66 - AVERAGE(Blk_Range))/STDEV(Blk_Range)</f>
        <v>-7.2944039363743871E-2</v>
      </c>
      <c r="AB66" s="14">
        <f>(R66 - AVERAGE(Tov_Range))/STDEV(Tov_Range)*-1</f>
        <v>-0.64920086379124653</v>
      </c>
      <c r="AC66" s="14">
        <f>SUM(T66:AB66)</f>
        <v>2.0167713333702868</v>
      </c>
      <c r="AD66" s="14">
        <v>2.0167713333702846</v>
      </c>
      <c r="AE66" s="14">
        <f>AD66-AC66</f>
        <v>0</v>
      </c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55000000000000004">
      <c r="A67">
        <v>66</v>
      </c>
      <c r="B67" s="7">
        <f t="shared" ref="B67:B130" si="2">ROW()-1</f>
        <v>66</v>
      </c>
      <c r="C67" s="7">
        <f t="shared" ref="C67:C130" si="3">A67-B67</f>
        <v>0</v>
      </c>
      <c r="D67" t="s">
        <v>392</v>
      </c>
      <c r="E67" t="s">
        <v>46</v>
      </c>
      <c r="F67" t="s">
        <v>98</v>
      </c>
      <c r="G67">
        <v>9</v>
      </c>
      <c r="H67">
        <v>33.4</v>
      </c>
      <c r="I67">
        <v>9.8000000000000007</v>
      </c>
      <c r="J67">
        <v>0.35199999999999998</v>
      </c>
      <c r="K67">
        <v>1.9</v>
      </c>
      <c r="L67">
        <v>4.4000000000000004</v>
      </c>
      <c r="M67">
        <v>0.77500000000000002</v>
      </c>
      <c r="N67">
        <v>2.8</v>
      </c>
      <c r="O67">
        <v>6.4</v>
      </c>
      <c r="P67">
        <v>1.6</v>
      </c>
      <c r="Q67">
        <v>0.7</v>
      </c>
      <c r="R67">
        <v>1.8</v>
      </c>
      <c r="S67">
        <v>12.2</v>
      </c>
      <c r="T67" s="14">
        <f>(J67 - AVERAGE(FG_Range))*I67</f>
        <v>-1.0465156716417916</v>
      </c>
      <c r="U67" s="14">
        <f>(M67 - AVERAGE(FT_RANGE))*L67</f>
        <v>5.221444866919947E-2</v>
      </c>
      <c r="V67" s="14">
        <f>(K67 - AVERAGE(Three_Range))/STDEV(Three_Range)</f>
        <v>0.436253928181915</v>
      </c>
      <c r="W67" s="14">
        <f>(S67 - AVERAGE(Pts_Range))/STDEV(Pts_Range)</f>
        <v>-8.8175460065826702E-2</v>
      </c>
      <c r="X67" s="14">
        <f>(N67 - AVERAGE(Reb_Range))/STDEV(Reb_Range)</f>
        <v>-0.78762626928893142</v>
      </c>
      <c r="Y67" s="14">
        <f>(O67 - AVERAGE(Ast_Range))/STDEV(Ast_Range)</f>
        <v>1.749559546879492</v>
      </c>
      <c r="Z67" s="14">
        <f>(P67 - AVERAGE(Stl_Range))/STDEV(Stl_Range)</f>
        <v>1.5975759963611886</v>
      </c>
      <c r="AA67" s="14">
        <f>(Q67 - AVERAGE(Blk_Range))/STDEV(Blk_Range)</f>
        <v>0.29590506534349342</v>
      </c>
      <c r="AB67" s="14">
        <f>(R67 - AVERAGE(Tov_Range))/STDEV(Tov_Range)*-1</f>
        <v>-0.23021030028479489</v>
      </c>
      <c r="AC67" s="14">
        <f>SUM(T67:AB67)</f>
        <v>1.978981284153944</v>
      </c>
      <c r="AD67" s="14">
        <v>1.9789812841539438</v>
      </c>
      <c r="AE67" s="14">
        <f>AD67-AC67</f>
        <v>0</v>
      </c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55000000000000004">
      <c r="A68">
        <v>67</v>
      </c>
      <c r="B68" s="7">
        <f t="shared" si="2"/>
        <v>67</v>
      </c>
      <c r="C68" s="7">
        <f t="shared" si="3"/>
        <v>0</v>
      </c>
      <c r="D68" t="s">
        <v>245</v>
      </c>
      <c r="E68" t="s">
        <v>34</v>
      </c>
      <c r="F68" t="s">
        <v>23</v>
      </c>
      <c r="G68">
        <v>11</v>
      </c>
      <c r="H68">
        <v>32.1</v>
      </c>
      <c r="I68">
        <v>11</v>
      </c>
      <c r="J68">
        <v>0.44600000000000001</v>
      </c>
      <c r="K68">
        <v>1.2</v>
      </c>
      <c r="L68">
        <v>3.1</v>
      </c>
      <c r="M68">
        <v>0.82399999999999995</v>
      </c>
      <c r="N68">
        <v>7.4</v>
      </c>
      <c r="O68">
        <v>2.4</v>
      </c>
      <c r="P68">
        <v>1.3</v>
      </c>
      <c r="Q68">
        <v>0.7</v>
      </c>
      <c r="R68">
        <v>1.6</v>
      </c>
      <c r="S68">
        <v>13.5</v>
      </c>
      <c r="T68" s="14">
        <f>(J68 - AVERAGE(FG_Range))*I68</f>
        <v>-0.1406604477611943</v>
      </c>
      <c r="U68" s="14">
        <f>(M68 - AVERAGE(FT_RANGE))*L68</f>
        <v>0.18868745247148125</v>
      </c>
      <c r="V68" s="14">
        <f>(K68 - AVERAGE(Three_Range))/STDEV(Three_Range)</f>
        <v>-0.28291335588598915</v>
      </c>
      <c r="W68" s="14">
        <f>(S68 - AVERAGE(Pts_Range))/STDEV(Pts_Range)</f>
        <v>0.11981594336635509</v>
      </c>
      <c r="X68" s="14">
        <f>(N68 - AVERAGE(Reb_Range))/STDEV(Reb_Range)</f>
        <v>1.0045215062359789</v>
      </c>
      <c r="Y68" s="14">
        <f>(O68 - AVERAGE(Ast_Range))/STDEV(Ast_Range)</f>
        <v>-0.19863598054838305</v>
      </c>
      <c r="Z68" s="14">
        <f>(P68 - AVERAGE(Stl_Range))/STDEV(Stl_Range)</f>
        <v>0.95470757740503476</v>
      </c>
      <c r="AA68" s="14">
        <f>(Q68 - AVERAGE(Blk_Range))/STDEV(Blk_Range)</f>
        <v>0.29590506534349342</v>
      </c>
      <c r="AB68" s="14">
        <f>(R68 - AVERAGE(Tov_Range))/STDEV(Tov_Range)*-1</f>
        <v>-2.0715018531569193E-2</v>
      </c>
      <c r="AC68" s="14">
        <f>SUM(T68:AB68)</f>
        <v>1.9207127420952077</v>
      </c>
      <c r="AD68" s="14">
        <v>1.9207127420952153</v>
      </c>
      <c r="AE68" s="14">
        <f>AD68-AC68</f>
        <v>7.5495165674510645E-15</v>
      </c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55000000000000004">
      <c r="A69">
        <v>68</v>
      </c>
      <c r="B69" s="7">
        <f t="shared" si="2"/>
        <v>68</v>
      </c>
      <c r="C69" s="7">
        <f t="shared" si="3"/>
        <v>0</v>
      </c>
      <c r="D69" t="s">
        <v>594</v>
      </c>
      <c r="E69" t="s">
        <v>34</v>
      </c>
      <c r="F69" t="s">
        <v>44</v>
      </c>
      <c r="G69">
        <v>10</v>
      </c>
      <c r="H69">
        <v>34.9</v>
      </c>
      <c r="I69">
        <v>9.5</v>
      </c>
      <c r="J69">
        <v>0.45300000000000001</v>
      </c>
      <c r="K69">
        <v>1.8</v>
      </c>
      <c r="L69">
        <v>3.1</v>
      </c>
      <c r="M69">
        <v>0.71</v>
      </c>
      <c r="N69">
        <v>5.4</v>
      </c>
      <c r="O69">
        <v>1.7</v>
      </c>
      <c r="P69">
        <v>1.8</v>
      </c>
      <c r="Q69">
        <v>0.6</v>
      </c>
      <c r="R69">
        <v>1.6</v>
      </c>
      <c r="S69">
        <v>12.6</v>
      </c>
      <c r="T69" s="14">
        <f>(J69 - AVERAGE(FG_Range))*I69</f>
        <v>-5.4979477611940469E-2</v>
      </c>
      <c r="U69" s="14">
        <f>(M69 - AVERAGE(FT_RANGE))*L69</f>
        <v>-0.16471254752851874</v>
      </c>
      <c r="V69" s="14">
        <f>(K69 - AVERAGE(Three_Range))/STDEV(Three_Range)</f>
        <v>0.33351574474364315</v>
      </c>
      <c r="W69" s="14">
        <f>(S69 - AVERAGE(Pts_Range))/STDEV(Pts_Range)</f>
        <v>-2.4178105163616896E-2</v>
      </c>
      <c r="X69" s="14">
        <f>(N69 - AVERAGE(Reb_Range))/STDEV(Reb_Range)</f>
        <v>0.22532682122514847</v>
      </c>
      <c r="Y69" s="14">
        <f>(O69 - AVERAGE(Ast_Range))/STDEV(Ast_Range)</f>
        <v>-0.5395701978482611</v>
      </c>
      <c r="Z69" s="14">
        <f>(P69 - AVERAGE(Stl_Range))/STDEV(Stl_Range)</f>
        <v>2.0261549423319578</v>
      </c>
      <c r="AA69" s="14">
        <f>(Q69 - AVERAGE(Blk_Range))/STDEV(Blk_Range)</f>
        <v>0.11148051298987478</v>
      </c>
      <c r="AB69" s="14">
        <f>(R69 - AVERAGE(Tov_Range))/STDEV(Tov_Range)*-1</f>
        <v>-2.0715018531569193E-2</v>
      </c>
      <c r="AC69" s="14">
        <f>SUM(T69:AB69)</f>
        <v>1.8923226746067179</v>
      </c>
      <c r="AD69" s="14">
        <v>1.892322674606725</v>
      </c>
      <c r="AE69" s="14">
        <f>AD69-AC69</f>
        <v>7.1054273576010019E-15</v>
      </c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55000000000000004">
      <c r="A70">
        <v>69</v>
      </c>
      <c r="B70" s="7">
        <f t="shared" si="2"/>
        <v>69</v>
      </c>
      <c r="C70" s="7">
        <f t="shared" si="3"/>
        <v>0</v>
      </c>
      <c r="D70" t="s">
        <v>290</v>
      </c>
      <c r="E70" t="s">
        <v>15</v>
      </c>
      <c r="F70" t="s">
        <v>47</v>
      </c>
      <c r="G70">
        <v>4</v>
      </c>
      <c r="H70">
        <v>26.5</v>
      </c>
      <c r="I70">
        <v>11</v>
      </c>
      <c r="J70">
        <v>0.5</v>
      </c>
      <c r="K70">
        <v>2.8</v>
      </c>
      <c r="L70">
        <v>4.5</v>
      </c>
      <c r="M70">
        <v>0.77800000000000002</v>
      </c>
      <c r="N70">
        <v>6.8</v>
      </c>
      <c r="O70">
        <v>1.3</v>
      </c>
      <c r="P70">
        <v>0.8</v>
      </c>
      <c r="Q70">
        <v>0.3</v>
      </c>
      <c r="R70">
        <v>1.8</v>
      </c>
      <c r="S70">
        <v>17.3</v>
      </c>
      <c r="T70" s="14">
        <f>(J70 - AVERAGE(FG_Range))*I70</f>
        <v>0.45333955223880562</v>
      </c>
      <c r="U70" s="14">
        <f>(M70 - AVERAGE(FT_RANGE))*L70</f>
        <v>6.6901140684408555E-2</v>
      </c>
      <c r="V70" s="14">
        <f>(K70 - AVERAGE(Three_Range))/STDEV(Three_Range)</f>
        <v>1.3608975791263631</v>
      </c>
      <c r="W70" s="14">
        <f>(S70 - AVERAGE(Pts_Range))/STDEV(Pts_Range)</f>
        <v>0.72779081493734776</v>
      </c>
      <c r="X70" s="14">
        <f>(N70 - AVERAGE(Reb_Range))/STDEV(Reb_Range)</f>
        <v>0.77076310073272958</v>
      </c>
      <c r="Y70" s="14">
        <f>(O70 - AVERAGE(Ast_Range))/STDEV(Ast_Range)</f>
        <v>-0.73438975059104861</v>
      </c>
      <c r="Z70" s="14">
        <f>(P70 - AVERAGE(Stl_Range))/STDEV(Stl_Range)</f>
        <v>-0.11673978752188821</v>
      </c>
      <c r="AA70" s="14">
        <f>(Q70 - AVERAGE(Blk_Range))/STDEV(Blk_Range)</f>
        <v>-0.4417931440709813</v>
      </c>
      <c r="AB70" s="14">
        <f>(R70 - AVERAGE(Tov_Range))/STDEV(Tov_Range)*-1</f>
        <v>-0.23021030028479489</v>
      </c>
      <c r="AC70" s="14">
        <f>SUM(T70:AB70)</f>
        <v>1.8565592052509414</v>
      </c>
      <c r="AD70" s="14">
        <v>1.8565592052509385</v>
      </c>
      <c r="AE70" s="14">
        <f>AD70-AC70</f>
        <v>-2.886579864025407E-15</v>
      </c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55000000000000004">
      <c r="A71">
        <v>70</v>
      </c>
      <c r="B71" s="7">
        <f t="shared" si="2"/>
        <v>70</v>
      </c>
      <c r="C71" s="7">
        <f t="shared" si="3"/>
        <v>0</v>
      </c>
      <c r="D71" t="s">
        <v>17</v>
      </c>
      <c r="E71" t="s">
        <v>18</v>
      </c>
      <c r="F71" t="s">
        <v>26</v>
      </c>
      <c r="G71">
        <v>9</v>
      </c>
      <c r="H71">
        <v>31.1</v>
      </c>
      <c r="I71">
        <v>6.7</v>
      </c>
      <c r="J71">
        <v>0.66700000000000004</v>
      </c>
      <c r="K71">
        <v>0</v>
      </c>
      <c r="L71">
        <v>3</v>
      </c>
      <c r="M71">
        <v>0.48099999999999998</v>
      </c>
      <c r="N71">
        <v>8.9</v>
      </c>
      <c r="O71">
        <v>2.6</v>
      </c>
      <c r="P71">
        <v>1.6</v>
      </c>
      <c r="Q71">
        <v>0.9</v>
      </c>
      <c r="R71">
        <v>2.1</v>
      </c>
      <c r="S71">
        <v>10.3</v>
      </c>
      <c r="T71" s="14">
        <f>(J71 - AVERAGE(FG_Range))*I71</f>
        <v>1.3950250000000002</v>
      </c>
      <c r="U71" s="14">
        <f>(M71 - AVERAGE(FT_RANGE))*L71</f>
        <v>-0.84639923954372775</v>
      </c>
      <c r="V71" s="14">
        <f>(K71 - AVERAGE(Three_Range))/STDEV(Three_Range)</f>
        <v>-1.5157715571452535</v>
      </c>
      <c r="W71" s="14">
        <f>(S71 - AVERAGE(Pts_Range))/STDEV(Pts_Range)</f>
        <v>-0.39216289585132275</v>
      </c>
      <c r="X71" s="14">
        <f>(N71 - AVERAGE(Reb_Range))/STDEV(Reb_Range)</f>
        <v>1.5889175199941019</v>
      </c>
      <c r="Y71" s="14">
        <f>(O71 - AVERAGE(Ast_Range))/STDEV(Ast_Range)</f>
        <v>-0.1012262041769892</v>
      </c>
      <c r="Z71" s="14">
        <f>(P71 - AVERAGE(Stl_Range))/STDEV(Stl_Range)</f>
        <v>1.5975759963611886</v>
      </c>
      <c r="AA71" s="14">
        <f>(Q71 - AVERAGE(Blk_Range))/STDEV(Blk_Range)</f>
        <v>0.6647541700507309</v>
      </c>
      <c r="AB71" s="14">
        <f>(R71 - AVERAGE(Tov_Range))/STDEV(Tov_Range)*-1</f>
        <v>-0.54445322291463361</v>
      </c>
      <c r="AC71" s="14">
        <f>SUM(T71:AB71)</f>
        <v>1.8462595667740946</v>
      </c>
      <c r="AD71" s="14">
        <v>1.8462595667741091</v>
      </c>
      <c r="AE71" s="14">
        <f>AD71-AC71</f>
        <v>1.4432899320127035E-14</v>
      </c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55000000000000004">
      <c r="A72">
        <v>71</v>
      </c>
      <c r="B72" s="7">
        <f t="shared" si="2"/>
        <v>71</v>
      </c>
      <c r="C72" s="7">
        <f t="shared" si="3"/>
        <v>0</v>
      </c>
      <c r="D72" t="s">
        <v>355</v>
      </c>
      <c r="E72" t="s">
        <v>18</v>
      </c>
      <c r="F72" t="s">
        <v>82</v>
      </c>
      <c r="G72">
        <v>10</v>
      </c>
      <c r="H72">
        <v>27.3</v>
      </c>
      <c r="I72">
        <v>5.3</v>
      </c>
      <c r="J72">
        <v>0.54700000000000004</v>
      </c>
      <c r="K72">
        <v>0</v>
      </c>
      <c r="L72">
        <v>2.5</v>
      </c>
      <c r="M72">
        <v>0.8</v>
      </c>
      <c r="N72">
        <v>9.1</v>
      </c>
      <c r="O72">
        <v>3.5</v>
      </c>
      <c r="P72">
        <v>1.5</v>
      </c>
      <c r="Q72">
        <v>0.6</v>
      </c>
      <c r="R72">
        <v>1.5</v>
      </c>
      <c r="S72">
        <v>7.8</v>
      </c>
      <c r="T72" s="14">
        <f>(J72 - AVERAGE(FG_Range))*I72</f>
        <v>0.46752723880597019</v>
      </c>
      <c r="U72" s="14">
        <f>(M72 - AVERAGE(FT_RANGE))*L72</f>
        <v>9.2167300380227024E-2</v>
      </c>
      <c r="V72" s="14">
        <f>(K72 - AVERAGE(Three_Range))/STDEV(Three_Range)</f>
        <v>-1.5157715571452535</v>
      </c>
      <c r="W72" s="14">
        <f>(S72 - AVERAGE(Pts_Range))/STDEV(Pts_Range)</f>
        <v>-0.79214636399013383</v>
      </c>
      <c r="X72" s="14">
        <f>(N72 - AVERAGE(Reb_Range))/STDEV(Reb_Range)</f>
        <v>1.6668369884951846</v>
      </c>
      <c r="Y72" s="14">
        <f>(O72 - AVERAGE(Ast_Range))/STDEV(Ast_Range)</f>
        <v>0.33711778949428262</v>
      </c>
      <c r="Z72" s="14">
        <f>(P72 - AVERAGE(Stl_Range))/STDEV(Stl_Range)</f>
        <v>1.3832865233758038</v>
      </c>
      <c r="AA72" s="14">
        <f>(Q72 - AVERAGE(Blk_Range))/STDEV(Blk_Range)</f>
        <v>0.11148051298987478</v>
      </c>
      <c r="AB72" s="14">
        <f>(R72 - AVERAGE(Tov_Range))/STDEV(Tov_Range)*-1</f>
        <v>8.4032622345043773E-2</v>
      </c>
      <c r="AC72" s="14">
        <f>SUM(T72:AB72)</f>
        <v>1.8345310547509996</v>
      </c>
      <c r="AD72" s="14">
        <v>1.8345310547510156</v>
      </c>
      <c r="AE72" s="14">
        <f>AD72-AC72</f>
        <v>1.5987211554602254E-14</v>
      </c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55000000000000004">
      <c r="A73">
        <v>72</v>
      </c>
      <c r="B73" s="7">
        <f t="shared" si="2"/>
        <v>72</v>
      </c>
      <c r="C73" s="7">
        <f t="shared" si="3"/>
        <v>0</v>
      </c>
      <c r="D73" t="s">
        <v>431</v>
      </c>
      <c r="E73" t="s">
        <v>15</v>
      </c>
      <c r="F73" t="s">
        <v>87</v>
      </c>
      <c r="G73">
        <v>11</v>
      </c>
      <c r="H73">
        <v>32.5</v>
      </c>
      <c r="I73">
        <v>15.2</v>
      </c>
      <c r="J73">
        <v>0.43099999999999999</v>
      </c>
      <c r="K73">
        <v>2.2000000000000002</v>
      </c>
      <c r="L73">
        <v>3.6</v>
      </c>
      <c r="M73">
        <v>0.72499999999999998</v>
      </c>
      <c r="N73">
        <v>4.8</v>
      </c>
      <c r="O73">
        <v>2.5</v>
      </c>
      <c r="P73">
        <v>0.5</v>
      </c>
      <c r="Q73">
        <v>1.8</v>
      </c>
      <c r="R73">
        <v>2.2000000000000002</v>
      </c>
      <c r="S73">
        <v>17.899999999999999</v>
      </c>
      <c r="T73" s="14">
        <f>(J73 - AVERAGE(FG_Range))*I73</f>
        <v>-0.42236716417910503</v>
      </c>
      <c r="U73" s="14">
        <f>(M73 - AVERAGE(FT_RANGE))*L73</f>
        <v>-0.13727908745247333</v>
      </c>
      <c r="V73" s="14">
        <f>(K73 - AVERAGE(Three_Range))/STDEV(Three_Range)</f>
        <v>0.74446847849673137</v>
      </c>
      <c r="W73" s="14">
        <f>(S73 - AVERAGE(Pts_Range))/STDEV(Pts_Range)</f>
        <v>0.82378684729066209</v>
      </c>
      <c r="X73" s="14">
        <f>(N73 - AVERAGE(Reb_Range))/STDEV(Reb_Range)</f>
        <v>-8.4315842781008971E-3</v>
      </c>
      <c r="Y73" s="14">
        <f>(O73 - AVERAGE(Ast_Range))/STDEV(Ast_Range)</f>
        <v>-0.14993109236268612</v>
      </c>
      <c r="Z73" s="14">
        <f>(P73 - AVERAGE(Stl_Range))/STDEV(Stl_Range)</f>
        <v>-0.75960820647804206</v>
      </c>
      <c r="AA73" s="14">
        <f>(Q73 - AVERAGE(Blk_Range))/STDEV(Blk_Range)</f>
        <v>2.3245751412332991</v>
      </c>
      <c r="AB73" s="14">
        <f>(R73 - AVERAGE(Tov_Range))/STDEV(Tov_Range)*-1</f>
        <v>-0.64920086379124653</v>
      </c>
      <c r="AC73" s="14">
        <f>SUM(T73:AB73)</f>
        <v>1.7660124684790386</v>
      </c>
      <c r="AD73" s="14">
        <v>1.7660124684790306</v>
      </c>
      <c r="AE73" s="14">
        <f>AD73-AC73</f>
        <v>-7.9936057773011271E-15</v>
      </c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55000000000000004">
      <c r="A74">
        <v>73</v>
      </c>
      <c r="B74" s="7">
        <f t="shared" si="2"/>
        <v>73</v>
      </c>
      <c r="C74" s="7">
        <f t="shared" si="3"/>
        <v>0</v>
      </c>
      <c r="D74" t="s">
        <v>584</v>
      </c>
      <c r="E74" t="s">
        <v>25</v>
      </c>
      <c r="F74" t="s">
        <v>56</v>
      </c>
      <c r="G74">
        <v>9</v>
      </c>
      <c r="H74">
        <v>30.3</v>
      </c>
      <c r="I74">
        <v>13.8</v>
      </c>
      <c r="J74">
        <v>0.46</v>
      </c>
      <c r="K74">
        <v>3.9</v>
      </c>
      <c r="L74">
        <v>3</v>
      </c>
      <c r="M74">
        <v>0.63</v>
      </c>
      <c r="N74">
        <v>4</v>
      </c>
      <c r="O74">
        <v>2.2000000000000002</v>
      </c>
      <c r="P74">
        <v>0.7</v>
      </c>
      <c r="Q74">
        <v>0.2</v>
      </c>
      <c r="R74">
        <v>1.3</v>
      </c>
      <c r="S74">
        <v>18.399999999999999</v>
      </c>
      <c r="T74" s="14">
        <f>(J74 - AVERAGE(FG_Range))*I74</f>
        <v>1.673507462686551E-2</v>
      </c>
      <c r="U74" s="14">
        <f>(M74 - AVERAGE(FT_RANGE))*L74</f>
        <v>-0.39939923954372769</v>
      </c>
      <c r="V74" s="14">
        <f>(K74 - AVERAGE(Three_Range))/STDEV(Three_Range)</f>
        <v>2.4910175969473558</v>
      </c>
      <c r="W74" s="14">
        <f>(S74 - AVERAGE(Pts_Range))/STDEV(Pts_Range)</f>
        <v>0.90378354091842428</v>
      </c>
      <c r="X74" s="14">
        <f>(N74 - AVERAGE(Reb_Range))/STDEV(Reb_Range)</f>
        <v>-0.32010945828243303</v>
      </c>
      <c r="Y74" s="14">
        <f>(O74 - AVERAGE(Ast_Range))/STDEV(Ast_Range)</f>
        <v>-0.29604575691977664</v>
      </c>
      <c r="Z74" s="14">
        <f>(P74 - AVERAGE(Stl_Range))/STDEV(Stl_Range)</f>
        <v>-0.33102926050727299</v>
      </c>
      <c r="AA74" s="14">
        <f>(Q74 - AVERAGE(Blk_Range))/STDEV(Blk_Range)</f>
        <v>-0.6262176964245999</v>
      </c>
      <c r="AB74" s="14">
        <f>(R74 - AVERAGE(Tov_Range))/STDEV(Tov_Range)*-1</f>
        <v>0.29352790409826945</v>
      </c>
      <c r="AC74" s="14">
        <f>SUM(T74:AB74)</f>
        <v>1.732262704913105</v>
      </c>
      <c r="AD74" s="14">
        <v>1.7322627049130948</v>
      </c>
      <c r="AE74" s="14">
        <f>AD74-AC74</f>
        <v>-1.021405182655144E-14</v>
      </c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55000000000000004">
      <c r="A75">
        <v>74</v>
      </c>
      <c r="B75" s="7">
        <f t="shared" si="2"/>
        <v>74</v>
      </c>
      <c r="C75" s="7">
        <f t="shared" si="3"/>
        <v>0</v>
      </c>
      <c r="D75" t="s">
        <v>350</v>
      </c>
      <c r="E75" t="s">
        <v>46</v>
      </c>
      <c r="F75" t="s">
        <v>52</v>
      </c>
      <c r="G75">
        <v>11</v>
      </c>
      <c r="H75">
        <v>31.6</v>
      </c>
      <c r="I75">
        <v>11.1</v>
      </c>
      <c r="J75">
        <v>0.434</v>
      </c>
      <c r="K75">
        <v>0.7</v>
      </c>
      <c r="L75">
        <v>3</v>
      </c>
      <c r="M75">
        <v>0.97</v>
      </c>
      <c r="N75">
        <v>4.5999999999999996</v>
      </c>
      <c r="O75">
        <v>8.6999999999999993</v>
      </c>
      <c r="P75">
        <v>0.7</v>
      </c>
      <c r="Q75">
        <v>0.3</v>
      </c>
      <c r="R75">
        <v>1.6</v>
      </c>
      <c r="S75">
        <v>13.3</v>
      </c>
      <c r="T75" s="14">
        <f>(J75 - AVERAGE(FG_Range))*I75</f>
        <v>-0.27513917910447799</v>
      </c>
      <c r="U75" s="14">
        <f>(M75 - AVERAGE(FT_RANGE))*L75</f>
        <v>0.62060076045627222</v>
      </c>
      <c r="V75" s="14">
        <f>(K75 - AVERAGE(Three_Range))/STDEV(Three_Range)</f>
        <v>-0.79660427307734927</v>
      </c>
      <c r="W75" s="14">
        <f>(S75 - AVERAGE(Pts_Range))/STDEV(Pts_Range)</f>
        <v>8.7817265915250325E-2</v>
      </c>
      <c r="X75" s="14">
        <f>(N75 - AVERAGE(Reb_Range))/STDEV(Reb_Range)</f>
        <v>-8.635105277918402E-2</v>
      </c>
      <c r="Y75" s="14">
        <f>(O75 - AVERAGE(Ast_Range))/STDEV(Ast_Range)</f>
        <v>2.8697719751505195</v>
      </c>
      <c r="Z75" s="14">
        <f>(P75 - AVERAGE(Stl_Range))/STDEV(Stl_Range)</f>
        <v>-0.33102926050727299</v>
      </c>
      <c r="AA75" s="14">
        <f>(Q75 - AVERAGE(Blk_Range))/STDEV(Blk_Range)</f>
        <v>-0.4417931440709813</v>
      </c>
      <c r="AB75" s="14">
        <f>(R75 - AVERAGE(Tov_Range))/STDEV(Tov_Range)*-1</f>
        <v>-2.0715018531569193E-2</v>
      </c>
      <c r="AC75" s="14">
        <f>SUM(T75:AB75)</f>
        <v>1.6265580734512073</v>
      </c>
      <c r="AD75" s="14">
        <v>1.6265580734512086</v>
      </c>
      <c r="AE75" s="14">
        <f>AD75-AC75</f>
        <v>0</v>
      </c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55000000000000004">
      <c r="A76">
        <v>75</v>
      </c>
      <c r="B76" s="7">
        <f t="shared" si="2"/>
        <v>75</v>
      </c>
      <c r="C76" s="7">
        <f t="shared" si="3"/>
        <v>0</v>
      </c>
      <c r="D76" t="s">
        <v>427</v>
      </c>
      <c r="E76" t="s">
        <v>46</v>
      </c>
      <c r="F76" t="s">
        <v>67</v>
      </c>
      <c r="G76">
        <v>7</v>
      </c>
      <c r="H76">
        <v>37.1</v>
      </c>
      <c r="I76">
        <v>19.3</v>
      </c>
      <c r="J76">
        <v>0.378</v>
      </c>
      <c r="K76">
        <v>1.4</v>
      </c>
      <c r="L76">
        <v>5</v>
      </c>
      <c r="M76">
        <v>0.65700000000000003</v>
      </c>
      <c r="N76">
        <v>9.6999999999999993</v>
      </c>
      <c r="O76">
        <v>11.3</v>
      </c>
      <c r="P76">
        <v>1.3</v>
      </c>
      <c r="Q76">
        <v>0.3</v>
      </c>
      <c r="R76">
        <v>5.3</v>
      </c>
      <c r="S76">
        <v>19.3</v>
      </c>
      <c r="T76" s="14">
        <f>(J76 - AVERAGE(FG_Range))*I76</f>
        <v>-1.5591951492537319</v>
      </c>
      <c r="U76" s="14">
        <f>(M76 - AVERAGE(FT_RANGE))*L76</f>
        <v>-0.53066539923954603</v>
      </c>
      <c r="V76" s="14">
        <f>(K76 - AVERAGE(Three_Range))/STDEV(Three_Range)</f>
        <v>-7.7436989009445123E-2</v>
      </c>
      <c r="W76" s="14">
        <f>(S76 - AVERAGE(Pts_Range))/STDEV(Pts_Range)</f>
        <v>1.0477775894483965</v>
      </c>
      <c r="X76" s="14">
        <f>(N76 - AVERAGE(Reb_Range))/STDEV(Reb_Range)</f>
        <v>1.9005953939984337</v>
      </c>
      <c r="Y76" s="14">
        <f>(O76 - AVERAGE(Ast_Range))/STDEV(Ast_Range)</f>
        <v>4.1360990679786385</v>
      </c>
      <c r="Z76" s="14">
        <f>(P76 - AVERAGE(Stl_Range))/STDEV(Stl_Range)</f>
        <v>0.95470757740503476</v>
      </c>
      <c r="AA76" s="14">
        <f>(Q76 - AVERAGE(Blk_Range))/STDEV(Blk_Range)</f>
        <v>-0.4417931440709813</v>
      </c>
      <c r="AB76" s="14">
        <f>(R76 - AVERAGE(Tov_Range))/STDEV(Tov_Range)*-1</f>
        <v>-3.8963777309662451</v>
      </c>
      <c r="AC76" s="14">
        <f>SUM(T76:AB76)</f>
        <v>1.5337112162905537</v>
      </c>
      <c r="AD76" s="14">
        <v>1.5337112162905493</v>
      </c>
      <c r="AE76" s="14">
        <f>AD76-AC76</f>
        <v>-4.4408920985006262E-15</v>
      </c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55000000000000004">
      <c r="A77">
        <v>76</v>
      </c>
      <c r="B77" s="7">
        <f t="shared" si="2"/>
        <v>76</v>
      </c>
      <c r="C77" s="7">
        <f t="shared" si="3"/>
        <v>0</v>
      </c>
      <c r="D77" t="s">
        <v>197</v>
      </c>
      <c r="E77" t="s">
        <v>34</v>
      </c>
      <c r="F77" t="s">
        <v>30</v>
      </c>
      <c r="G77">
        <v>12</v>
      </c>
      <c r="H77">
        <v>29.2</v>
      </c>
      <c r="I77">
        <v>10.6</v>
      </c>
      <c r="J77">
        <v>0.52800000000000002</v>
      </c>
      <c r="K77">
        <v>2.9</v>
      </c>
      <c r="L77">
        <v>0.7</v>
      </c>
      <c r="M77">
        <v>0.5</v>
      </c>
      <c r="N77">
        <v>3.8</v>
      </c>
      <c r="O77">
        <v>2.1</v>
      </c>
      <c r="P77">
        <v>0.8</v>
      </c>
      <c r="Q77">
        <v>0.3</v>
      </c>
      <c r="R77">
        <v>1.1000000000000001</v>
      </c>
      <c r="S77">
        <v>14.4</v>
      </c>
      <c r="T77" s="14">
        <f>(J77 - AVERAGE(FG_Range))*I77</f>
        <v>0.73365447761194025</v>
      </c>
      <c r="U77" s="14">
        <f>(M77 - AVERAGE(FT_RANGE))*L77</f>
        <v>-0.18419315589353646</v>
      </c>
      <c r="V77" s="14">
        <f>(K77 - AVERAGE(Three_Range))/STDEV(Three_Range)</f>
        <v>1.4636357625646352</v>
      </c>
      <c r="W77" s="14">
        <f>(S77 - AVERAGE(Pts_Range))/STDEV(Pts_Range)</f>
        <v>0.26380999189632709</v>
      </c>
      <c r="X77" s="14">
        <f>(N77 - AVERAGE(Reb_Range))/STDEV(Reb_Range)</f>
        <v>-0.39802892678351615</v>
      </c>
      <c r="Y77" s="14">
        <f>(O77 - AVERAGE(Ast_Range))/STDEV(Ast_Range)</f>
        <v>-0.3447506451054736</v>
      </c>
      <c r="Z77" s="14">
        <f>(P77 - AVERAGE(Stl_Range))/STDEV(Stl_Range)</f>
        <v>-0.11673978752188821</v>
      </c>
      <c r="AA77" s="14">
        <f>(Q77 - AVERAGE(Blk_Range))/STDEV(Blk_Range)</f>
        <v>-0.4417931440709813</v>
      </c>
      <c r="AB77" s="14">
        <f>(R77 - AVERAGE(Tov_Range))/STDEV(Tov_Range)*-1</f>
        <v>0.50302318585149519</v>
      </c>
      <c r="AC77" s="14">
        <f>SUM(T77:AB77)</f>
        <v>1.4786177585490017</v>
      </c>
      <c r="AD77" s="14">
        <v>1.4786177585489986</v>
      </c>
      <c r="AE77" s="14">
        <f>AD77-AC77</f>
        <v>-3.1086244689504383E-15</v>
      </c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55000000000000004">
      <c r="A78">
        <v>77</v>
      </c>
      <c r="B78" s="7">
        <f t="shared" si="2"/>
        <v>77</v>
      </c>
      <c r="C78" s="7">
        <f t="shared" si="3"/>
        <v>0</v>
      </c>
      <c r="D78" t="s">
        <v>117</v>
      </c>
      <c r="E78" t="s">
        <v>25</v>
      </c>
      <c r="F78" t="s">
        <v>79</v>
      </c>
      <c r="G78">
        <v>11</v>
      </c>
      <c r="H78">
        <v>24.3</v>
      </c>
      <c r="I78">
        <v>13.1</v>
      </c>
      <c r="J78">
        <v>0.5</v>
      </c>
      <c r="K78">
        <v>2.8</v>
      </c>
      <c r="L78">
        <v>1.4</v>
      </c>
      <c r="M78">
        <v>0.93300000000000005</v>
      </c>
      <c r="N78">
        <v>4.5</v>
      </c>
      <c r="O78">
        <v>1.6</v>
      </c>
      <c r="P78">
        <v>1</v>
      </c>
      <c r="Q78">
        <v>0.3</v>
      </c>
      <c r="R78">
        <v>2.1</v>
      </c>
      <c r="S78">
        <v>17.2</v>
      </c>
      <c r="T78" s="14">
        <f>(J78 - AVERAGE(FG_Range))*I78</f>
        <v>0.53988619402985027</v>
      </c>
      <c r="U78" s="14">
        <f>(M78 - AVERAGE(FT_RANGE))*L78</f>
        <v>0.23781368821292712</v>
      </c>
      <c r="V78" s="14">
        <f>(K78 - AVERAGE(Three_Range))/STDEV(Three_Range)</f>
        <v>1.3608975791263631</v>
      </c>
      <c r="W78" s="14">
        <f>(S78 - AVERAGE(Pts_Range))/STDEV(Pts_Range)</f>
        <v>0.71179147621179506</v>
      </c>
      <c r="X78" s="14">
        <f>(N78 - AVERAGE(Reb_Range))/STDEV(Reb_Range)</f>
        <v>-0.1253107870297254</v>
      </c>
      <c r="Y78" s="14">
        <f>(O78 - AVERAGE(Ast_Range))/STDEV(Ast_Range)</f>
        <v>-0.58827508603395795</v>
      </c>
      <c r="Z78" s="14">
        <f>(P78 - AVERAGE(Stl_Range))/STDEV(Stl_Range)</f>
        <v>0.31183915844888088</v>
      </c>
      <c r="AA78" s="14">
        <f>(Q78 - AVERAGE(Blk_Range))/STDEV(Blk_Range)</f>
        <v>-0.4417931440709813</v>
      </c>
      <c r="AB78" s="14">
        <f>(R78 - AVERAGE(Tov_Range))/STDEV(Tov_Range)*-1</f>
        <v>-0.54445322291463361</v>
      </c>
      <c r="AC78" s="14">
        <f>SUM(T78:AB78)</f>
        <v>1.4623958559805179</v>
      </c>
      <c r="AD78" s="14">
        <v>1.4623958559805141</v>
      </c>
      <c r="AE78" s="14">
        <f>AD78-AC78</f>
        <v>-3.7747582837255322E-15</v>
      </c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55000000000000004">
      <c r="A79">
        <v>78</v>
      </c>
      <c r="B79" s="7">
        <f t="shared" si="2"/>
        <v>78</v>
      </c>
      <c r="C79" s="7">
        <f t="shared" si="3"/>
        <v>0</v>
      </c>
      <c r="D79" t="s">
        <v>325</v>
      </c>
      <c r="E79" t="s">
        <v>46</v>
      </c>
      <c r="F79" t="s">
        <v>23</v>
      </c>
      <c r="G79">
        <v>11</v>
      </c>
      <c r="H79">
        <v>32.5</v>
      </c>
      <c r="I79">
        <v>14.7</v>
      </c>
      <c r="J79">
        <v>0.44400000000000001</v>
      </c>
      <c r="K79">
        <v>1.1000000000000001</v>
      </c>
      <c r="L79">
        <v>2.5</v>
      </c>
      <c r="M79">
        <v>0.81499999999999995</v>
      </c>
      <c r="N79">
        <v>7</v>
      </c>
      <c r="O79">
        <v>5.3</v>
      </c>
      <c r="P79">
        <v>1.1000000000000001</v>
      </c>
      <c r="Q79">
        <v>0.1</v>
      </c>
      <c r="R79">
        <v>2</v>
      </c>
      <c r="S79">
        <v>16.2</v>
      </c>
      <c r="T79" s="14">
        <f>(J79 - AVERAGE(FG_Range))*I79</f>
        <v>-0.21737350746268694</v>
      </c>
      <c r="U79" s="14">
        <f>(M79 - AVERAGE(FT_RANGE))*L79</f>
        <v>0.12966730038022678</v>
      </c>
      <c r="V79" s="14">
        <f>(K79 - AVERAGE(Three_Range))/STDEV(Three_Range)</f>
        <v>-0.38565153932426105</v>
      </c>
      <c r="W79" s="14">
        <f>(S79 - AVERAGE(Pts_Range))/STDEV(Pts_Range)</f>
        <v>0.5517980889562708</v>
      </c>
      <c r="X79" s="14">
        <f>(N79 - AVERAGE(Reb_Range))/STDEV(Reb_Range)</f>
        <v>0.8486825692338128</v>
      </c>
      <c r="Y79" s="14">
        <f>(O79 - AVERAGE(Ast_Range))/STDEV(Ast_Range)</f>
        <v>1.2138057768368262</v>
      </c>
      <c r="Z79" s="14">
        <f>(P79 - AVERAGE(Stl_Range))/STDEV(Stl_Range)</f>
        <v>0.52612863143426558</v>
      </c>
      <c r="AA79" s="14">
        <f>(Q79 - AVERAGE(Blk_Range))/STDEV(Blk_Range)</f>
        <v>-0.81064224877821867</v>
      </c>
      <c r="AB79" s="14">
        <f>(R79 - AVERAGE(Tov_Range))/STDEV(Tov_Range)*-1</f>
        <v>-0.43970558203802057</v>
      </c>
      <c r="AC79" s="14">
        <f>SUM(T79:AB79)</f>
        <v>1.4167094892382153</v>
      </c>
      <c r="AD79" s="14">
        <v>1.4167094892382197</v>
      </c>
      <c r="AE79" s="14">
        <f>AD79-AC79</f>
        <v>4.4408920985006262E-15</v>
      </c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55000000000000004">
      <c r="A80">
        <v>79</v>
      </c>
      <c r="B80" s="7">
        <f t="shared" si="2"/>
        <v>79</v>
      </c>
      <c r="C80" s="7">
        <f t="shared" si="3"/>
        <v>0</v>
      </c>
      <c r="D80" t="s">
        <v>140</v>
      </c>
      <c r="E80" t="s">
        <v>25</v>
      </c>
      <c r="F80" t="s">
        <v>38</v>
      </c>
      <c r="G80">
        <v>11</v>
      </c>
      <c r="H80">
        <v>24.9</v>
      </c>
      <c r="I80">
        <v>8.8000000000000007</v>
      </c>
      <c r="J80">
        <v>0.46400000000000002</v>
      </c>
      <c r="K80">
        <v>2.2999999999999998</v>
      </c>
      <c r="L80">
        <v>0.7</v>
      </c>
      <c r="M80">
        <v>0.75</v>
      </c>
      <c r="N80">
        <v>3.6</v>
      </c>
      <c r="O80">
        <v>2.5</v>
      </c>
      <c r="P80">
        <v>1.6</v>
      </c>
      <c r="Q80">
        <v>0.3</v>
      </c>
      <c r="R80">
        <v>1.4</v>
      </c>
      <c r="S80">
        <v>11</v>
      </c>
      <c r="T80" s="14">
        <f>(J80 - AVERAGE(FG_Range))*I80</f>
        <v>4.5871641791044707E-2</v>
      </c>
      <c r="U80" s="14">
        <f>(M80 - AVERAGE(FT_RANGE))*L80</f>
        <v>-9.1931558935364633E-3</v>
      </c>
      <c r="V80" s="14">
        <f>(K80 - AVERAGE(Three_Range))/STDEV(Three_Range)</f>
        <v>0.84720666193500305</v>
      </c>
      <c r="W80" s="14">
        <f>(S80 - AVERAGE(Pts_Range))/STDEV(Pts_Range)</f>
        <v>-0.28016752477245582</v>
      </c>
      <c r="X80" s="14">
        <f>(N80 - AVERAGE(Reb_Range))/STDEV(Reb_Range)</f>
        <v>-0.47594839528459909</v>
      </c>
      <c r="Y80" s="14">
        <f>(O80 - AVERAGE(Ast_Range))/STDEV(Ast_Range)</f>
        <v>-0.14993109236268612</v>
      </c>
      <c r="Z80" s="14">
        <f>(P80 - AVERAGE(Stl_Range))/STDEV(Stl_Range)</f>
        <v>1.5975759963611886</v>
      </c>
      <c r="AA80" s="14">
        <f>(Q80 - AVERAGE(Blk_Range))/STDEV(Blk_Range)</f>
        <v>-0.4417931440709813</v>
      </c>
      <c r="AB80" s="14">
        <f>(R80 - AVERAGE(Tov_Range))/STDEV(Tov_Range)*-1</f>
        <v>0.18878026322165675</v>
      </c>
      <c r="AC80" s="14">
        <f>SUM(T80:AB80)</f>
        <v>1.3224012509246341</v>
      </c>
      <c r="AD80" s="14">
        <v>1.3224012509246381</v>
      </c>
      <c r="AE80" s="14">
        <f>AD80-AC80</f>
        <v>3.9968028886505635E-15</v>
      </c>
      <c r="AF80"/>
      <c r="AG80"/>
      <c r="AH80"/>
      <c r="AI80"/>
      <c r="AJ80"/>
      <c r="AK80"/>
      <c r="AL80"/>
      <c r="AM80"/>
      <c r="AN80"/>
      <c r="AO80"/>
      <c r="AP80"/>
      <c r="AQ80"/>
    </row>
    <row r="81" spans="1:43" x14ac:dyDescent="0.55000000000000004">
      <c r="A81">
        <v>80</v>
      </c>
      <c r="B81" s="7">
        <f t="shared" si="2"/>
        <v>80</v>
      </c>
      <c r="C81" s="7">
        <f t="shared" si="3"/>
        <v>0</v>
      </c>
      <c r="D81" t="s">
        <v>460</v>
      </c>
      <c r="E81" t="s">
        <v>15</v>
      </c>
      <c r="F81" t="s">
        <v>54</v>
      </c>
      <c r="G81">
        <v>11</v>
      </c>
      <c r="H81">
        <v>27.8</v>
      </c>
      <c r="I81">
        <v>9.5</v>
      </c>
      <c r="J81">
        <v>0.42299999999999999</v>
      </c>
      <c r="K81">
        <v>1.2</v>
      </c>
      <c r="L81">
        <v>3.8</v>
      </c>
      <c r="M81">
        <v>0.71399999999999997</v>
      </c>
      <c r="N81">
        <v>6.1</v>
      </c>
      <c r="O81">
        <v>2.7</v>
      </c>
      <c r="P81">
        <v>1</v>
      </c>
      <c r="Q81">
        <v>1.5</v>
      </c>
      <c r="R81">
        <v>1.9</v>
      </c>
      <c r="S81">
        <v>11.9</v>
      </c>
      <c r="T81" s="14">
        <f>(J81 - AVERAGE(FG_Range))*I81</f>
        <v>-0.33997947761194069</v>
      </c>
      <c r="U81" s="14">
        <f>(M81 - AVERAGE(FT_RANGE))*L81</f>
        <v>-0.1867057034220552</v>
      </c>
      <c r="V81" s="14">
        <f>(K81 - AVERAGE(Three_Range))/STDEV(Three_Range)</f>
        <v>-0.28291335588598915</v>
      </c>
      <c r="W81" s="14">
        <f>(S81 - AVERAGE(Pts_Range))/STDEV(Pts_Range)</f>
        <v>-0.13617347624248383</v>
      </c>
      <c r="X81" s="14">
        <f>(N81 - AVERAGE(Reb_Range))/STDEV(Reb_Range)</f>
        <v>0.49804496097893886</v>
      </c>
      <c r="Y81" s="14">
        <f>(O81 - AVERAGE(Ast_Range))/STDEV(Ast_Range)</f>
        <v>-5.252131599129229E-2</v>
      </c>
      <c r="Z81" s="14">
        <f>(P81 - AVERAGE(Stl_Range))/STDEV(Stl_Range)</f>
        <v>0.31183915844888088</v>
      </c>
      <c r="AA81" s="14">
        <f>(Q81 - AVERAGE(Blk_Range))/STDEV(Blk_Range)</f>
        <v>1.771301484172443</v>
      </c>
      <c r="AB81" s="14">
        <f>(R81 - AVERAGE(Tov_Range))/STDEV(Tov_Range)*-1</f>
        <v>-0.33495794116140765</v>
      </c>
      <c r="AC81" s="14">
        <f>SUM(T81:AB81)</f>
        <v>1.2479343332850941</v>
      </c>
      <c r="AD81" s="14">
        <v>1.2479343332850958</v>
      </c>
      <c r="AE81" s="14">
        <f>AD81-AC81</f>
        <v>1.7763568394002505E-15</v>
      </c>
      <c r="AF81"/>
      <c r="AG81"/>
      <c r="AH81"/>
      <c r="AI81"/>
      <c r="AJ81"/>
      <c r="AK81"/>
      <c r="AL81"/>
      <c r="AM81"/>
      <c r="AN81"/>
      <c r="AO81"/>
      <c r="AP81"/>
      <c r="AQ81"/>
    </row>
    <row r="82" spans="1:43" x14ac:dyDescent="0.55000000000000004">
      <c r="A82">
        <v>81</v>
      </c>
      <c r="B82" s="7">
        <f t="shared" si="2"/>
        <v>81</v>
      </c>
      <c r="C82" s="7">
        <f t="shared" si="3"/>
        <v>0</v>
      </c>
      <c r="D82" t="s">
        <v>313</v>
      </c>
      <c r="E82" t="s">
        <v>25</v>
      </c>
      <c r="F82" t="s">
        <v>79</v>
      </c>
      <c r="G82">
        <v>11</v>
      </c>
      <c r="H82">
        <v>33.5</v>
      </c>
      <c r="I82">
        <v>19.8</v>
      </c>
      <c r="J82">
        <v>0.41699999999999998</v>
      </c>
      <c r="K82">
        <v>3.4</v>
      </c>
      <c r="L82">
        <v>4.4000000000000004</v>
      </c>
      <c r="M82">
        <v>0.79200000000000004</v>
      </c>
      <c r="N82">
        <v>3.5</v>
      </c>
      <c r="O82">
        <v>4.9000000000000004</v>
      </c>
      <c r="P82">
        <v>0.6</v>
      </c>
      <c r="Q82">
        <v>0.4</v>
      </c>
      <c r="R82">
        <v>3</v>
      </c>
      <c r="S82">
        <v>23.4</v>
      </c>
      <c r="T82" s="14">
        <f>(J82 - AVERAGE(FG_Range))*I82</f>
        <v>-0.8273888059701503</v>
      </c>
      <c r="U82" s="14">
        <f>(M82 - AVERAGE(FT_RANGE))*L82</f>
        <v>0.12701444866919953</v>
      </c>
      <c r="V82" s="14">
        <f>(K82 - AVERAGE(Three_Range))/STDEV(Three_Range)</f>
        <v>1.9773266797559954</v>
      </c>
      <c r="W82" s="14">
        <f>(S82 - AVERAGE(Pts_Range))/STDEV(Pts_Range)</f>
        <v>1.7037504771960461</v>
      </c>
      <c r="X82" s="14">
        <f>(N82 - AVERAGE(Reb_Range))/STDEV(Reb_Range)</f>
        <v>-0.51490812953514065</v>
      </c>
      <c r="Y82" s="14">
        <f>(O82 - AVERAGE(Ast_Range))/STDEV(Ast_Range)</f>
        <v>1.0189862240940391</v>
      </c>
      <c r="Z82" s="14">
        <f>(P82 - AVERAGE(Stl_Range))/STDEV(Stl_Range)</f>
        <v>-0.54531873349265758</v>
      </c>
      <c r="AA82" s="14">
        <f>(Q82 - AVERAGE(Blk_Range))/STDEV(Blk_Range)</f>
        <v>-0.25736859171736254</v>
      </c>
      <c r="AB82" s="14">
        <f>(R82 - AVERAGE(Tov_Range))/STDEV(Tov_Range)*-1</f>
        <v>-1.4871819908041493</v>
      </c>
      <c r="AC82" s="14">
        <f>SUM(T82:AB82)</f>
        <v>1.1949115781958197</v>
      </c>
      <c r="AD82" s="14">
        <v>1.1949115781958046</v>
      </c>
      <c r="AE82" s="14">
        <f>AD82-AC82</f>
        <v>-1.5099033134902129E-14</v>
      </c>
      <c r="AF82"/>
      <c r="AG82"/>
      <c r="AH82"/>
      <c r="AI82"/>
      <c r="AJ82"/>
      <c r="AK82"/>
      <c r="AL82"/>
      <c r="AM82"/>
      <c r="AN82"/>
      <c r="AO82"/>
      <c r="AP82"/>
      <c r="AQ82"/>
    </row>
    <row r="83" spans="1:43" x14ac:dyDescent="0.55000000000000004">
      <c r="A83">
        <v>82</v>
      </c>
      <c r="B83" s="7">
        <f t="shared" si="2"/>
        <v>82</v>
      </c>
      <c r="C83" s="7">
        <f t="shared" si="3"/>
        <v>0</v>
      </c>
      <c r="D83" t="s">
        <v>623</v>
      </c>
      <c r="E83" t="s">
        <v>18</v>
      </c>
      <c r="F83" t="s">
        <v>28</v>
      </c>
      <c r="G83">
        <v>10</v>
      </c>
      <c r="H83">
        <v>27</v>
      </c>
      <c r="I83">
        <v>10.1</v>
      </c>
      <c r="J83">
        <v>0.52500000000000002</v>
      </c>
      <c r="K83">
        <v>0.4</v>
      </c>
      <c r="L83">
        <v>4</v>
      </c>
      <c r="M83">
        <v>0.75</v>
      </c>
      <c r="N83">
        <v>10.199999999999999</v>
      </c>
      <c r="O83">
        <v>1.9</v>
      </c>
      <c r="P83">
        <v>0.9</v>
      </c>
      <c r="Q83">
        <v>0.9</v>
      </c>
      <c r="R83">
        <v>2.5</v>
      </c>
      <c r="S83">
        <v>14</v>
      </c>
      <c r="T83" s="14">
        <f>(J83 - AVERAGE(FG_Range))*I83</f>
        <v>0.66874813432835811</v>
      </c>
      <c r="U83" s="14">
        <f>(M83 - AVERAGE(FT_RANGE))*L83</f>
        <v>-5.2532319391636939E-2</v>
      </c>
      <c r="V83" s="14">
        <f>(K83 - AVERAGE(Three_Range))/STDEV(Three_Range)</f>
        <v>-1.1048188233921654</v>
      </c>
      <c r="W83" s="14">
        <f>(S83 - AVERAGE(Pts_Range))/STDEV(Pts_Range)</f>
        <v>0.19981263699411728</v>
      </c>
      <c r="X83" s="14">
        <f>(N83 - AVERAGE(Reb_Range))/STDEV(Reb_Range)</f>
        <v>2.0953940652511411</v>
      </c>
      <c r="Y83" s="14">
        <f>(O83 - AVERAGE(Ast_Range))/STDEV(Ast_Range)</f>
        <v>-0.4421604214768674</v>
      </c>
      <c r="Z83" s="14">
        <f>(P83 - AVERAGE(Stl_Range))/STDEV(Stl_Range)</f>
        <v>9.7549685463496322E-2</v>
      </c>
      <c r="AA83" s="14">
        <f>(Q83 - AVERAGE(Blk_Range))/STDEV(Blk_Range)</f>
        <v>0.6647541700507309</v>
      </c>
      <c r="AB83" s="14">
        <f>(R83 - AVERAGE(Tov_Range))/STDEV(Tov_Range)*-1</f>
        <v>-0.96344378642108497</v>
      </c>
      <c r="AC83" s="14">
        <f>SUM(T83:AB83)</f>
        <v>1.1633033414060892</v>
      </c>
      <c r="AD83" s="14">
        <v>1.1633033414060967</v>
      </c>
      <c r="AE83" s="14">
        <f>AD83-AC83</f>
        <v>7.5495165674510645E-15</v>
      </c>
      <c r="AF83"/>
      <c r="AG83"/>
      <c r="AH83"/>
      <c r="AI83"/>
      <c r="AJ83"/>
      <c r="AK83"/>
      <c r="AL83"/>
      <c r="AM83"/>
      <c r="AN83"/>
      <c r="AO83"/>
      <c r="AP83"/>
      <c r="AQ83"/>
    </row>
    <row r="84" spans="1:43" x14ac:dyDescent="0.55000000000000004">
      <c r="A84">
        <v>83</v>
      </c>
      <c r="B84" s="7">
        <f t="shared" si="2"/>
        <v>83</v>
      </c>
      <c r="C84" s="7">
        <f t="shared" si="3"/>
        <v>0</v>
      </c>
      <c r="D84" t="s">
        <v>380</v>
      </c>
      <c r="E84" t="s">
        <v>46</v>
      </c>
      <c r="F84" t="s">
        <v>61</v>
      </c>
      <c r="G84">
        <v>10</v>
      </c>
      <c r="H84">
        <v>31</v>
      </c>
      <c r="I84">
        <v>17.399999999999999</v>
      </c>
      <c r="J84">
        <v>0.43099999999999999</v>
      </c>
      <c r="K84">
        <v>2.9</v>
      </c>
      <c r="L84">
        <v>3.5</v>
      </c>
      <c r="M84">
        <v>0.68600000000000005</v>
      </c>
      <c r="N84">
        <v>3.2</v>
      </c>
      <c r="O84">
        <v>5.2</v>
      </c>
      <c r="P84">
        <v>1.2</v>
      </c>
      <c r="Q84">
        <v>0.4</v>
      </c>
      <c r="R84">
        <v>3.3</v>
      </c>
      <c r="S84">
        <v>20.3</v>
      </c>
      <c r="T84" s="14">
        <f>(J84 - AVERAGE(FG_Range))*I84</f>
        <v>-0.48349925373134389</v>
      </c>
      <c r="U84" s="14">
        <f>(M84 - AVERAGE(FT_RANGE))*L84</f>
        <v>-0.26996577946768213</v>
      </c>
      <c r="V84" s="14">
        <f>(K84 - AVERAGE(Three_Range))/STDEV(Three_Range)</f>
        <v>1.4636357625646352</v>
      </c>
      <c r="W84" s="14">
        <f>(S84 - AVERAGE(Pts_Range))/STDEV(Pts_Range)</f>
        <v>1.2077709767039209</v>
      </c>
      <c r="X84" s="14">
        <f>(N84 - AVERAGE(Reb_Range))/STDEV(Reb_Range)</f>
        <v>-0.6317873322867652</v>
      </c>
      <c r="Y84" s="14">
        <f>(O84 - AVERAGE(Ast_Range))/STDEV(Ast_Range)</f>
        <v>1.1651008886511296</v>
      </c>
      <c r="Z84" s="14">
        <f>(P84 - AVERAGE(Stl_Range))/STDEV(Stl_Range)</f>
        <v>0.74041810441964995</v>
      </c>
      <c r="AA84" s="14">
        <f>(Q84 - AVERAGE(Blk_Range))/STDEV(Blk_Range)</f>
        <v>-0.25736859171736254</v>
      </c>
      <c r="AB84" s="14">
        <f>(R84 - AVERAGE(Tov_Range))/STDEV(Tov_Range)*-1</f>
        <v>-1.8014249134339877</v>
      </c>
      <c r="AC84" s="14">
        <f>SUM(T84:AB84)</f>
        <v>1.1328798617021942</v>
      </c>
      <c r="AD84" s="14">
        <v>1.1328798617021851</v>
      </c>
      <c r="AE84" s="14">
        <f>AD84-AC84</f>
        <v>-9.1038288019262836E-15</v>
      </c>
      <c r="AF84"/>
      <c r="AG84"/>
      <c r="AH84"/>
      <c r="AI84"/>
      <c r="AJ84"/>
      <c r="AK84"/>
      <c r="AL84"/>
      <c r="AM84"/>
      <c r="AN84"/>
      <c r="AO84"/>
      <c r="AP84"/>
      <c r="AQ84"/>
    </row>
    <row r="85" spans="1:43" x14ac:dyDescent="0.55000000000000004">
      <c r="A85">
        <v>84</v>
      </c>
      <c r="B85" s="7">
        <f t="shared" si="2"/>
        <v>84</v>
      </c>
      <c r="C85" s="7">
        <f t="shared" si="3"/>
        <v>0</v>
      </c>
      <c r="D85" t="s">
        <v>157</v>
      </c>
      <c r="E85" t="s">
        <v>15</v>
      </c>
      <c r="F85" t="s">
        <v>56</v>
      </c>
      <c r="G85">
        <v>8</v>
      </c>
      <c r="H85">
        <v>29.4</v>
      </c>
      <c r="I85">
        <v>8.1</v>
      </c>
      <c r="J85">
        <v>0.41499999999999998</v>
      </c>
      <c r="K85">
        <v>1.8</v>
      </c>
      <c r="L85">
        <v>0.9</v>
      </c>
      <c r="M85">
        <v>0.85699999999999998</v>
      </c>
      <c r="N85">
        <v>5</v>
      </c>
      <c r="O85">
        <v>1</v>
      </c>
      <c r="P85">
        <v>1.4</v>
      </c>
      <c r="Q85">
        <v>0.6</v>
      </c>
      <c r="R85">
        <v>0.5</v>
      </c>
      <c r="S85">
        <v>9.3000000000000007</v>
      </c>
      <c r="T85" s="14">
        <f>(J85 - AVERAGE(FG_Range))*I85</f>
        <v>-0.35467723880597057</v>
      </c>
      <c r="U85" s="14">
        <f>(M85 - AVERAGE(FT_RANGE))*L85</f>
        <v>8.4480228136881677E-2</v>
      </c>
      <c r="V85" s="14">
        <f>(K85 - AVERAGE(Three_Range))/STDEV(Three_Range)</f>
        <v>0.33351574474364315</v>
      </c>
      <c r="W85" s="14">
        <f>(S85 - AVERAGE(Pts_Range))/STDEV(Pts_Range)</f>
        <v>-0.55215628310684717</v>
      </c>
      <c r="X85" s="14">
        <f>(N85 - AVERAGE(Reb_Range))/STDEV(Reb_Range)</f>
        <v>6.948788422298223E-2</v>
      </c>
      <c r="Y85" s="14">
        <f>(O85 - AVERAGE(Ast_Range))/STDEV(Ast_Range)</f>
        <v>-0.88050441514813926</v>
      </c>
      <c r="Z85" s="14">
        <f>(P85 - AVERAGE(Stl_Range))/STDEV(Stl_Range)</f>
        <v>1.168997050390419</v>
      </c>
      <c r="AA85" s="14">
        <f>(Q85 - AVERAGE(Blk_Range))/STDEV(Blk_Range)</f>
        <v>0.11148051298987478</v>
      </c>
      <c r="AB85" s="14">
        <f>(R85 - AVERAGE(Tov_Range))/STDEV(Tov_Range)*-1</f>
        <v>1.1315090311111724</v>
      </c>
      <c r="AC85" s="14">
        <f>SUM(T85:AB85)</f>
        <v>1.1121325145340164</v>
      </c>
      <c r="AD85" s="14">
        <v>1.1121325145340246</v>
      </c>
      <c r="AE85" s="14">
        <f>AD85-AC85</f>
        <v>8.2156503822261584E-15</v>
      </c>
      <c r="AF85"/>
      <c r="AG85"/>
      <c r="AH85"/>
      <c r="AI85"/>
      <c r="AJ85"/>
      <c r="AK85"/>
      <c r="AL85"/>
      <c r="AM85"/>
      <c r="AN85"/>
      <c r="AO85"/>
      <c r="AP85"/>
      <c r="AQ85"/>
    </row>
    <row r="86" spans="1:43" x14ac:dyDescent="0.55000000000000004">
      <c r="A86">
        <v>85</v>
      </c>
      <c r="B86" s="7">
        <f t="shared" si="2"/>
        <v>85</v>
      </c>
      <c r="C86" s="7">
        <f t="shared" si="3"/>
        <v>0</v>
      </c>
      <c r="D86" t="s">
        <v>102</v>
      </c>
      <c r="E86" t="s">
        <v>18</v>
      </c>
      <c r="F86" t="s">
        <v>67</v>
      </c>
      <c r="G86">
        <v>10</v>
      </c>
      <c r="H86">
        <v>27.1</v>
      </c>
      <c r="I86">
        <v>9.1</v>
      </c>
      <c r="J86">
        <v>0.64800000000000002</v>
      </c>
      <c r="K86">
        <v>0.9</v>
      </c>
      <c r="L86">
        <v>2.4</v>
      </c>
      <c r="M86">
        <v>0.66700000000000004</v>
      </c>
      <c r="N86">
        <v>6.1</v>
      </c>
      <c r="O86">
        <v>1.5</v>
      </c>
      <c r="P86">
        <v>0.4</v>
      </c>
      <c r="Q86">
        <v>0.8</v>
      </c>
      <c r="R86">
        <v>1.1000000000000001</v>
      </c>
      <c r="S86">
        <v>14.3</v>
      </c>
      <c r="T86" s="14">
        <f>(J86 - AVERAGE(FG_Range))*I86</f>
        <v>1.7218354477611939</v>
      </c>
      <c r="U86" s="14">
        <f>(M86 - AVERAGE(FT_RANGE))*L86</f>
        <v>-0.23071939163498206</v>
      </c>
      <c r="V86" s="14">
        <f>(K86 - AVERAGE(Three_Range))/STDEV(Three_Range)</f>
        <v>-0.59112790620080513</v>
      </c>
      <c r="W86" s="14">
        <f>(S86 - AVERAGE(Pts_Range))/STDEV(Pts_Range)</f>
        <v>0.24781065317077469</v>
      </c>
      <c r="X86" s="14">
        <f>(N86 - AVERAGE(Reb_Range))/STDEV(Reb_Range)</f>
        <v>0.49804496097893886</v>
      </c>
      <c r="Y86" s="14">
        <f>(O86 - AVERAGE(Ast_Range))/STDEV(Ast_Range)</f>
        <v>-0.63697997421965491</v>
      </c>
      <c r="Z86" s="14">
        <f>(P86 - AVERAGE(Stl_Range))/STDEV(Stl_Range)</f>
        <v>-0.97389767946342665</v>
      </c>
      <c r="AA86" s="14">
        <f>(Q86 - AVERAGE(Blk_Range))/STDEV(Blk_Range)</f>
        <v>0.4803296176971123</v>
      </c>
      <c r="AB86" s="14">
        <f>(R86 - AVERAGE(Tov_Range))/STDEV(Tov_Range)*-1</f>
        <v>0.50302318585149519</v>
      </c>
      <c r="AC86" s="14">
        <f>SUM(T86:AB86)</f>
        <v>1.0183189139406461</v>
      </c>
      <c r="AD86" s="14">
        <v>1.0183189139406494</v>
      </c>
      <c r="AE86" s="14">
        <f>AD86-AC86</f>
        <v>3.3306690738754696E-15</v>
      </c>
      <c r="AF86"/>
      <c r="AG86"/>
      <c r="AH86"/>
      <c r="AI86"/>
      <c r="AJ86"/>
      <c r="AK86"/>
      <c r="AL86"/>
      <c r="AM86"/>
      <c r="AN86"/>
      <c r="AO86"/>
      <c r="AP86"/>
      <c r="AQ86"/>
    </row>
    <row r="87" spans="1:43" x14ac:dyDescent="0.55000000000000004">
      <c r="A87">
        <v>86</v>
      </c>
      <c r="B87" s="7">
        <f t="shared" si="2"/>
        <v>86</v>
      </c>
      <c r="C87" s="7">
        <f t="shared" si="3"/>
        <v>0</v>
      </c>
      <c r="D87" t="s">
        <v>95</v>
      </c>
      <c r="E87" t="s">
        <v>34</v>
      </c>
      <c r="F87" t="s">
        <v>28</v>
      </c>
      <c r="G87">
        <v>10</v>
      </c>
      <c r="H87">
        <v>30.4</v>
      </c>
      <c r="I87">
        <v>16.600000000000001</v>
      </c>
      <c r="J87">
        <v>0.39800000000000002</v>
      </c>
      <c r="K87">
        <v>2.2999999999999998</v>
      </c>
      <c r="L87">
        <v>2.2999999999999998</v>
      </c>
      <c r="M87">
        <v>0.82599999999999996</v>
      </c>
      <c r="N87">
        <v>4.4000000000000004</v>
      </c>
      <c r="O87">
        <v>3</v>
      </c>
      <c r="P87">
        <v>1.6</v>
      </c>
      <c r="Q87">
        <v>0.5</v>
      </c>
      <c r="R87">
        <v>2.7</v>
      </c>
      <c r="S87">
        <v>17.399999999999999</v>
      </c>
      <c r="T87" s="14">
        <f>(J87 - AVERAGE(FG_Range))*I87</f>
        <v>-1.0090694029850749</v>
      </c>
      <c r="U87" s="14">
        <f>(M87 - AVERAGE(FT_RANGE))*L87</f>
        <v>0.14459391634980864</v>
      </c>
      <c r="V87" s="14">
        <f>(K87 - AVERAGE(Three_Range))/STDEV(Three_Range)</f>
        <v>0.84720666193500305</v>
      </c>
      <c r="W87" s="14">
        <f>(S87 - AVERAGE(Pts_Range))/STDEV(Pts_Range)</f>
        <v>0.74379015366289991</v>
      </c>
      <c r="X87" s="14">
        <f>(N87 - AVERAGE(Reb_Range))/STDEV(Reb_Range)</f>
        <v>-0.16427052128026678</v>
      </c>
      <c r="Y87" s="14">
        <f>(O87 - AVERAGE(Ast_Range))/STDEV(Ast_Range)</f>
        <v>9.3593348565798248E-2</v>
      </c>
      <c r="Z87" s="14">
        <f>(P87 - AVERAGE(Stl_Range))/STDEV(Stl_Range)</f>
        <v>1.5975759963611886</v>
      </c>
      <c r="AA87" s="14">
        <f>(Q87 - AVERAGE(Blk_Range))/STDEV(Blk_Range)</f>
        <v>-7.2944039363743871E-2</v>
      </c>
      <c r="AB87" s="14">
        <f>(R87 - AVERAGE(Tov_Range))/STDEV(Tov_Range)*-1</f>
        <v>-1.1729390681743108</v>
      </c>
      <c r="AC87" s="14">
        <f>SUM(T87:AB87)</f>
        <v>1.0075370450713022</v>
      </c>
      <c r="AD87" s="14">
        <v>1.0075370450713017</v>
      </c>
      <c r="AE87" s="14">
        <f>AD87-AC87</f>
        <v>0</v>
      </c>
      <c r="AF87"/>
      <c r="AG87"/>
      <c r="AH87"/>
      <c r="AI87"/>
      <c r="AJ87"/>
      <c r="AK87"/>
      <c r="AL87"/>
      <c r="AM87"/>
      <c r="AN87"/>
      <c r="AO87"/>
      <c r="AP87"/>
      <c r="AQ87"/>
    </row>
    <row r="88" spans="1:43" x14ac:dyDescent="0.55000000000000004">
      <c r="A88">
        <v>87</v>
      </c>
      <c r="B88" s="7">
        <f t="shared" si="2"/>
        <v>87</v>
      </c>
      <c r="C88" s="7">
        <f t="shared" si="3"/>
        <v>0</v>
      </c>
      <c r="D88" t="s">
        <v>361</v>
      </c>
      <c r="E88" t="s">
        <v>18</v>
      </c>
      <c r="F88" t="s">
        <v>38</v>
      </c>
      <c r="G88">
        <v>11</v>
      </c>
      <c r="H88">
        <v>24.2</v>
      </c>
      <c r="I88">
        <v>8.6999999999999993</v>
      </c>
      <c r="J88">
        <v>0.56299999999999994</v>
      </c>
      <c r="K88">
        <v>0.9</v>
      </c>
      <c r="L88">
        <v>1.4</v>
      </c>
      <c r="M88">
        <v>0.8</v>
      </c>
      <c r="N88">
        <v>8</v>
      </c>
      <c r="O88">
        <v>1.4</v>
      </c>
      <c r="P88">
        <v>0.9</v>
      </c>
      <c r="Q88">
        <v>0.5</v>
      </c>
      <c r="R88">
        <v>1.4</v>
      </c>
      <c r="S88">
        <v>11.8</v>
      </c>
      <c r="T88" s="14">
        <f>(J88 - AVERAGE(FG_Range))*I88</f>
        <v>0.9066503731343275</v>
      </c>
      <c r="U88" s="14">
        <f>(M88 - AVERAGE(FT_RANGE))*L88</f>
        <v>5.1613688212927132E-2</v>
      </c>
      <c r="V88" s="14">
        <f>(K88 - AVERAGE(Three_Range))/STDEV(Three_Range)</f>
        <v>-0.59112790620080513</v>
      </c>
      <c r="W88" s="14">
        <f>(S88 - AVERAGE(Pts_Range))/STDEV(Pts_Range)</f>
        <v>-0.15217281496803622</v>
      </c>
      <c r="X88" s="14">
        <f>(N88 - AVERAGE(Reb_Range))/STDEV(Reb_Range)</f>
        <v>1.238279911739228</v>
      </c>
      <c r="Y88" s="14">
        <f>(O88 - AVERAGE(Ast_Range))/STDEV(Ast_Range)</f>
        <v>-0.68568486240535176</v>
      </c>
      <c r="Z88" s="14">
        <f>(P88 - AVERAGE(Stl_Range))/STDEV(Stl_Range)</f>
        <v>9.7549685463496322E-2</v>
      </c>
      <c r="AA88" s="14">
        <f>(Q88 - AVERAGE(Blk_Range))/STDEV(Blk_Range)</f>
        <v>-7.2944039363743871E-2</v>
      </c>
      <c r="AB88" s="14">
        <f>(R88 - AVERAGE(Tov_Range))/STDEV(Tov_Range)*-1</f>
        <v>0.18878026322165675</v>
      </c>
      <c r="AC88" s="14">
        <f>SUM(T88:AB88)</f>
        <v>0.98094429883369871</v>
      </c>
      <c r="AD88" s="14">
        <v>0.98094429883370737</v>
      </c>
      <c r="AE88" s="14">
        <f>AD88-AC88</f>
        <v>8.659739592076221E-15</v>
      </c>
      <c r="AF88"/>
      <c r="AG88"/>
      <c r="AH88"/>
      <c r="AI88"/>
      <c r="AJ88"/>
      <c r="AK88"/>
      <c r="AL88"/>
      <c r="AM88"/>
      <c r="AN88"/>
      <c r="AO88"/>
      <c r="AP88"/>
      <c r="AQ88"/>
    </row>
    <row r="89" spans="1:43" x14ac:dyDescent="0.55000000000000004">
      <c r="A89">
        <v>88</v>
      </c>
      <c r="B89" s="7">
        <f t="shared" si="2"/>
        <v>88</v>
      </c>
      <c r="C89" s="7">
        <f t="shared" si="3"/>
        <v>0</v>
      </c>
      <c r="D89" t="s">
        <v>51</v>
      </c>
      <c r="E89" t="s">
        <v>18</v>
      </c>
      <c r="F89" t="s">
        <v>52</v>
      </c>
      <c r="G89">
        <v>11</v>
      </c>
      <c r="H89">
        <v>30.2</v>
      </c>
      <c r="I89">
        <v>9.6</v>
      </c>
      <c r="J89">
        <v>0.56599999999999995</v>
      </c>
      <c r="K89">
        <v>0.1</v>
      </c>
      <c r="L89">
        <v>2.2999999999999998</v>
      </c>
      <c r="M89">
        <v>0.64</v>
      </c>
      <c r="N89">
        <v>11.3</v>
      </c>
      <c r="O89">
        <v>1.8</v>
      </c>
      <c r="P89">
        <v>0.4</v>
      </c>
      <c r="Q89">
        <v>1</v>
      </c>
      <c r="R89">
        <v>1.8</v>
      </c>
      <c r="S89">
        <v>12.5</v>
      </c>
      <c r="T89" s="14">
        <f>(J89 - AVERAGE(FG_Range))*I89</f>
        <v>1.0292417910447753</v>
      </c>
      <c r="U89" s="14">
        <f>(M89 - AVERAGE(FT_RANGE))*L89</f>
        <v>-0.28320608365019118</v>
      </c>
      <c r="V89" s="14">
        <f>(K89 - AVERAGE(Three_Range))/STDEV(Three_Range)</f>
        <v>-1.4130333737069813</v>
      </c>
      <c r="W89" s="14">
        <f>(S89 - AVERAGE(Pts_Range))/STDEV(Pts_Range)</f>
        <v>-4.0177443889169273E-2</v>
      </c>
      <c r="X89" s="14">
        <f>(N89 - AVERAGE(Reb_Range))/STDEV(Reb_Range)</f>
        <v>2.5239511420070988</v>
      </c>
      <c r="Y89" s="14">
        <f>(O89 - AVERAGE(Ast_Range))/STDEV(Ast_Range)</f>
        <v>-0.4908653096625642</v>
      </c>
      <c r="Z89" s="14">
        <f>(P89 - AVERAGE(Stl_Range))/STDEV(Stl_Range)</f>
        <v>-0.97389767946342665</v>
      </c>
      <c r="AA89" s="14">
        <f>(Q89 - AVERAGE(Blk_Range))/STDEV(Blk_Range)</f>
        <v>0.84917872240434955</v>
      </c>
      <c r="AB89" s="14">
        <f>(R89 - AVERAGE(Tov_Range))/STDEV(Tov_Range)*-1</f>
        <v>-0.23021030028479489</v>
      </c>
      <c r="AC89" s="14">
        <f>SUM(T89:AB89)</f>
        <v>0.97098146479909619</v>
      </c>
      <c r="AD89" s="14">
        <v>0.97098146479910441</v>
      </c>
      <c r="AE89" s="14">
        <f>AD89-AC89</f>
        <v>8.2156503822261584E-15</v>
      </c>
      <c r="AF89"/>
      <c r="AG89"/>
      <c r="AH89"/>
      <c r="AI89"/>
      <c r="AJ89"/>
      <c r="AK89"/>
      <c r="AL89"/>
      <c r="AM89"/>
      <c r="AN89"/>
      <c r="AO89"/>
      <c r="AP89"/>
      <c r="AQ89"/>
    </row>
    <row r="90" spans="1:43" x14ac:dyDescent="0.55000000000000004">
      <c r="A90">
        <v>89</v>
      </c>
      <c r="B90" s="7">
        <f t="shared" si="2"/>
        <v>89</v>
      </c>
      <c r="C90" s="7">
        <f t="shared" si="3"/>
        <v>0</v>
      </c>
      <c r="D90" t="s">
        <v>89</v>
      </c>
      <c r="E90" t="s">
        <v>18</v>
      </c>
      <c r="F90" t="s">
        <v>80</v>
      </c>
      <c r="G90">
        <v>3</v>
      </c>
      <c r="H90">
        <v>18.3</v>
      </c>
      <c r="I90">
        <v>6.7</v>
      </c>
      <c r="J90">
        <v>0.5</v>
      </c>
      <c r="K90">
        <v>0</v>
      </c>
      <c r="L90">
        <v>1</v>
      </c>
      <c r="M90">
        <v>0.33300000000000002</v>
      </c>
      <c r="N90">
        <v>10.3</v>
      </c>
      <c r="O90">
        <v>1</v>
      </c>
      <c r="P90">
        <v>0.3</v>
      </c>
      <c r="Q90">
        <v>1.7</v>
      </c>
      <c r="R90">
        <v>0.3</v>
      </c>
      <c r="S90">
        <v>7</v>
      </c>
      <c r="T90" s="14">
        <f>(J90 - AVERAGE(FG_Range))*I90</f>
        <v>0.27612499999999979</v>
      </c>
      <c r="U90" s="14">
        <f>(M90 - AVERAGE(FT_RANGE))*L90</f>
        <v>-0.43013307984790922</v>
      </c>
      <c r="V90" s="14">
        <f>(K90 - AVERAGE(Three_Range))/STDEV(Three_Range)</f>
        <v>-1.5157715571452535</v>
      </c>
      <c r="W90" s="14">
        <f>(S90 - AVERAGE(Pts_Range))/STDEV(Pts_Range)</f>
        <v>-0.92014107379455323</v>
      </c>
      <c r="X90" s="14">
        <f>(N90 - AVERAGE(Reb_Range))/STDEV(Reb_Range)</f>
        <v>2.1343537995016835</v>
      </c>
      <c r="Y90" s="14">
        <f>(O90 - AVERAGE(Ast_Range))/STDEV(Ast_Range)</f>
        <v>-0.88050441514813926</v>
      </c>
      <c r="Z90" s="14">
        <f>(P90 - AVERAGE(Stl_Range))/STDEV(Stl_Range)</f>
        <v>-1.1881871524488112</v>
      </c>
      <c r="AA90" s="14">
        <f>(Q90 - AVERAGE(Blk_Range))/STDEV(Blk_Range)</f>
        <v>2.1401505888796803</v>
      </c>
      <c r="AB90" s="14">
        <f>(R90 - AVERAGE(Tov_Range))/STDEV(Tov_Range)*-1</f>
        <v>1.3410043128643983</v>
      </c>
      <c r="AC90" s="14">
        <f>SUM(T90:AB90)</f>
        <v>0.95689642286109589</v>
      </c>
      <c r="AD90" s="14">
        <v>0.95689642286110677</v>
      </c>
      <c r="AE90" s="14">
        <f>AD90-AC90</f>
        <v>1.0880185641326534E-14</v>
      </c>
      <c r="AF90"/>
      <c r="AG90"/>
      <c r="AH90"/>
      <c r="AI90"/>
      <c r="AJ90"/>
      <c r="AK90"/>
      <c r="AL90"/>
      <c r="AM90"/>
      <c r="AN90"/>
      <c r="AO90"/>
      <c r="AP90"/>
      <c r="AQ90"/>
    </row>
    <row r="91" spans="1:43" x14ac:dyDescent="0.55000000000000004">
      <c r="A91">
        <v>90</v>
      </c>
      <c r="B91" s="7">
        <f t="shared" si="2"/>
        <v>90</v>
      </c>
      <c r="C91" s="7">
        <f t="shared" si="3"/>
        <v>0</v>
      </c>
      <c r="D91" t="s">
        <v>326</v>
      </c>
      <c r="E91" t="s">
        <v>46</v>
      </c>
      <c r="F91" t="s">
        <v>59</v>
      </c>
      <c r="G91">
        <v>10</v>
      </c>
      <c r="H91">
        <v>35</v>
      </c>
      <c r="I91">
        <v>15.1</v>
      </c>
      <c r="J91">
        <v>0.47699999999999998</v>
      </c>
      <c r="K91">
        <v>2.4</v>
      </c>
      <c r="L91">
        <v>3.8</v>
      </c>
      <c r="M91">
        <v>0.76300000000000001</v>
      </c>
      <c r="N91">
        <v>2.9</v>
      </c>
      <c r="O91">
        <v>3.8</v>
      </c>
      <c r="P91">
        <v>0.9</v>
      </c>
      <c r="Q91">
        <v>0.1</v>
      </c>
      <c r="R91">
        <v>2</v>
      </c>
      <c r="S91">
        <v>19.7</v>
      </c>
      <c r="T91" s="14">
        <f>(J91 - AVERAGE(FG_Range))*I91</f>
        <v>0.27501156716417829</v>
      </c>
      <c r="U91" s="14">
        <f>(M91 - AVERAGE(FT_RANGE))*L91</f>
        <v>-5.0570342205504828E-4</v>
      </c>
      <c r="V91" s="14">
        <f>(K91 - AVERAGE(Three_Range))/STDEV(Three_Range)</f>
        <v>0.94994484537327517</v>
      </c>
      <c r="W91" s="14">
        <f>(S91 - AVERAGE(Pts_Range))/STDEV(Pts_Range)</f>
        <v>1.111774944350606</v>
      </c>
      <c r="X91" s="14">
        <f>(N91 - AVERAGE(Reb_Range))/STDEV(Reb_Range)</f>
        <v>-0.74866653503838987</v>
      </c>
      <c r="Y91" s="14">
        <f>(O91 - AVERAGE(Ast_Range))/STDEV(Ast_Range)</f>
        <v>0.48323245405137316</v>
      </c>
      <c r="Z91" s="14">
        <f>(P91 - AVERAGE(Stl_Range))/STDEV(Stl_Range)</f>
        <v>9.7549685463496322E-2</v>
      </c>
      <c r="AA91" s="14">
        <f>(Q91 - AVERAGE(Blk_Range))/STDEV(Blk_Range)</f>
        <v>-0.81064224877821867</v>
      </c>
      <c r="AB91" s="14">
        <f>(R91 - AVERAGE(Tov_Range))/STDEV(Tov_Range)*-1</f>
        <v>-0.43970558203802057</v>
      </c>
      <c r="AC91" s="14">
        <f>SUM(T91:AB91)</f>
        <v>0.91799342712624543</v>
      </c>
      <c r="AD91" s="14">
        <v>0.91799342712623921</v>
      </c>
      <c r="AE91" s="14">
        <f>AD91-AC91</f>
        <v>-6.2172489379008766E-15</v>
      </c>
      <c r="AF91"/>
      <c r="AG91"/>
      <c r="AH91"/>
      <c r="AI91"/>
      <c r="AJ91"/>
      <c r="AK91"/>
      <c r="AL91"/>
      <c r="AM91"/>
      <c r="AN91"/>
      <c r="AO91"/>
      <c r="AP91"/>
      <c r="AQ91"/>
    </row>
    <row r="92" spans="1:43" x14ac:dyDescent="0.55000000000000004">
      <c r="A92">
        <v>91</v>
      </c>
      <c r="B92" s="7">
        <f t="shared" si="2"/>
        <v>91</v>
      </c>
      <c r="C92" s="7">
        <f t="shared" si="3"/>
        <v>0</v>
      </c>
      <c r="D92" t="s">
        <v>179</v>
      </c>
      <c r="E92" t="s">
        <v>46</v>
      </c>
      <c r="F92" t="s">
        <v>54</v>
      </c>
      <c r="G92">
        <v>11</v>
      </c>
      <c r="H92">
        <v>32.5</v>
      </c>
      <c r="I92">
        <v>12.2</v>
      </c>
      <c r="J92">
        <v>0.29099999999999998</v>
      </c>
      <c r="K92">
        <v>2.2999999999999998</v>
      </c>
      <c r="L92">
        <v>2.8</v>
      </c>
      <c r="M92">
        <v>0.80600000000000005</v>
      </c>
      <c r="N92">
        <v>3.5</v>
      </c>
      <c r="O92">
        <v>6.5</v>
      </c>
      <c r="P92">
        <v>1.5</v>
      </c>
      <c r="Q92">
        <v>0</v>
      </c>
      <c r="R92">
        <v>1.1000000000000001</v>
      </c>
      <c r="S92">
        <v>11.6</v>
      </c>
      <c r="T92" s="14">
        <f>(J92 - AVERAGE(FG_Range))*I92</f>
        <v>-2.0470052238805976</v>
      </c>
      <c r="U92" s="14">
        <f>(M92 - AVERAGE(FT_RANGE))*L92</f>
        <v>0.12002737642585427</v>
      </c>
      <c r="V92" s="14">
        <f>(K92 - AVERAGE(Three_Range))/STDEV(Three_Range)</f>
        <v>0.84720666193500305</v>
      </c>
      <c r="W92" s="14">
        <f>(S92 - AVERAGE(Pts_Range))/STDEV(Pts_Range)</f>
        <v>-0.18417149241914127</v>
      </c>
      <c r="X92" s="14">
        <f>(N92 - AVERAGE(Reb_Range))/STDEV(Reb_Range)</f>
        <v>-0.51490812953514065</v>
      </c>
      <c r="Y92" s="14">
        <f>(O92 - AVERAGE(Ast_Range))/STDEV(Ast_Range)</f>
        <v>1.7982644350651888</v>
      </c>
      <c r="Z92" s="14">
        <f>(P92 - AVERAGE(Stl_Range))/STDEV(Stl_Range)</f>
        <v>1.3832865233758038</v>
      </c>
      <c r="AA92" s="14">
        <f>(Q92 - AVERAGE(Blk_Range))/STDEV(Blk_Range)</f>
        <v>-0.99506680113183732</v>
      </c>
      <c r="AB92" s="14">
        <f>(R92 - AVERAGE(Tov_Range))/STDEV(Tov_Range)*-1</f>
        <v>0.50302318585149519</v>
      </c>
      <c r="AC92" s="14">
        <f>SUM(T92:AB92)</f>
        <v>0.91065653568662841</v>
      </c>
      <c r="AD92" s="14">
        <v>0.91065653568662996</v>
      </c>
      <c r="AE92" s="14">
        <f>AD92-AC92</f>
        <v>1.5543122344752192E-15</v>
      </c>
      <c r="AF92"/>
      <c r="AG92"/>
      <c r="AH92"/>
      <c r="AI92"/>
      <c r="AJ92"/>
      <c r="AK92"/>
      <c r="AL92"/>
      <c r="AM92"/>
      <c r="AN92"/>
      <c r="AO92"/>
      <c r="AP92"/>
      <c r="AQ92"/>
    </row>
    <row r="93" spans="1:43" x14ac:dyDescent="0.55000000000000004">
      <c r="A93">
        <v>92</v>
      </c>
      <c r="B93" s="7">
        <f t="shared" si="2"/>
        <v>92</v>
      </c>
      <c r="C93" s="7">
        <f t="shared" si="3"/>
        <v>0</v>
      </c>
      <c r="D93" t="s">
        <v>84</v>
      </c>
      <c r="E93" t="s">
        <v>25</v>
      </c>
      <c r="F93" t="s">
        <v>52</v>
      </c>
      <c r="G93">
        <v>11</v>
      </c>
      <c r="H93">
        <v>35.5</v>
      </c>
      <c r="I93">
        <v>16.600000000000001</v>
      </c>
      <c r="J93">
        <v>0.48599999999999999</v>
      </c>
      <c r="K93">
        <v>2.1</v>
      </c>
      <c r="L93">
        <v>5.8</v>
      </c>
      <c r="M93">
        <v>0.81299999999999994</v>
      </c>
      <c r="N93">
        <v>3.3</v>
      </c>
      <c r="O93">
        <v>4.3</v>
      </c>
      <c r="P93">
        <v>1.1000000000000001</v>
      </c>
      <c r="Q93">
        <v>0.4</v>
      </c>
      <c r="R93">
        <v>4</v>
      </c>
      <c r="S93">
        <v>23</v>
      </c>
      <c r="T93" s="14">
        <f>(J93 - AVERAGE(FG_Range))*I93</f>
        <v>0.45173059701492468</v>
      </c>
      <c r="U93" s="14">
        <f>(M93 - AVERAGE(FT_RANGE))*L93</f>
        <v>0.28922813688212612</v>
      </c>
      <c r="V93" s="14">
        <f>(K93 - AVERAGE(Three_Range))/STDEV(Three_Range)</f>
        <v>0.64173029505845924</v>
      </c>
      <c r="W93" s="14">
        <f>(S93 - AVERAGE(Pts_Range))/STDEV(Pts_Range)</f>
        <v>1.6397531222938366</v>
      </c>
      <c r="X93" s="14">
        <f>(N93 - AVERAGE(Reb_Range))/STDEV(Reb_Range)</f>
        <v>-0.59282759803622376</v>
      </c>
      <c r="Y93" s="14">
        <f>(O93 - AVERAGE(Ast_Range))/STDEV(Ast_Range)</f>
        <v>0.72675689497985752</v>
      </c>
      <c r="Z93" s="14">
        <f>(P93 - AVERAGE(Stl_Range))/STDEV(Stl_Range)</f>
        <v>0.52612863143426558</v>
      </c>
      <c r="AA93" s="14">
        <f>(Q93 - AVERAGE(Blk_Range))/STDEV(Blk_Range)</f>
        <v>-0.25736859171736254</v>
      </c>
      <c r="AB93" s="14">
        <f>(R93 - AVERAGE(Tov_Range))/STDEV(Tov_Range)*-1</f>
        <v>-2.5346583995702781</v>
      </c>
      <c r="AC93" s="14">
        <f>SUM(T93:AB93)</f>
        <v>0.89047308833960548</v>
      </c>
      <c r="AD93" s="14">
        <v>0.89047308833959748</v>
      </c>
      <c r="AE93" s="14">
        <f>AD93-AC93</f>
        <v>-7.9936057773011271E-15</v>
      </c>
      <c r="AF93"/>
      <c r="AG93"/>
      <c r="AH93"/>
      <c r="AI93"/>
      <c r="AJ93"/>
      <c r="AK93"/>
      <c r="AL93"/>
      <c r="AM93"/>
      <c r="AN93"/>
      <c r="AO93"/>
      <c r="AP93"/>
      <c r="AQ93"/>
    </row>
    <row r="94" spans="1:43" x14ac:dyDescent="0.55000000000000004">
      <c r="A94">
        <v>93</v>
      </c>
      <c r="B94" s="7">
        <f t="shared" si="2"/>
        <v>93</v>
      </c>
      <c r="C94" s="7">
        <f t="shared" si="3"/>
        <v>0</v>
      </c>
      <c r="D94" t="s">
        <v>282</v>
      </c>
      <c r="E94" t="s">
        <v>18</v>
      </c>
      <c r="F94" t="s">
        <v>38</v>
      </c>
      <c r="G94">
        <v>11</v>
      </c>
      <c r="H94">
        <v>25.7</v>
      </c>
      <c r="I94">
        <v>7.7</v>
      </c>
      <c r="J94">
        <v>0.42399999999999999</v>
      </c>
      <c r="K94">
        <v>1.7</v>
      </c>
      <c r="L94">
        <v>1</v>
      </c>
      <c r="M94">
        <v>0.90900000000000003</v>
      </c>
      <c r="N94">
        <v>4.3</v>
      </c>
      <c r="O94">
        <v>0.9</v>
      </c>
      <c r="P94">
        <v>0.7</v>
      </c>
      <c r="Q94">
        <v>1.5</v>
      </c>
      <c r="R94">
        <v>0.6</v>
      </c>
      <c r="S94">
        <v>9.1999999999999993</v>
      </c>
      <c r="T94" s="14">
        <f>(J94 - AVERAGE(FG_Range))*I94</f>
        <v>-0.26786231343283617</v>
      </c>
      <c r="U94" s="14">
        <f>(M94 - AVERAGE(FT_RANGE))*L94</f>
        <v>0.1458669201520908</v>
      </c>
      <c r="V94" s="14">
        <f>(K94 - AVERAGE(Three_Range))/STDEV(Three_Range)</f>
        <v>0.230777561305371</v>
      </c>
      <c r="W94" s="14">
        <f>(S94 - AVERAGE(Pts_Range))/STDEV(Pts_Range)</f>
        <v>-0.56815562183239976</v>
      </c>
      <c r="X94" s="14">
        <f>(N94 - AVERAGE(Reb_Range))/STDEV(Reb_Range)</f>
        <v>-0.20323025553080853</v>
      </c>
      <c r="Y94" s="14">
        <f>(O94 - AVERAGE(Ast_Range))/STDEV(Ast_Range)</f>
        <v>-0.92920930333383611</v>
      </c>
      <c r="Z94" s="14">
        <f>(P94 - AVERAGE(Stl_Range))/STDEV(Stl_Range)</f>
        <v>-0.33102926050727299</v>
      </c>
      <c r="AA94" s="14">
        <f>(Q94 - AVERAGE(Blk_Range))/STDEV(Blk_Range)</f>
        <v>1.771301484172443</v>
      </c>
      <c r="AB94" s="14">
        <f>(R94 - AVERAGE(Tov_Range))/STDEV(Tov_Range)*-1</f>
        <v>1.0267613902345596</v>
      </c>
      <c r="AC94" s="14">
        <f>SUM(T94:AB94)</f>
        <v>0.87522060122731071</v>
      </c>
      <c r="AD94" s="14">
        <v>0.87522060122731249</v>
      </c>
      <c r="AE94" s="14">
        <f>AD94-AC94</f>
        <v>1.7763568394002505E-15</v>
      </c>
      <c r="AF94"/>
      <c r="AG94"/>
      <c r="AH94"/>
      <c r="AI94"/>
      <c r="AJ94"/>
      <c r="AK94"/>
      <c r="AL94"/>
      <c r="AM94"/>
      <c r="AN94"/>
      <c r="AO94"/>
      <c r="AP94"/>
      <c r="AQ94"/>
    </row>
    <row r="95" spans="1:43" x14ac:dyDescent="0.55000000000000004">
      <c r="A95">
        <v>94</v>
      </c>
      <c r="B95" s="7">
        <f t="shared" si="2"/>
        <v>94</v>
      </c>
      <c r="C95" s="7">
        <f t="shared" si="3"/>
        <v>0</v>
      </c>
      <c r="D95" t="s">
        <v>446</v>
      </c>
      <c r="E95" t="s">
        <v>18</v>
      </c>
      <c r="F95" t="s">
        <v>54</v>
      </c>
      <c r="G95">
        <v>1</v>
      </c>
      <c r="H95">
        <v>19</v>
      </c>
      <c r="I95">
        <v>6</v>
      </c>
      <c r="J95">
        <v>0.5</v>
      </c>
      <c r="K95">
        <v>0</v>
      </c>
      <c r="L95">
        <v>1</v>
      </c>
      <c r="M95">
        <v>0</v>
      </c>
      <c r="N95">
        <v>3</v>
      </c>
      <c r="O95">
        <v>0</v>
      </c>
      <c r="P95">
        <v>3</v>
      </c>
      <c r="Q95">
        <v>1</v>
      </c>
      <c r="R95">
        <v>1</v>
      </c>
      <c r="S95">
        <v>6</v>
      </c>
      <c r="T95" s="14">
        <f>(J95 - AVERAGE(FG_Range))*I95</f>
        <v>0.24727611940298488</v>
      </c>
      <c r="U95" s="14">
        <f>(M95 - AVERAGE(FT_RANGE))*L95</f>
        <v>-0.76313307984790923</v>
      </c>
      <c r="V95" s="14">
        <f>(K95 - AVERAGE(Three_Range))/STDEV(Three_Range)</f>
        <v>-1.5157715571452535</v>
      </c>
      <c r="W95" s="14">
        <f>(S95 - AVERAGE(Pts_Range))/STDEV(Pts_Range)</f>
        <v>-1.0801344610500776</v>
      </c>
      <c r="X95" s="14">
        <f>(N95 - AVERAGE(Reb_Range))/STDEV(Reb_Range)</f>
        <v>-0.70970680078784831</v>
      </c>
      <c r="Y95" s="14">
        <f>(O95 - AVERAGE(Ast_Range))/STDEV(Ast_Range)</f>
        <v>-1.3675532970051079</v>
      </c>
      <c r="Z95" s="14">
        <f>(P95 - AVERAGE(Stl_Range))/STDEV(Stl_Range)</f>
        <v>4.5976286181565724</v>
      </c>
      <c r="AA95" s="14">
        <f>(Q95 - AVERAGE(Blk_Range))/STDEV(Blk_Range)</f>
        <v>0.84917872240434955</v>
      </c>
      <c r="AB95" s="14">
        <f>(R95 - AVERAGE(Tov_Range))/STDEV(Tov_Range)*-1</f>
        <v>0.60777082672810812</v>
      </c>
      <c r="AC95" s="14">
        <f>SUM(T95:AB95)</f>
        <v>0.86555509085581861</v>
      </c>
      <c r="AD95" s="14">
        <v>0.8655550908558437</v>
      </c>
      <c r="AE95" s="14">
        <f>AD95-AC95</f>
        <v>2.5091040356528538E-14</v>
      </c>
      <c r="AF95"/>
      <c r="AG95"/>
      <c r="AH95"/>
      <c r="AI95"/>
      <c r="AJ95"/>
      <c r="AK95"/>
      <c r="AL95"/>
      <c r="AM95"/>
      <c r="AN95"/>
      <c r="AO95"/>
      <c r="AP95"/>
      <c r="AQ95"/>
    </row>
    <row r="96" spans="1:43" x14ac:dyDescent="0.55000000000000004">
      <c r="A96">
        <v>95</v>
      </c>
      <c r="B96" s="7">
        <f t="shared" si="2"/>
        <v>95</v>
      </c>
      <c r="C96" s="7">
        <f t="shared" si="3"/>
        <v>0</v>
      </c>
      <c r="D96" t="s">
        <v>68</v>
      </c>
      <c r="E96" t="s">
        <v>25</v>
      </c>
      <c r="F96" t="s">
        <v>61</v>
      </c>
      <c r="G96">
        <v>10</v>
      </c>
      <c r="H96">
        <v>32.299999999999997</v>
      </c>
      <c r="I96">
        <v>15.6</v>
      </c>
      <c r="J96">
        <v>0.45500000000000002</v>
      </c>
      <c r="K96">
        <v>2.5</v>
      </c>
      <c r="L96">
        <v>3</v>
      </c>
      <c r="M96">
        <v>0.9</v>
      </c>
      <c r="N96">
        <v>4.5999999999999996</v>
      </c>
      <c r="O96">
        <v>1.7</v>
      </c>
      <c r="P96">
        <v>0.5</v>
      </c>
      <c r="Q96">
        <v>0.2</v>
      </c>
      <c r="R96">
        <v>1.2</v>
      </c>
      <c r="S96">
        <v>19.399999999999999</v>
      </c>
      <c r="T96" s="14">
        <f>(J96 - AVERAGE(FG_Range))*I96</f>
        <v>-5.9082089552239057E-2</v>
      </c>
      <c r="U96" s="14">
        <f>(M96 - AVERAGE(FT_RANGE))*L96</f>
        <v>0.41060076045627236</v>
      </c>
      <c r="V96" s="14">
        <f>(K96 - AVERAGE(Three_Range))/STDEV(Three_Range)</f>
        <v>1.0526830288115472</v>
      </c>
      <c r="W96" s="14">
        <f>(S96 - AVERAGE(Pts_Range))/STDEV(Pts_Range)</f>
        <v>1.0637769281739486</v>
      </c>
      <c r="X96" s="14">
        <f>(N96 - AVERAGE(Reb_Range))/STDEV(Reb_Range)</f>
        <v>-8.635105277918402E-2</v>
      </c>
      <c r="Y96" s="14">
        <f>(O96 - AVERAGE(Ast_Range))/STDEV(Ast_Range)</f>
        <v>-0.5395701978482611</v>
      </c>
      <c r="Z96" s="14">
        <f>(P96 - AVERAGE(Stl_Range))/STDEV(Stl_Range)</f>
        <v>-0.75960820647804206</v>
      </c>
      <c r="AA96" s="14">
        <f>(Q96 - AVERAGE(Blk_Range))/STDEV(Blk_Range)</f>
        <v>-0.6262176964245999</v>
      </c>
      <c r="AB96" s="14">
        <f>(R96 - AVERAGE(Tov_Range))/STDEV(Tov_Range)*-1</f>
        <v>0.39827554497488243</v>
      </c>
      <c r="AC96" s="14">
        <f>SUM(T96:AB96)</f>
        <v>0.85450701933432427</v>
      </c>
      <c r="AD96" s="14">
        <v>0.85450701933432038</v>
      </c>
      <c r="AE96" s="14">
        <f>AD96-AC96</f>
        <v>-3.8857805861880479E-15</v>
      </c>
      <c r="AF96"/>
      <c r="AG96"/>
      <c r="AH96"/>
      <c r="AI96"/>
      <c r="AJ96"/>
      <c r="AK96"/>
      <c r="AL96"/>
      <c r="AM96"/>
      <c r="AN96"/>
      <c r="AO96"/>
      <c r="AP96"/>
      <c r="AQ96"/>
    </row>
    <row r="97" spans="1:43" x14ac:dyDescent="0.55000000000000004">
      <c r="A97">
        <v>96</v>
      </c>
      <c r="B97" s="7">
        <f t="shared" si="2"/>
        <v>96</v>
      </c>
      <c r="C97" s="7">
        <f t="shared" si="3"/>
        <v>0</v>
      </c>
      <c r="D97" t="s">
        <v>177</v>
      </c>
      <c r="E97" t="s">
        <v>15</v>
      </c>
      <c r="F97" t="s">
        <v>33</v>
      </c>
      <c r="G97">
        <v>10</v>
      </c>
      <c r="H97">
        <v>27.2</v>
      </c>
      <c r="I97">
        <v>11.4</v>
      </c>
      <c r="J97">
        <v>0.48199999999999998</v>
      </c>
      <c r="K97">
        <v>1.5</v>
      </c>
      <c r="L97">
        <v>3.8</v>
      </c>
      <c r="M97">
        <v>0.60499999999999998</v>
      </c>
      <c r="N97">
        <v>6.6</v>
      </c>
      <c r="O97">
        <v>2.8</v>
      </c>
      <c r="P97">
        <v>0.9</v>
      </c>
      <c r="Q97">
        <v>0.7</v>
      </c>
      <c r="R97">
        <v>2</v>
      </c>
      <c r="S97">
        <v>14.8</v>
      </c>
      <c r="T97" s="14">
        <f>(J97 - AVERAGE(FG_Range))*I97</f>
        <v>0.26462462686567112</v>
      </c>
      <c r="U97" s="14">
        <f>(M97 - AVERAGE(FT_RANGE))*L97</f>
        <v>-0.60090570342205518</v>
      </c>
      <c r="V97" s="14">
        <f>(K97 - AVERAGE(Three_Range))/STDEV(Three_Range)</f>
        <v>2.5301194428826994E-2</v>
      </c>
      <c r="W97" s="14">
        <f>(S97 - AVERAGE(Pts_Range))/STDEV(Pts_Range)</f>
        <v>0.32780734679853685</v>
      </c>
      <c r="X97" s="14">
        <f>(N97 - AVERAGE(Reb_Range))/STDEV(Reb_Range)</f>
        <v>0.69284363223164647</v>
      </c>
      <c r="Y97" s="14">
        <f>(O97 - AVERAGE(Ast_Range))/STDEV(Ast_Range)</f>
        <v>-3.8164278055955883E-3</v>
      </c>
      <c r="Z97" s="14">
        <f>(P97 - AVERAGE(Stl_Range))/STDEV(Stl_Range)</f>
        <v>9.7549685463496322E-2</v>
      </c>
      <c r="AA97" s="14">
        <f>(Q97 - AVERAGE(Blk_Range))/STDEV(Blk_Range)</f>
        <v>0.29590506534349342</v>
      </c>
      <c r="AB97" s="14">
        <f>(R97 - AVERAGE(Tov_Range))/STDEV(Tov_Range)*-1</f>
        <v>-0.43970558203802057</v>
      </c>
      <c r="AC97" s="14">
        <f>SUM(T97:AB97)</f>
        <v>0.65960383786599996</v>
      </c>
      <c r="AD97" s="14">
        <v>0.65960383786600152</v>
      </c>
      <c r="AE97" s="14">
        <f>AD97-AC97</f>
        <v>1.5543122344752192E-15</v>
      </c>
      <c r="AF97"/>
      <c r="AG97"/>
      <c r="AH97"/>
      <c r="AI97"/>
      <c r="AJ97"/>
      <c r="AK97"/>
      <c r="AL97"/>
      <c r="AM97"/>
      <c r="AN97"/>
      <c r="AO97"/>
      <c r="AP97"/>
      <c r="AQ97"/>
    </row>
    <row r="98" spans="1:43" x14ac:dyDescent="0.55000000000000004">
      <c r="A98">
        <v>97</v>
      </c>
      <c r="B98" s="7">
        <f t="shared" si="2"/>
        <v>97</v>
      </c>
      <c r="C98" s="7">
        <f t="shared" si="3"/>
        <v>0</v>
      </c>
      <c r="D98" t="s">
        <v>22</v>
      </c>
      <c r="E98" t="s">
        <v>18</v>
      </c>
      <c r="F98" t="s">
        <v>23</v>
      </c>
      <c r="G98">
        <v>8</v>
      </c>
      <c r="H98">
        <v>29.4</v>
      </c>
      <c r="I98">
        <v>15</v>
      </c>
      <c r="J98">
        <v>0.433</v>
      </c>
      <c r="K98">
        <v>1.3</v>
      </c>
      <c r="L98">
        <v>1.1000000000000001</v>
      </c>
      <c r="M98">
        <v>0.77800000000000002</v>
      </c>
      <c r="N98">
        <v>5.8</v>
      </c>
      <c r="O98">
        <v>2.8</v>
      </c>
      <c r="P98">
        <v>0.6</v>
      </c>
      <c r="Q98">
        <v>0.9</v>
      </c>
      <c r="R98">
        <v>1.3</v>
      </c>
      <c r="S98">
        <v>15.1</v>
      </c>
      <c r="T98" s="14">
        <f>(J98 - AVERAGE(FG_Range))*I98</f>
        <v>-0.38680970149253785</v>
      </c>
      <c r="U98" s="14">
        <f>(M98 - AVERAGE(FT_RANGE))*L98</f>
        <v>1.6353612167299872E-2</v>
      </c>
      <c r="V98" s="14">
        <f>(K98 - AVERAGE(Three_Range))/STDEV(Three_Range)</f>
        <v>-0.18017517244771702</v>
      </c>
      <c r="W98" s="14">
        <f>(S98 - AVERAGE(Pts_Range))/STDEV(Pts_Range)</f>
        <v>0.37580536297519401</v>
      </c>
      <c r="X98" s="14">
        <f>(N98 - AVERAGE(Reb_Range))/STDEV(Reb_Range)</f>
        <v>0.38116575822731436</v>
      </c>
      <c r="Y98" s="14">
        <f>(O98 - AVERAGE(Ast_Range))/STDEV(Ast_Range)</f>
        <v>-3.8164278055955883E-3</v>
      </c>
      <c r="Z98" s="14">
        <f>(P98 - AVERAGE(Stl_Range))/STDEV(Stl_Range)</f>
        <v>-0.54531873349265758</v>
      </c>
      <c r="AA98" s="14">
        <f>(Q98 - AVERAGE(Blk_Range))/STDEV(Blk_Range)</f>
        <v>0.6647541700507309</v>
      </c>
      <c r="AB98" s="14">
        <f>(R98 - AVERAGE(Tov_Range))/STDEV(Tov_Range)*-1</f>
        <v>0.29352790409826945</v>
      </c>
      <c r="AC98" s="14">
        <f>SUM(T98:AB98)</f>
        <v>0.61548677228030058</v>
      </c>
      <c r="AD98" s="14">
        <v>0.61548677228030191</v>
      </c>
      <c r="AE98" s="14">
        <f>AD98-AC98</f>
        <v>1.3322676295501878E-15</v>
      </c>
      <c r="AF98"/>
      <c r="AG98"/>
      <c r="AH98"/>
      <c r="AI98"/>
      <c r="AJ98"/>
      <c r="AK98"/>
      <c r="AL98"/>
      <c r="AM98"/>
      <c r="AN98"/>
      <c r="AO98"/>
      <c r="AP98"/>
      <c r="AQ98"/>
    </row>
    <row r="99" spans="1:43" x14ac:dyDescent="0.55000000000000004">
      <c r="A99">
        <v>98</v>
      </c>
      <c r="B99" s="7">
        <f t="shared" si="2"/>
        <v>98</v>
      </c>
      <c r="C99" s="7">
        <f t="shared" si="3"/>
        <v>0</v>
      </c>
      <c r="D99" t="s">
        <v>108</v>
      </c>
      <c r="E99" t="s">
        <v>18</v>
      </c>
      <c r="F99" t="s">
        <v>70</v>
      </c>
      <c r="G99">
        <v>8</v>
      </c>
      <c r="H99">
        <v>26.4</v>
      </c>
      <c r="I99">
        <v>8.4</v>
      </c>
      <c r="J99">
        <v>0.50700000000000001</v>
      </c>
      <c r="K99">
        <v>0</v>
      </c>
      <c r="L99">
        <v>3.1</v>
      </c>
      <c r="M99">
        <v>0.48</v>
      </c>
      <c r="N99">
        <v>12.9</v>
      </c>
      <c r="O99">
        <v>1.3</v>
      </c>
      <c r="P99">
        <v>0.6</v>
      </c>
      <c r="Q99">
        <v>1</v>
      </c>
      <c r="R99">
        <v>1.3</v>
      </c>
      <c r="S99">
        <v>10</v>
      </c>
      <c r="T99" s="14">
        <f>(J99 - AVERAGE(FG_Range))*I99</f>
        <v>0.40498656716417891</v>
      </c>
      <c r="U99" s="14">
        <f>(M99 - AVERAGE(FT_RANGE))*L99</f>
        <v>-0.87771254752851868</v>
      </c>
      <c r="V99" s="14">
        <f>(K99 - AVERAGE(Three_Range))/STDEV(Three_Range)</f>
        <v>-1.5157715571452535</v>
      </c>
      <c r="W99" s="14">
        <f>(S99 - AVERAGE(Pts_Range))/STDEV(Pts_Range)</f>
        <v>-0.44016091202798019</v>
      </c>
      <c r="X99" s="14">
        <f>(N99 - AVERAGE(Reb_Range))/STDEV(Reb_Range)</f>
        <v>3.1473068900157628</v>
      </c>
      <c r="Y99" s="14">
        <f>(O99 - AVERAGE(Ast_Range))/STDEV(Ast_Range)</f>
        <v>-0.73438975059104861</v>
      </c>
      <c r="Z99" s="14">
        <f>(P99 - AVERAGE(Stl_Range))/STDEV(Stl_Range)</f>
        <v>-0.54531873349265758</v>
      </c>
      <c r="AA99" s="14">
        <f>(Q99 - AVERAGE(Blk_Range))/STDEV(Blk_Range)</f>
        <v>0.84917872240434955</v>
      </c>
      <c r="AB99" s="14">
        <f>(R99 - AVERAGE(Tov_Range))/STDEV(Tov_Range)*-1</f>
        <v>0.29352790409826945</v>
      </c>
      <c r="AC99" s="14">
        <f>SUM(T99:AB99)</f>
        <v>0.58164658289710225</v>
      </c>
      <c r="AD99" s="14">
        <v>0.58164658289711646</v>
      </c>
      <c r="AE99" s="14">
        <f>AD99-AC99</f>
        <v>1.4210854715202004E-14</v>
      </c>
      <c r="AF99"/>
      <c r="AG99"/>
      <c r="AH99"/>
      <c r="AI99"/>
      <c r="AJ99"/>
      <c r="AK99"/>
      <c r="AL99"/>
      <c r="AM99"/>
      <c r="AN99"/>
      <c r="AO99"/>
      <c r="AP99"/>
      <c r="AQ99"/>
    </row>
    <row r="100" spans="1:43" x14ac:dyDescent="0.55000000000000004">
      <c r="A100">
        <v>99</v>
      </c>
      <c r="B100" s="7">
        <f t="shared" si="2"/>
        <v>99</v>
      </c>
      <c r="C100" s="7">
        <f t="shared" si="3"/>
        <v>0</v>
      </c>
      <c r="D100" t="s">
        <v>445</v>
      </c>
      <c r="E100" t="s">
        <v>46</v>
      </c>
      <c r="F100" t="s">
        <v>70</v>
      </c>
      <c r="G100">
        <v>10</v>
      </c>
      <c r="H100">
        <v>33</v>
      </c>
      <c r="I100">
        <v>17.3</v>
      </c>
      <c r="J100">
        <v>0.41599999999999998</v>
      </c>
      <c r="K100">
        <v>1.7</v>
      </c>
      <c r="L100">
        <v>9.9</v>
      </c>
      <c r="M100">
        <v>0.879</v>
      </c>
      <c r="N100">
        <v>3.9</v>
      </c>
      <c r="O100">
        <v>8.5</v>
      </c>
      <c r="P100">
        <v>0.5</v>
      </c>
      <c r="Q100">
        <v>0.1</v>
      </c>
      <c r="R100">
        <v>4.3</v>
      </c>
      <c r="S100">
        <v>24.8</v>
      </c>
      <c r="T100" s="14">
        <f>(J100 - AVERAGE(FG_Range))*I100</f>
        <v>-0.74022052238806058</v>
      </c>
      <c r="U100" s="14">
        <f>(M100 - AVERAGE(FT_RANGE))*L100</f>
        <v>1.1470825095056987</v>
      </c>
      <c r="V100" s="14">
        <f>(K100 - AVERAGE(Three_Range))/STDEV(Three_Range)</f>
        <v>0.230777561305371</v>
      </c>
      <c r="W100" s="14">
        <f>(S100 - AVERAGE(Pts_Range))/STDEV(Pts_Range)</f>
        <v>1.9277412193537804</v>
      </c>
      <c r="X100" s="14">
        <f>(N100 - AVERAGE(Reb_Range))/STDEV(Reb_Range)</f>
        <v>-0.35906919253297459</v>
      </c>
      <c r="Y100" s="14">
        <f>(O100 - AVERAGE(Ast_Range))/STDEV(Ast_Range)</f>
        <v>2.7723621987791263</v>
      </c>
      <c r="Z100" s="14">
        <f>(P100 - AVERAGE(Stl_Range))/STDEV(Stl_Range)</f>
        <v>-0.75960820647804206</v>
      </c>
      <c r="AA100" s="14">
        <f>(Q100 - AVERAGE(Blk_Range))/STDEV(Blk_Range)</f>
        <v>-0.81064224877821867</v>
      </c>
      <c r="AB100" s="14">
        <f>(R100 - AVERAGE(Tov_Range))/STDEV(Tov_Range)*-1</f>
        <v>-2.848901322200116</v>
      </c>
      <c r="AC100" s="14">
        <f>SUM(T100:AB100)</f>
        <v>0.55952199656656409</v>
      </c>
      <c r="AD100" s="14">
        <v>0.55952199656655122</v>
      </c>
      <c r="AE100" s="14">
        <f>AD100-AC100</f>
        <v>-1.2878587085651816E-14</v>
      </c>
      <c r="AF100"/>
      <c r="AG100"/>
      <c r="AH100"/>
      <c r="AI100"/>
      <c r="AJ100"/>
      <c r="AK100"/>
      <c r="AL100"/>
      <c r="AM100"/>
      <c r="AN100"/>
      <c r="AO100"/>
      <c r="AP100"/>
      <c r="AQ100"/>
    </row>
    <row r="101" spans="1:43" x14ac:dyDescent="0.55000000000000004">
      <c r="A101">
        <v>100</v>
      </c>
      <c r="B101" s="7">
        <f t="shared" si="2"/>
        <v>100</v>
      </c>
      <c r="C101" s="7">
        <f t="shared" si="3"/>
        <v>0</v>
      </c>
      <c r="D101" t="s">
        <v>178</v>
      </c>
      <c r="E101" t="s">
        <v>25</v>
      </c>
      <c r="F101" t="s">
        <v>36</v>
      </c>
      <c r="G101">
        <v>7</v>
      </c>
      <c r="H101">
        <v>25.6</v>
      </c>
      <c r="I101">
        <v>10.9</v>
      </c>
      <c r="J101">
        <v>0.434</v>
      </c>
      <c r="K101">
        <v>2.2999999999999998</v>
      </c>
      <c r="L101">
        <v>2.9</v>
      </c>
      <c r="M101">
        <v>0.9</v>
      </c>
      <c r="N101">
        <v>2.1</v>
      </c>
      <c r="O101">
        <v>1.6</v>
      </c>
      <c r="P101">
        <v>1</v>
      </c>
      <c r="Q101">
        <v>0.9</v>
      </c>
      <c r="R101">
        <v>1.6</v>
      </c>
      <c r="S101">
        <v>14.3</v>
      </c>
      <c r="T101" s="14">
        <f>(J101 - AVERAGE(FG_Range))*I101</f>
        <v>-0.27018171641791083</v>
      </c>
      <c r="U101" s="14">
        <f>(M101 - AVERAGE(FT_RANGE))*L101</f>
        <v>0.39691406844106325</v>
      </c>
      <c r="V101" s="14">
        <f>(K101 - AVERAGE(Three_Range))/STDEV(Three_Range)</f>
        <v>0.84720666193500305</v>
      </c>
      <c r="W101" s="14">
        <f>(S101 - AVERAGE(Pts_Range))/STDEV(Pts_Range)</f>
        <v>0.24781065317077469</v>
      </c>
      <c r="X101" s="14">
        <f>(N101 - AVERAGE(Reb_Range))/STDEV(Reb_Range)</f>
        <v>-1.0603444090427221</v>
      </c>
      <c r="Y101" s="14">
        <f>(O101 - AVERAGE(Ast_Range))/STDEV(Ast_Range)</f>
        <v>-0.58827508603395795</v>
      </c>
      <c r="Z101" s="14">
        <f>(P101 - AVERAGE(Stl_Range))/STDEV(Stl_Range)</f>
        <v>0.31183915844888088</v>
      </c>
      <c r="AA101" s="14">
        <f>(Q101 - AVERAGE(Blk_Range))/STDEV(Blk_Range)</f>
        <v>0.6647541700507309</v>
      </c>
      <c r="AB101" s="14">
        <f>(R101 - AVERAGE(Tov_Range))/STDEV(Tov_Range)*-1</f>
        <v>-2.0715018531569193E-2</v>
      </c>
      <c r="AC101" s="14">
        <f>SUM(T101:AB101)</f>
        <v>0.5290084820202926</v>
      </c>
      <c r="AD101" s="14">
        <v>0.52900848202028949</v>
      </c>
      <c r="AE101" s="14">
        <f>AD101-AC101</f>
        <v>-3.1086244689504383E-15</v>
      </c>
      <c r="AF101"/>
      <c r="AG101"/>
      <c r="AH101"/>
      <c r="AI101"/>
      <c r="AJ101"/>
      <c r="AK101"/>
      <c r="AL101"/>
      <c r="AM101"/>
      <c r="AN101"/>
      <c r="AO101"/>
      <c r="AP101"/>
      <c r="AQ101"/>
    </row>
    <row r="102" spans="1:43" x14ac:dyDescent="0.55000000000000004">
      <c r="A102">
        <v>101</v>
      </c>
      <c r="B102" s="7">
        <f t="shared" si="2"/>
        <v>101</v>
      </c>
      <c r="C102" s="7">
        <f t="shared" si="3"/>
        <v>0</v>
      </c>
      <c r="D102" t="s">
        <v>58</v>
      </c>
      <c r="E102" t="s">
        <v>34</v>
      </c>
      <c r="F102" t="s">
        <v>59</v>
      </c>
      <c r="G102">
        <v>11</v>
      </c>
      <c r="H102">
        <v>28.9</v>
      </c>
      <c r="I102">
        <v>10.5</v>
      </c>
      <c r="J102">
        <v>0.42199999999999999</v>
      </c>
      <c r="K102">
        <v>1.5</v>
      </c>
      <c r="L102">
        <v>1.9</v>
      </c>
      <c r="M102">
        <v>0.66700000000000004</v>
      </c>
      <c r="N102">
        <v>4.3</v>
      </c>
      <c r="O102">
        <v>2.8</v>
      </c>
      <c r="P102">
        <v>1.2</v>
      </c>
      <c r="Q102">
        <v>0.6</v>
      </c>
      <c r="R102">
        <v>1</v>
      </c>
      <c r="S102">
        <v>11.6</v>
      </c>
      <c r="T102" s="14">
        <f>(J102 - AVERAGE(FG_Range))*I102</f>
        <v>-0.38626679104477657</v>
      </c>
      <c r="U102" s="14">
        <f>(M102 - AVERAGE(FT_RANGE))*L102</f>
        <v>-0.18265285171102746</v>
      </c>
      <c r="V102" s="14">
        <f>(K102 - AVERAGE(Three_Range))/STDEV(Three_Range)</f>
        <v>2.5301194428826994E-2</v>
      </c>
      <c r="W102" s="14">
        <f>(S102 - AVERAGE(Pts_Range))/STDEV(Pts_Range)</f>
        <v>-0.18417149241914127</v>
      </c>
      <c r="X102" s="14">
        <f>(N102 - AVERAGE(Reb_Range))/STDEV(Reb_Range)</f>
        <v>-0.20323025553080853</v>
      </c>
      <c r="Y102" s="14">
        <f>(O102 - AVERAGE(Ast_Range))/STDEV(Ast_Range)</f>
        <v>-3.8164278055955883E-3</v>
      </c>
      <c r="Z102" s="14">
        <f>(P102 - AVERAGE(Stl_Range))/STDEV(Stl_Range)</f>
        <v>0.74041810441964995</v>
      </c>
      <c r="AA102" s="14">
        <f>(Q102 - AVERAGE(Blk_Range))/STDEV(Blk_Range)</f>
        <v>0.11148051298987478</v>
      </c>
      <c r="AB102" s="14">
        <f>(R102 - AVERAGE(Tov_Range))/STDEV(Tov_Range)*-1</f>
        <v>0.60777082672810812</v>
      </c>
      <c r="AC102" s="14">
        <f>SUM(T102:AB102)</f>
        <v>0.52483282005511045</v>
      </c>
      <c r="AD102" s="14">
        <v>0.52483282005511556</v>
      </c>
      <c r="AE102" s="14">
        <f>AD102-AC102</f>
        <v>5.1070259132757201E-15</v>
      </c>
      <c r="AF102"/>
      <c r="AG102"/>
      <c r="AH102"/>
      <c r="AI102"/>
      <c r="AJ102"/>
      <c r="AK102"/>
      <c r="AL102"/>
      <c r="AM102"/>
      <c r="AN102"/>
      <c r="AO102"/>
      <c r="AP102"/>
      <c r="AQ102"/>
    </row>
    <row r="103" spans="1:43" x14ac:dyDescent="0.55000000000000004">
      <c r="A103">
        <v>102</v>
      </c>
      <c r="B103" s="7">
        <f t="shared" si="2"/>
        <v>102</v>
      </c>
      <c r="C103" s="7">
        <f t="shared" si="3"/>
        <v>0</v>
      </c>
      <c r="D103" t="s">
        <v>310</v>
      </c>
      <c r="E103" t="s">
        <v>46</v>
      </c>
      <c r="F103" t="s">
        <v>23</v>
      </c>
      <c r="G103">
        <v>11</v>
      </c>
      <c r="H103">
        <v>25.5</v>
      </c>
      <c r="I103">
        <v>11</v>
      </c>
      <c r="J103">
        <v>0.47899999999999998</v>
      </c>
      <c r="K103">
        <v>3.2</v>
      </c>
      <c r="L103">
        <v>1.5</v>
      </c>
      <c r="M103">
        <v>0.94099999999999995</v>
      </c>
      <c r="N103">
        <v>1.5</v>
      </c>
      <c r="O103">
        <v>3.3</v>
      </c>
      <c r="P103">
        <v>0.3</v>
      </c>
      <c r="Q103">
        <v>0.1</v>
      </c>
      <c r="R103">
        <v>0.7</v>
      </c>
      <c r="S103">
        <v>15.2</v>
      </c>
      <c r="T103" s="14">
        <f>(J103 - AVERAGE(FG_Range))*I103</f>
        <v>0.22233955223880542</v>
      </c>
      <c r="U103" s="14">
        <f>(M103 - AVERAGE(FT_RANGE))*L103</f>
        <v>0.26680038022813607</v>
      </c>
      <c r="V103" s="14">
        <f>(K103 - AVERAGE(Three_Range))/STDEV(Three_Range)</f>
        <v>1.7718503128794516</v>
      </c>
      <c r="W103" s="14">
        <f>(S103 - AVERAGE(Pts_Range))/STDEV(Pts_Range)</f>
        <v>0.39180470170074638</v>
      </c>
      <c r="X103" s="14">
        <f>(N103 - AVERAGE(Reb_Range))/STDEV(Reb_Range)</f>
        <v>-1.2941028145459712</v>
      </c>
      <c r="Y103" s="14">
        <f>(O103 - AVERAGE(Ast_Range))/STDEV(Ast_Range)</f>
        <v>0.23970801312288878</v>
      </c>
      <c r="Z103" s="14">
        <f>(P103 - AVERAGE(Stl_Range))/STDEV(Stl_Range)</f>
        <v>-1.1881871524488112</v>
      </c>
      <c r="AA103" s="14">
        <f>(Q103 - AVERAGE(Blk_Range))/STDEV(Blk_Range)</f>
        <v>-0.81064224877821867</v>
      </c>
      <c r="AB103" s="14">
        <f>(R103 - AVERAGE(Tov_Range))/STDEV(Tov_Range)*-1</f>
        <v>0.92201374935794678</v>
      </c>
      <c r="AC103" s="14">
        <f>SUM(T103:AB103)</f>
        <v>0.52158449375497395</v>
      </c>
      <c r="AD103" s="14">
        <v>0.52158449375496396</v>
      </c>
      <c r="AE103" s="14">
        <f>AD103-AC103</f>
        <v>-9.9920072216264089E-15</v>
      </c>
      <c r="AF103"/>
      <c r="AG103"/>
      <c r="AH103"/>
      <c r="AI103"/>
      <c r="AJ103"/>
      <c r="AK103"/>
      <c r="AL103"/>
      <c r="AM103"/>
      <c r="AN103"/>
      <c r="AO103"/>
      <c r="AP103"/>
      <c r="AQ103"/>
    </row>
    <row r="104" spans="1:43" x14ac:dyDescent="0.55000000000000004">
      <c r="A104">
        <v>103</v>
      </c>
      <c r="B104" s="7">
        <f t="shared" si="2"/>
        <v>103</v>
      </c>
      <c r="C104" s="7">
        <f t="shared" si="3"/>
        <v>0</v>
      </c>
      <c r="D104" t="s">
        <v>160</v>
      </c>
      <c r="E104" t="s">
        <v>46</v>
      </c>
      <c r="F104" t="s">
        <v>49</v>
      </c>
      <c r="G104">
        <v>11</v>
      </c>
      <c r="H104">
        <v>30.1</v>
      </c>
      <c r="I104">
        <v>14.6</v>
      </c>
      <c r="J104">
        <v>0.441</v>
      </c>
      <c r="K104">
        <v>1</v>
      </c>
      <c r="L104">
        <v>6.2</v>
      </c>
      <c r="M104">
        <v>0.70599999999999996</v>
      </c>
      <c r="N104">
        <v>2.7</v>
      </c>
      <c r="O104">
        <v>5.4</v>
      </c>
      <c r="P104">
        <v>1.5</v>
      </c>
      <c r="Q104">
        <v>0.8</v>
      </c>
      <c r="R104">
        <v>3.1</v>
      </c>
      <c r="S104">
        <v>18.3</v>
      </c>
      <c r="T104" s="14">
        <f>(J104 - AVERAGE(FG_Range))*I104</f>
        <v>-0.25969477611940339</v>
      </c>
      <c r="U104" s="14">
        <f>(M104 - AVERAGE(FT_RANGE))*L104</f>
        <v>-0.35422509505703753</v>
      </c>
      <c r="V104" s="14">
        <f>(K104 - AVERAGE(Three_Range))/STDEV(Three_Range)</f>
        <v>-0.48838972276253317</v>
      </c>
      <c r="W104" s="14">
        <f>(S104 - AVERAGE(Pts_Range))/STDEV(Pts_Range)</f>
        <v>0.88778420219287213</v>
      </c>
      <c r="X104" s="14">
        <f>(N104 - AVERAGE(Reb_Range))/STDEV(Reb_Range)</f>
        <v>-0.82658600353947276</v>
      </c>
      <c r="Y104" s="14">
        <f>(O104 - AVERAGE(Ast_Range))/STDEV(Ast_Range)</f>
        <v>1.2625106650225233</v>
      </c>
      <c r="Z104" s="14">
        <f>(P104 - AVERAGE(Stl_Range))/STDEV(Stl_Range)</f>
        <v>1.3832865233758038</v>
      </c>
      <c r="AA104" s="14">
        <f>(Q104 - AVERAGE(Blk_Range))/STDEV(Blk_Range)</f>
        <v>0.4803296176971123</v>
      </c>
      <c r="AB104" s="14">
        <f>(R104 - AVERAGE(Tov_Range))/STDEV(Tov_Range)*-1</f>
        <v>-1.5919296316807623</v>
      </c>
      <c r="AC104" s="14">
        <f>SUM(T104:AB104)</f>
        <v>0.49308577912910234</v>
      </c>
      <c r="AD104" s="14">
        <v>0.49308577912910212</v>
      </c>
      <c r="AE104" s="14">
        <f>AD104-AC104</f>
        <v>0</v>
      </c>
      <c r="AF104"/>
      <c r="AG104"/>
      <c r="AH104"/>
      <c r="AI104"/>
      <c r="AJ104"/>
      <c r="AK104"/>
      <c r="AL104"/>
      <c r="AM104"/>
      <c r="AN104"/>
      <c r="AO104"/>
      <c r="AP104"/>
      <c r="AQ104"/>
    </row>
    <row r="105" spans="1:43" x14ac:dyDescent="0.55000000000000004">
      <c r="A105">
        <v>104</v>
      </c>
      <c r="B105" s="7">
        <f t="shared" si="2"/>
        <v>104</v>
      </c>
      <c r="C105" s="7">
        <f t="shared" si="3"/>
        <v>0</v>
      </c>
      <c r="D105" t="s">
        <v>261</v>
      </c>
      <c r="E105" t="s">
        <v>25</v>
      </c>
      <c r="F105" t="s">
        <v>28</v>
      </c>
      <c r="G105">
        <v>5</v>
      </c>
      <c r="H105">
        <v>19.600000000000001</v>
      </c>
      <c r="I105">
        <v>4.5999999999999996</v>
      </c>
      <c r="J105">
        <v>0.435</v>
      </c>
      <c r="K105">
        <v>0.6</v>
      </c>
      <c r="L105">
        <v>1.2</v>
      </c>
      <c r="M105">
        <v>1</v>
      </c>
      <c r="N105">
        <v>4.5999999999999996</v>
      </c>
      <c r="O105">
        <v>2.8</v>
      </c>
      <c r="P105">
        <v>1.4</v>
      </c>
      <c r="Q105">
        <v>0.4</v>
      </c>
      <c r="R105">
        <v>0.2</v>
      </c>
      <c r="S105">
        <v>5.8</v>
      </c>
      <c r="T105" s="14">
        <f>(J105 - AVERAGE(FG_Range))*I105</f>
        <v>-0.10942164179104492</v>
      </c>
      <c r="U105" s="14">
        <f>(M105 - AVERAGE(FT_RANGE))*L105</f>
        <v>0.2842403041825089</v>
      </c>
      <c r="V105" s="14">
        <f>(K105 - AVERAGE(Three_Range))/STDEV(Three_Range)</f>
        <v>-0.89934245651562128</v>
      </c>
      <c r="W105" s="14">
        <f>(S105 - AVERAGE(Pts_Range))/STDEV(Pts_Range)</f>
        <v>-1.1121331385011826</v>
      </c>
      <c r="X105" s="14">
        <f>(N105 - AVERAGE(Reb_Range))/STDEV(Reb_Range)</f>
        <v>-8.635105277918402E-2</v>
      </c>
      <c r="Y105" s="14">
        <f>(O105 - AVERAGE(Ast_Range))/STDEV(Ast_Range)</f>
        <v>-3.8164278055955883E-3</v>
      </c>
      <c r="Z105" s="14">
        <f>(P105 - AVERAGE(Stl_Range))/STDEV(Stl_Range)</f>
        <v>1.168997050390419</v>
      </c>
      <c r="AA105" s="14">
        <f>(Q105 - AVERAGE(Blk_Range))/STDEV(Blk_Range)</f>
        <v>-0.25736859171736254</v>
      </c>
      <c r="AB105" s="14">
        <f>(R105 - AVERAGE(Tov_Range))/STDEV(Tov_Range)*-1</f>
        <v>1.4457519537410113</v>
      </c>
      <c r="AC105" s="14">
        <f>SUM(T105:AB105)</f>
        <v>0.43055599920394827</v>
      </c>
      <c r="AD105" s="14">
        <v>0.43055599920396204</v>
      </c>
      <c r="AE105" s="14">
        <f>AD105-AC105</f>
        <v>1.3766765505351941E-14</v>
      </c>
      <c r="AF105"/>
      <c r="AG105"/>
      <c r="AH105"/>
      <c r="AI105"/>
      <c r="AJ105"/>
      <c r="AK105"/>
      <c r="AL105"/>
      <c r="AM105"/>
      <c r="AN105"/>
      <c r="AO105"/>
      <c r="AP105"/>
      <c r="AQ105"/>
    </row>
    <row r="106" spans="1:43" x14ac:dyDescent="0.55000000000000004">
      <c r="A106">
        <v>105</v>
      </c>
      <c r="B106" s="7">
        <f t="shared" si="2"/>
        <v>105</v>
      </c>
      <c r="C106" s="7">
        <f t="shared" si="3"/>
        <v>0</v>
      </c>
      <c r="D106" t="s">
        <v>336</v>
      </c>
      <c r="E106" t="s">
        <v>34</v>
      </c>
      <c r="F106" t="s">
        <v>79</v>
      </c>
      <c r="G106">
        <v>11</v>
      </c>
      <c r="H106">
        <v>31.6</v>
      </c>
      <c r="I106">
        <v>5.2</v>
      </c>
      <c r="J106">
        <v>0.49099999999999999</v>
      </c>
      <c r="K106">
        <v>1.9</v>
      </c>
      <c r="L106">
        <v>0.5</v>
      </c>
      <c r="M106">
        <v>0.5</v>
      </c>
      <c r="N106">
        <v>7.5</v>
      </c>
      <c r="O106">
        <v>2.1</v>
      </c>
      <c r="P106">
        <v>0.8</v>
      </c>
      <c r="Q106">
        <v>0.4</v>
      </c>
      <c r="R106">
        <v>1.1000000000000001</v>
      </c>
      <c r="S106">
        <v>7.3</v>
      </c>
      <c r="T106" s="14">
        <f>(J106 - AVERAGE(FG_Range))*I106</f>
        <v>0.16750597014925353</v>
      </c>
      <c r="U106" s="14">
        <f>(M106 - AVERAGE(FT_RANGE))*L106</f>
        <v>-0.13156653992395462</v>
      </c>
      <c r="V106" s="14">
        <f>(K106 - AVERAGE(Three_Range))/STDEV(Three_Range)</f>
        <v>0.436253928181915</v>
      </c>
      <c r="W106" s="14">
        <f>(S106 - AVERAGE(Pts_Range))/STDEV(Pts_Range)</f>
        <v>-0.87214305761789601</v>
      </c>
      <c r="X106" s="14">
        <f>(N106 - AVERAGE(Reb_Range))/STDEV(Reb_Range)</f>
        <v>1.0434812404865204</v>
      </c>
      <c r="Y106" s="14">
        <f>(O106 - AVERAGE(Ast_Range))/STDEV(Ast_Range)</f>
        <v>-0.3447506451054736</v>
      </c>
      <c r="Z106" s="14">
        <f>(P106 - AVERAGE(Stl_Range))/STDEV(Stl_Range)</f>
        <v>-0.11673978752188821</v>
      </c>
      <c r="AA106" s="14">
        <f>(Q106 - AVERAGE(Blk_Range))/STDEV(Blk_Range)</f>
        <v>-0.25736859171736254</v>
      </c>
      <c r="AB106" s="14">
        <f>(R106 - AVERAGE(Tov_Range))/STDEV(Tov_Range)*-1</f>
        <v>0.50302318585149519</v>
      </c>
      <c r="AC106" s="14">
        <f>SUM(T106:AB106)</f>
        <v>0.42769570278260904</v>
      </c>
      <c r="AD106" s="14">
        <v>0.42769570278261365</v>
      </c>
      <c r="AE106" s="14">
        <f>AD106-AC106</f>
        <v>4.6074255521943996E-15</v>
      </c>
      <c r="AF106"/>
      <c r="AG106"/>
      <c r="AH106"/>
      <c r="AI106"/>
      <c r="AJ106"/>
      <c r="AK106"/>
      <c r="AL106"/>
      <c r="AM106"/>
      <c r="AN106"/>
      <c r="AO106"/>
      <c r="AP106"/>
      <c r="AQ106"/>
    </row>
    <row r="107" spans="1:43" x14ac:dyDescent="0.55000000000000004">
      <c r="A107">
        <v>106</v>
      </c>
      <c r="B107" s="7">
        <f t="shared" si="2"/>
        <v>106</v>
      </c>
      <c r="C107" s="7">
        <f t="shared" si="3"/>
        <v>0</v>
      </c>
      <c r="D107" t="s">
        <v>439</v>
      </c>
      <c r="E107" t="s">
        <v>15</v>
      </c>
      <c r="F107" t="s">
        <v>26</v>
      </c>
      <c r="G107">
        <v>9</v>
      </c>
      <c r="H107">
        <v>31.8</v>
      </c>
      <c r="I107">
        <v>15.6</v>
      </c>
      <c r="J107">
        <v>0.55700000000000005</v>
      </c>
      <c r="K107">
        <v>0</v>
      </c>
      <c r="L107">
        <v>7.3</v>
      </c>
      <c r="M107">
        <v>0.621</v>
      </c>
      <c r="N107">
        <v>8.1</v>
      </c>
      <c r="O107">
        <v>1.3</v>
      </c>
      <c r="P107">
        <v>1.3</v>
      </c>
      <c r="Q107">
        <v>0.4</v>
      </c>
      <c r="R107">
        <v>2.8</v>
      </c>
      <c r="S107">
        <v>21.9</v>
      </c>
      <c r="T107" s="14">
        <f>(J107 - AVERAGE(FG_Range))*I107</f>
        <v>1.5321179104477614</v>
      </c>
      <c r="U107" s="14">
        <f>(M107 - AVERAGE(FT_RANGE))*L107</f>
        <v>-1.0375714828897373</v>
      </c>
      <c r="V107" s="14">
        <f>(K107 - AVERAGE(Three_Range))/STDEV(Three_Range)</f>
        <v>-1.5157715571452535</v>
      </c>
      <c r="W107" s="14">
        <f>(S107 - AVERAGE(Pts_Range))/STDEV(Pts_Range)</f>
        <v>1.4637603963127594</v>
      </c>
      <c r="X107" s="14">
        <f>(N107 - AVERAGE(Reb_Range))/STDEV(Reb_Range)</f>
        <v>1.2772396459897695</v>
      </c>
      <c r="Y107" s="14">
        <f>(O107 - AVERAGE(Ast_Range))/STDEV(Ast_Range)</f>
        <v>-0.73438975059104861</v>
      </c>
      <c r="Z107" s="14">
        <f>(P107 - AVERAGE(Stl_Range))/STDEV(Stl_Range)</f>
        <v>0.95470757740503476</v>
      </c>
      <c r="AA107" s="14">
        <f>(Q107 - AVERAGE(Blk_Range))/STDEV(Blk_Range)</f>
        <v>-0.25736859171736254</v>
      </c>
      <c r="AB107" s="14">
        <f>(R107 - AVERAGE(Tov_Range))/STDEV(Tov_Range)*-1</f>
        <v>-1.2776867090509234</v>
      </c>
      <c r="AC107" s="14">
        <f>SUM(T107:AB107)</f>
        <v>0.40503743876099985</v>
      </c>
      <c r="AD107" s="14">
        <v>0.40503743876100984</v>
      </c>
      <c r="AE107" s="14">
        <f>AD107-AC107</f>
        <v>9.9920072216264089E-15</v>
      </c>
      <c r="AF107"/>
      <c r="AG107"/>
      <c r="AH107"/>
      <c r="AI107"/>
      <c r="AJ107"/>
      <c r="AK107"/>
      <c r="AL107"/>
      <c r="AM107"/>
      <c r="AN107"/>
      <c r="AO107"/>
      <c r="AP107"/>
      <c r="AQ107"/>
    </row>
    <row r="108" spans="1:43" x14ac:dyDescent="0.55000000000000004">
      <c r="A108">
        <v>107</v>
      </c>
      <c r="B108" s="7">
        <f t="shared" si="2"/>
        <v>107</v>
      </c>
      <c r="C108" s="7">
        <f t="shared" si="3"/>
        <v>0</v>
      </c>
      <c r="D108" t="s">
        <v>377</v>
      </c>
      <c r="E108" t="s">
        <v>25</v>
      </c>
      <c r="F108" t="s">
        <v>33</v>
      </c>
      <c r="G108">
        <v>10</v>
      </c>
      <c r="H108">
        <v>27.3</v>
      </c>
      <c r="I108">
        <v>12.6</v>
      </c>
      <c r="J108">
        <v>0.44400000000000001</v>
      </c>
      <c r="K108">
        <v>2.2000000000000002</v>
      </c>
      <c r="L108">
        <v>3.4</v>
      </c>
      <c r="M108">
        <v>0.91200000000000003</v>
      </c>
      <c r="N108">
        <v>2.4</v>
      </c>
      <c r="O108">
        <v>1.5</v>
      </c>
      <c r="P108">
        <v>1.4</v>
      </c>
      <c r="Q108">
        <v>0.2</v>
      </c>
      <c r="R108">
        <v>1.8</v>
      </c>
      <c r="S108">
        <v>16.5</v>
      </c>
      <c r="T108" s="14">
        <f>(J108 - AVERAGE(FG_Range))*I108</f>
        <v>-0.18632014925373167</v>
      </c>
      <c r="U108" s="14">
        <f>(M108 - AVERAGE(FT_RANGE))*L108</f>
        <v>0.50614752851710865</v>
      </c>
      <c r="V108" s="14">
        <f>(K108 - AVERAGE(Three_Range))/STDEV(Three_Range)</f>
        <v>0.74446847849673137</v>
      </c>
      <c r="W108" s="14">
        <f>(S108 - AVERAGE(Pts_Range))/STDEV(Pts_Range)</f>
        <v>0.59979610513292814</v>
      </c>
      <c r="X108" s="14">
        <f>(N108 - AVERAGE(Reb_Range))/STDEV(Reb_Range)</f>
        <v>-0.94346520629109754</v>
      </c>
      <c r="Y108" s="14">
        <f>(O108 - AVERAGE(Ast_Range))/STDEV(Ast_Range)</f>
        <v>-0.63697997421965491</v>
      </c>
      <c r="Z108" s="14">
        <f>(P108 - AVERAGE(Stl_Range))/STDEV(Stl_Range)</f>
        <v>1.168997050390419</v>
      </c>
      <c r="AA108" s="14">
        <f>(Q108 - AVERAGE(Blk_Range))/STDEV(Blk_Range)</f>
        <v>-0.6262176964245999</v>
      </c>
      <c r="AB108" s="14">
        <f>(R108 - AVERAGE(Tov_Range))/STDEV(Tov_Range)*-1</f>
        <v>-0.23021030028479489</v>
      </c>
      <c r="AC108" s="14">
        <f>SUM(T108:AB108)</f>
        <v>0.39621583606330818</v>
      </c>
      <c r="AD108" s="14">
        <v>0.39621583606330946</v>
      </c>
      <c r="AE108" s="14">
        <f>AD108-AC108</f>
        <v>1.27675647831893E-15</v>
      </c>
      <c r="AF108"/>
      <c r="AG108"/>
      <c r="AH108"/>
      <c r="AI108"/>
      <c r="AJ108"/>
      <c r="AK108"/>
      <c r="AL108"/>
      <c r="AM108"/>
      <c r="AN108"/>
      <c r="AO108"/>
      <c r="AP108"/>
      <c r="AQ108"/>
    </row>
    <row r="109" spans="1:43" x14ac:dyDescent="0.55000000000000004">
      <c r="A109">
        <v>108</v>
      </c>
      <c r="B109" s="7">
        <f t="shared" si="2"/>
        <v>108</v>
      </c>
      <c r="C109" s="7">
        <f t="shared" si="3"/>
        <v>0</v>
      </c>
      <c r="D109" t="s">
        <v>224</v>
      </c>
      <c r="E109" t="s">
        <v>25</v>
      </c>
      <c r="F109" t="s">
        <v>70</v>
      </c>
      <c r="G109">
        <v>10</v>
      </c>
      <c r="H109">
        <v>27.2</v>
      </c>
      <c r="I109">
        <v>10.4</v>
      </c>
      <c r="J109">
        <v>0.42299999999999999</v>
      </c>
      <c r="K109">
        <v>2.2999999999999998</v>
      </c>
      <c r="L109">
        <v>0.8</v>
      </c>
      <c r="M109">
        <v>0.875</v>
      </c>
      <c r="N109">
        <v>3.6</v>
      </c>
      <c r="O109">
        <v>3.3</v>
      </c>
      <c r="P109">
        <v>1.1000000000000001</v>
      </c>
      <c r="Q109">
        <v>0.1</v>
      </c>
      <c r="R109">
        <v>1.1000000000000001</v>
      </c>
      <c r="S109">
        <v>11.8</v>
      </c>
      <c r="T109" s="14">
        <f>(J109 - AVERAGE(FG_Range))*I109</f>
        <v>-0.37218805970149299</v>
      </c>
      <c r="U109" s="14">
        <f>(M109 - AVERAGE(FT_RANGE))*L109</f>
        <v>8.9493536121672615E-2</v>
      </c>
      <c r="V109" s="14">
        <f>(K109 - AVERAGE(Three_Range))/STDEV(Three_Range)</f>
        <v>0.84720666193500305</v>
      </c>
      <c r="W109" s="14">
        <f>(S109 - AVERAGE(Pts_Range))/STDEV(Pts_Range)</f>
        <v>-0.15217281496803622</v>
      </c>
      <c r="X109" s="14">
        <f>(N109 - AVERAGE(Reb_Range))/STDEV(Reb_Range)</f>
        <v>-0.47594839528459909</v>
      </c>
      <c r="Y109" s="14">
        <f>(O109 - AVERAGE(Ast_Range))/STDEV(Ast_Range)</f>
        <v>0.23970801312288878</v>
      </c>
      <c r="Z109" s="14">
        <f>(P109 - AVERAGE(Stl_Range))/STDEV(Stl_Range)</f>
        <v>0.52612863143426558</v>
      </c>
      <c r="AA109" s="14">
        <f>(Q109 - AVERAGE(Blk_Range))/STDEV(Blk_Range)</f>
        <v>-0.81064224877821867</v>
      </c>
      <c r="AB109" s="14">
        <f>(R109 - AVERAGE(Tov_Range))/STDEV(Tov_Range)*-1</f>
        <v>0.50302318585149519</v>
      </c>
      <c r="AC109" s="14">
        <f>SUM(T109:AB109)</f>
        <v>0.39460850973297823</v>
      </c>
      <c r="AD109" s="14">
        <v>0.39460850973297912</v>
      </c>
      <c r="AE109" s="14">
        <f>AD109-AC109</f>
        <v>8.8817841970012523E-16</v>
      </c>
      <c r="AF109"/>
      <c r="AG109"/>
      <c r="AH109"/>
      <c r="AI109"/>
      <c r="AJ109"/>
      <c r="AK109"/>
      <c r="AL109"/>
      <c r="AM109"/>
      <c r="AN109"/>
      <c r="AO109"/>
      <c r="AP109"/>
      <c r="AQ109"/>
    </row>
    <row r="110" spans="1:43" x14ac:dyDescent="0.55000000000000004">
      <c r="A110">
        <v>109</v>
      </c>
      <c r="B110" s="7">
        <f t="shared" si="2"/>
        <v>109</v>
      </c>
      <c r="C110" s="7">
        <f t="shared" si="3"/>
        <v>0</v>
      </c>
      <c r="D110" t="s">
        <v>360</v>
      </c>
      <c r="E110" t="s">
        <v>34</v>
      </c>
      <c r="F110" t="s">
        <v>47</v>
      </c>
      <c r="G110">
        <v>10</v>
      </c>
      <c r="H110">
        <v>23.5</v>
      </c>
      <c r="I110">
        <v>9.6</v>
      </c>
      <c r="J110">
        <v>0.438</v>
      </c>
      <c r="K110">
        <v>2</v>
      </c>
      <c r="L110">
        <v>2.7</v>
      </c>
      <c r="M110">
        <v>0.88900000000000001</v>
      </c>
      <c r="N110">
        <v>6.3</v>
      </c>
      <c r="O110">
        <v>2</v>
      </c>
      <c r="P110">
        <v>0.8</v>
      </c>
      <c r="Q110">
        <v>0</v>
      </c>
      <c r="R110">
        <v>1</v>
      </c>
      <c r="S110">
        <v>12.8</v>
      </c>
      <c r="T110" s="14">
        <f>(J110 - AVERAGE(FG_Range))*I110</f>
        <v>-0.19955820895522416</v>
      </c>
      <c r="U110" s="14">
        <f>(M110 - AVERAGE(FT_RANGE))*L110</f>
        <v>0.33984068441064513</v>
      </c>
      <c r="V110" s="14">
        <f>(K110 - AVERAGE(Three_Range))/STDEV(Three_Range)</f>
        <v>0.53899211162018712</v>
      </c>
      <c r="W110" s="14">
        <f>(S110 - AVERAGE(Pts_Range))/STDEV(Pts_Range)</f>
        <v>7.8205722874881475E-3</v>
      </c>
      <c r="X110" s="14">
        <f>(N110 - AVERAGE(Reb_Range))/STDEV(Reb_Range)</f>
        <v>0.57596442948002202</v>
      </c>
      <c r="Y110" s="14">
        <f>(O110 - AVERAGE(Ast_Range))/STDEV(Ast_Range)</f>
        <v>-0.3934555332911705</v>
      </c>
      <c r="Z110" s="14">
        <f>(P110 - AVERAGE(Stl_Range))/STDEV(Stl_Range)</f>
        <v>-0.11673978752188821</v>
      </c>
      <c r="AA110" s="14">
        <f>(Q110 - AVERAGE(Blk_Range))/STDEV(Blk_Range)</f>
        <v>-0.99506680113183732</v>
      </c>
      <c r="AB110" s="14">
        <f>(R110 - AVERAGE(Tov_Range))/STDEV(Tov_Range)*-1</f>
        <v>0.60777082672810812</v>
      </c>
      <c r="AC110" s="14">
        <f>SUM(T110:AB110)</f>
        <v>0.36556829362633037</v>
      </c>
      <c r="AD110" s="14">
        <v>0.36556829362633325</v>
      </c>
      <c r="AE110" s="14">
        <f>AD110-AC110</f>
        <v>2.886579864025407E-15</v>
      </c>
      <c r="AF110"/>
      <c r="AG110"/>
      <c r="AH110"/>
      <c r="AI110"/>
      <c r="AJ110"/>
      <c r="AK110"/>
      <c r="AL110"/>
      <c r="AM110"/>
      <c r="AN110"/>
      <c r="AO110"/>
      <c r="AP110"/>
      <c r="AQ110"/>
    </row>
    <row r="111" spans="1:43" x14ac:dyDescent="0.55000000000000004">
      <c r="A111">
        <v>110</v>
      </c>
      <c r="B111" s="7">
        <f t="shared" si="2"/>
        <v>110</v>
      </c>
      <c r="C111" s="7">
        <f t="shared" si="3"/>
        <v>0</v>
      </c>
      <c r="D111" t="s">
        <v>249</v>
      </c>
      <c r="E111" t="s">
        <v>46</v>
      </c>
      <c r="F111" t="s">
        <v>28</v>
      </c>
      <c r="G111">
        <v>10</v>
      </c>
      <c r="H111">
        <v>26.9</v>
      </c>
      <c r="I111">
        <v>8.4</v>
      </c>
      <c r="J111">
        <v>0.42899999999999999</v>
      </c>
      <c r="K111">
        <v>0.6</v>
      </c>
      <c r="L111">
        <v>0.7</v>
      </c>
      <c r="M111">
        <v>0.71399999999999997</v>
      </c>
      <c r="N111">
        <v>2.8</v>
      </c>
      <c r="O111">
        <v>5.6</v>
      </c>
      <c r="P111">
        <v>1.6</v>
      </c>
      <c r="Q111">
        <v>0.3</v>
      </c>
      <c r="R111">
        <v>1.1000000000000001</v>
      </c>
      <c r="S111">
        <v>8.3000000000000007</v>
      </c>
      <c r="T111" s="14">
        <f>(J111 - AVERAGE(FG_Range))*I111</f>
        <v>-0.25021343283582126</v>
      </c>
      <c r="U111" s="14">
        <f>(M111 - AVERAGE(FT_RANGE))*L111</f>
        <v>-3.4393155893536483E-2</v>
      </c>
      <c r="V111" s="14">
        <f>(K111 - AVERAGE(Three_Range))/STDEV(Three_Range)</f>
        <v>-0.89934245651562128</v>
      </c>
      <c r="W111" s="14">
        <f>(S111 - AVERAGE(Pts_Range))/STDEV(Pts_Range)</f>
        <v>-0.71214967036237153</v>
      </c>
      <c r="X111" s="14">
        <f>(N111 - AVERAGE(Reb_Range))/STDEV(Reb_Range)</f>
        <v>-0.78762626928893142</v>
      </c>
      <c r="Y111" s="14">
        <f>(O111 - AVERAGE(Ast_Range))/STDEV(Ast_Range)</f>
        <v>1.3599204413939168</v>
      </c>
      <c r="Z111" s="14">
        <f>(P111 - AVERAGE(Stl_Range))/STDEV(Stl_Range)</f>
        <v>1.5975759963611886</v>
      </c>
      <c r="AA111" s="14">
        <f>(Q111 - AVERAGE(Blk_Range))/STDEV(Blk_Range)</f>
        <v>-0.4417931440709813</v>
      </c>
      <c r="AB111" s="14">
        <f>(R111 - AVERAGE(Tov_Range))/STDEV(Tov_Range)*-1</f>
        <v>0.50302318585149519</v>
      </c>
      <c r="AC111" s="14">
        <f>SUM(T111:AB111)</f>
        <v>0.33500149463933721</v>
      </c>
      <c r="AD111" s="14">
        <v>0.33500149463934747</v>
      </c>
      <c r="AE111" s="14">
        <f>AD111-AC111</f>
        <v>1.0269562977782698E-14</v>
      </c>
      <c r="AF111"/>
      <c r="AG111"/>
      <c r="AH111"/>
      <c r="AI111"/>
      <c r="AJ111"/>
      <c r="AK111"/>
      <c r="AL111"/>
      <c r="AM111"/>
      <c r="AN111"/>
      <c r="AO111"/>
      <c r="AP111"/>
      <c r="AQ111"/>
    </row>
    <row r="112" spans="1:43" x14ac:dyDescent="0.55000000000000004">
      <c r="A112">
        <v>111</v>
      </c>
      <c r="B112" s="7">
        <f t="shared" si="2"/>
        <v>111</v>
      </c>
      <c r="C112" s="7">
        <f t="shared" si="3"/>
        <v>0</v>
      </c>
      <c r="D112" t="s">
        <v>127</v>
      </c>
      <c r="E112" t="s">
        <v>15</v>
      </c>
      <c r="F112" t="s">
        <v>43</v>
      </c>
      <c r="G112">
        <v>10</v>
      </c>
      <c r="H112">
        <v>30.8</v>
      </c>
      <c r="I112">
        <v>6.2</v>
      </c>
      <c r="J112">
        <v>0.35499999999999998</v>
      </c>
      <c r="K112">
        <v>1.5</v>
      </c>
      <c r="L112">
        <v>0.8</v>
      </c>
      <c r="M112">
        <v>0.875</v>
      </c>
      <c r="N112">
        <v>6</v>
      </c>
      <c r="O112">
        <v>1.9</v>
      </c>
      <c r="P112">
        <v>1.5</v>
      </c>
      <c r="Q112">
        <v>0.5</v>
      </c>
      <c r="R112">
        <v>1.1000000000000001</v>
      </c>
      <c r="S112">
        <v>6.6</v>
      </c>
      <c r="T112" s="14">
        <f>(J112 - AVERAGE(FG_Range))*I112</f>
        <v>-0.64348134328358242</v>
      </c>
      <c r="U112" s="14">
        <f>(M112 - AVERAGE(FT_RANGE))*L112</f>
        <v>8.9493536121672615E-2</v>
      </c>
      <c r="V112" s="14">
        <f>(K112 - AVERAGE(Three_Range))/STDEV(Three_Range)</f>
        <v>2.5301194428826994E-2</v>
      </c>
      <c r="W112" s="14">
        <f>(S112 - AVERAGE(Pts_Range))/STDEV(Pts_Range)</f>
        <v>-0.98413842869676305</v>
      </c>
      <c r="X112" s="14">
        <f>(N112 - AVERAGE(Reb_Range))/STDEV(Reb_Range)</f>
        <v>0.45908522672839747</v>
      </c>
      <c r="Y112" s="14">
        <f>(O112 - AVERAGE(Ast_Range))/STDEV(Ast_Range)</f>
        <v>-0.4421604214768674</v>
      </c>
      <c r="Z112" s="14">
        <f>(P112 - AVERAGE(Stl_Range))/STDEV(Stl_Range)</f>
        <v>1.3832865233758038</v>
      </c>
      <c r="AA112" s="14">
        <f>(Q112 - AVERAGE(Blk_Range))/STDEV(Blk_Range)</f>
        <v>-7.2944039363743871E-2</v>
      </c>
      <c r="AB112" s="14">
        <f>(R112 - AVERAGE(Tov_Range))/STDEV(Tov_Range)*-1</f>
        <v>0.50302318585149519</v>
      </c>
      <c r="AC112" s="14">
        <f>SUM(T112:AB112)</f>
        <v>0.31746543368523933</v>
      </c>
      <c r="AD112" s="14">
        <v>0.31746543368524915</v>
      </c>
      <c r="AE112" s="14">
        <f>AD112-AC112</f>
        <v>9.8254737679326354E-15</v>
      </c>
      <c r="AF112"/>
      <c r="AG112"/>
      <c r="AH112"/>
      <c r="AI112"/>
      <c r="AJ112"/>
      <c r="AK112"/>
      <c r="AL112"/>
      <c r="AM112"/>
      <c r="AN112"/>
      <c r="AO112"/>
      <c r="AP112"/>
      <c r="AQ112"/>
    </row>
    <row r="113" spans="1:43" x14ac:dyDescent="0.55000000000000004">
      <c r="A113">
        <v>112</v>
      </c>
      <c r="B113" s="7">
        <f t="shared" si="2"/>
        <v>112</v>
      </c>
      <c r="C113" s="7">
        <f t="shared" si="3"/>
        <v>0</v>
      </c>
      <c r="D113" t="s">
        <v>107</v>
      </c>
      <c r="E113" t="s">
        <v>25</v>
      </c>
      <c r="F113" t="s">
        <v>40</v>
      </c>
      <c r="G113">
        <v>8</v>
      </c>
      <c r="H113">
        <v>23.1</v>
      </c>
      <c r="I113">
        <v>6.8</v>
      </c>
      <c r="J113">
        <v>0.51900000000000002</v>
      </c>
      <c r="K113">
        <v>1.9</v>
      </c>
      <c r="L113">
        <v>1.4</v>
      </c>
      <c r="M113">
        <v>0.90900000000000003</v>
      </c>
      <c r="N113">
        <v>2</v>
      </c>
      <c r="O113">
        <v>1.5</v>
      </c>
      <c r="P113">
        <v>1.3</v>
      </c>
      <c r="Q113">
        <v>0.4</v>
      </c>
      <c r="R113">
        <v>0.9</v>
      </c>
      <c r="S113">
        <v>10.1</v>
      </c>
      <c r="T113" s="14">
        <f>(J113 - AVERAGE(FG_Range))*I113</f>
        <v>0.40944626865671629</v>
      </c>
      <c r="U113" s="14">
        <f>(M113 - AVERAGE(FT_RANGE))*L113</f>
        <v>0.2042136882129271</v>
      </c>
      <c r="V113" s="14">
        <f>(K113 - AVERAGE(Three_Range))/STDEV(Three_Range)</f>
        <v>0.436253928181915</v>
      </c>
      <c r="W113" s="14">
        <f>(S113 - AVERAGE(Pts_Range))/STDEV(Pts_Range)</f>
        <v>-0.42416157330242782</v>
      </c>
      <c r="X113" s="14">
        <f>(N113 - AVERAGE(Reb_Range))/STDEV(Reb_Range)</f>
        <v>-1.0993041432932635</v>
      </c>
      <c r="Y113" s="14">
        <f>(O113 - AVERAGE(Ast_Range))/STDEV(Ast_Range)</f>
        <v>-0.63697997421965491</v>
      </c>
      <c r="Z113" s="14">
        <f>(P113 - AVERAGE(Stl_Range))/STDEV(Stl_Range)</f>
        <v>0.95470757740503476</v>
      </c>
      <c r="AA113" s="14">
        <f>(Q113 - AVERAGE(Blk_Range))/STDEV(Blk_Range)</f>
        <v>-0.25736859171736254</v>
      </c>
      <c r="AB113" s="14">
        <f>(R113 - AVERAGE(Tov_Range))/STDEV(Tov_Range)*-1</f>
        <v>0.71251846760472104</v>
      </c>
      <c r="AC113" s="14">
        <f>SUM(T113:AB113)</f>
        <v>0.29932564752860541</v>
      </c>
      <c r="AD113" s="14">
        <v>0.29932564752860957</v>
      </c>
      <c r="AE113" s="14">
        <f>AD113-AC113</f>
        <v>4.163336342344337E-15</v>
      </c>
      <c r="AF113"/>
      <c r="AG113"/>
      <c r="AH113"/>
      <c r="AI113"/>
      <c r="AJ113"/>
      <c r="AK113"/>
      <c r="AL113"/>
      <c r="AM113"/>
      <c r="AN113"/>
      <c r="AO113"/>
      <c r="AP113"/>
      <c r="AQ113"/>
    </row>
    <row r="114" spans="1:43" x14ac:dyDescent="0.55000000000000004">
      <c r="A114">
        <v>113</v>
      </c>
      <c r="B114" s="7">
        <f t="shared" si="2"/>
        <v>113</v>
      </c>
      <c r="C114" s="7">
        <f t="shared" si="3"/>
        <v>0</v>
      </c>
      <c r="D114" t="s">
        <v>243</v>
      </c>
      <c r="E114" t="s">
        <v>15</v>
      </c>
      <c r="F114" t="s">
        <v>52</v>
      </c>
      <c r="G114">
        <v>11</v>
      </c>
      <c r="H114">
        <v>23.2</v>
      </c>
      <c r="I114">
        <v>9.3000000000000007</v>
      </c>
      <c r="J114">
        <v>0.47099999999999997</v>
      </c>
      <c r="K114">
        <v>2.5</v>
      </c>
      <c r="L114">
        <v>1.3</v>
      </c>
      <c r="M114">
        <v>0.85699999999999998</v>
      </c>
      <c r="N114">
        <v>3.2</v>
      </c>
      <c r="O114">
        <v>1.5</v>
      </c>
      <c r="P114">
        <v>0.5</v>
      </c>
      <c r="Q114">
        <v>0.5</v>
      </c>
      <c r="R114">
        <v>0.5</v>
      </c>
      <c r="S114">
        <v>12.4</v>
      </c>
      <c r="T114" s="14">
        <f>(J114 - AVERAGE(FG_Range))*I114</f>
        <v>0.11357798507462634</v>
      </c>
      <c r="U114" s="14">
        <f>(M114 - AVERAGE(FT_RANGE))*L114</f>
        <v>0.12202699619771798</v>
      </c>
      <c r="V114" s="14">
        <f>(K114 - AVERAGE(Three_Range))/STDEV(Three_Range)</f>
        <v>1.0526830288115472</v>
      </c>
      <c r="W114" s="14">
        <f>(S114 - AVERAGE(Pts_Range))/STDEV(Pts_Range)</f>
        <v>-5.617678261472165E-2</v>
      </c>
      <c r="X114" s="14">
        <f>(N114 - AVERAGE(Reb_Range))/STDEV(Reb_Range)</f>
        <v>-0.6317873322867652</v>
      </c>
      <c r="Y114" s="14">
        <f>(O114 - AVERAGE(Ast_Range))/STDEV(Ast_Range)</f>
        <v>-0.63697997421965491</v>
      </c>
      <c r="Z114" s="14">
        <f>(P114 - AVERAGE(Stl_Range))/STDEV(Stl_Range)</f>
        <v>-0.75960820647804206</v>
      </c>
      <c r="AA114" s="14">
        <f>(Q114 - AVERAGE(Blk_Range))/STDEV(Blk_Range)</f>
        <v>-7.2944039363743871E-2</v>
      </c>
      <c r="AB114" s="14">
        <f>(R114 - AVERAGE(Tov_Range))/STDEV(Tov_Range)*-1</f>
        <v>1.1315090311111724</v>
      </c>
      <c r="AC114" s="14">
        <f>SUM(T114:AB114)</f>
        <v>0.2623007062321363</v>
      </c>
      <c r="AD114" s="14">
        <v>0.26230070623213375</v>
      </c>
      <c r="AE114" s="14">
        <f>AD114-AC114</f>
        <v>-2.55351295663786E-15</v>
      </c>
      <c r="AF114"/>
      <c r="AG114"/>
      <c r="AH114"/>
      <c r="AI114"/>
      <c r="AJ114"/>
      <c r="AK114"/>
      <c r="AL114"/>
      <c r="AM114"/>
      <c r="AN114"/>
      <c r="AO114"/>
      <c r="AP114"/>
      <c r="AQ114"/>
    </row>
    <row r="115" spans="1:43" x14ac:dyDescent="0.55000000000000004">
      <c r="A115">
        <v>114</v>
      </c>
      <c r="B115" s="7">
        <f t="shared" si="2"/>
        <v>114</v>
      </c>
      <c r="C115" s="7">
        <f t="shared" si="3"/>
        <v>0</v>
      </c>
      <c r="D115" t="s">
        <v>371</v>
      </c>
      <c r="E115" t="s">
        <v>34</v>
      </c>
      <c r="F115" t="s">
        <v>21</v>
      </c>
      <c r="G115">
        <v>9</v>
      </c>
      <c r="H115">
        <v>32</v>
      </c>
      <c r="I115">
        <v>9.6</v>
      </c>
      <c r="J115">
        <v>0.40699999999999997</v>
      </c>
      <c r="K115">
        <v>3.4</v>
      </c>
      <c r="L115">
        <v>2.1</v>
      </c>
      <c r="M115">
        <v>0.78900000000000003</v>
      </c>
      <c r="N115">
        <v>4.2</v>
      </c>
      <c r="O115">
        <v>1.4</v>
      </c>
      <c r="P115">
        <v>0.8</v>
      </c>
      <c r="Q115">
        <v>0.3</v>
      </c>
      <c r="R115">
        <v>1.4</v>
      </c>
      <c r="S115">
        <v>12.9</v>
      </c>
      <c r="T115" s="14">
        <f>(J115 - AVERAGE(FG_Range))*I115</f>
        <v>-0.49715820895522445</v>
      </c>
      <c r="U115" s="14">
        <f>(M115 - AVERAGE(FT_RANGE))*L115</f>
        <v>5.4320532319390685E-2</v>
      </c>
      <c r="V115" s="14">
        <f>(K115 - AVERAGE(Three_Range))/STDEV(Three_Range)</f>
        <v>1.9773266797559954</v>
      </c>
      <c r="W115" s="14">
        <f>(S115 - AVERAGE(Pts_Range))/STDEV(Pts_Range)</f>
        <v>2.3819911013040526E-2</v>
      </c>
      <c r="X115" s="14">
        <f>(N115 - AVERAGE(Reb_Range))/STDEV(Reb_Range)</f>
        <v>-0.24218998978134992</v>
      </c>
      <c r="Y115" s="14">
        <f>(O115 - AVERAGE(Ast_Range))/STDEV(Ast_Range)</f>
        <v>-0.68568486240535176</v>
      </c>
      <c r="Z115" s="14">
        <f>(P115 - AVERAGE(Stl_Range))/STDEV(Stl_Range)</f>
        <v>-0.11673978752188821</v>
      </c>
      <c r="AA115" s="14">
        <f>(Q115 - AVERAGE(Blk_Range))/STDEV(Blk_Range)</f>
        <v>-0.4417931440709813</v>
      </c>
      <c r="AB115" s="14">
        <f>(R115 - AVERAGE(Tov_Range))/STDEV(Tov_Range)*-1</f>
        <v>0.18878026322165675</v>
      </c>
      <c r="AC115" s="14">
        <f>SUM(T115:AB115)</f>
        <v>0.2606813935752878</v>
      </c>
      <c r="AD115" s="14">
        <v>0.26068139357528214</v>
      </c>
      <c r="AE115" s="14">
        <f>AD115-AC115</f>
        <v>-5.6621374255882984E-15</v>
      </c>
      <c r="AF115"/>
      <c r="AG115"/>
      <c r="AH115"/>
      <c r="AI115"/>
      <c r="AJ115"/>
      <c r="AK115"/>
      <c r="AL115"/>
      <c r="AM115"/>
      <c r="AN115"/>
      <c r="AO115"/>
      <c r="AP115"/>
      <c r="AQ115"/>
    </row>
    <row r="116" spans="1:43" x14ac:dyDescent="0.55000000000000004">
      <c r="A116">
        <v>115</v>
      </c>
      <c r="B116" s="7">
        <f t="shared" si="2"/>
        <v>115</v>
      </c>
      <c r="C116" s="7">
        <f t="shared" si="3"/>
        <v>0</v>
      </c>
      <c r="D116" t="s">
        <v>211</v>
      </c>
      <c r="E116" t="s">
        <v>46</v>
      </c>
      <c r="F116" t="s">
        <v>19</v>
      </c>
      <c r="G116">
        <v>9</v>
      </c>
      <c r="H116">
        <v>26</v>
      </c>
      <c r="I116">
        <v>8.3000000000000007</v>
      </c>
      <c r="J116">
        <v>0.50700000000000001</v>
      </c>
      <c r="K116">
        <v>1.7</v>
      </c>
      <c r="L116">
        <v>2</v>
      </c>
      <c r="M116">
        <v>0.88900000000000001</v>
      </c>
      <c r="N116">
        <v>2.2000000000000002</v>
      </c>
      <c r="O116">
        <v>3.7</v>
      </c>
      <c r="P116">
        <v>0.9</v>
      </c>
      <c r="Q116">
        <v>0.2</v>
      </c>
      <c r="R116">
        <v>1</v>
      </c>
      <c r="S116">
        <v>11.9</v>
      </c>
      <c r="T116" s="14">
        <f>(J116 - AVERAGE(FG_Range))*I116</f>
        <v>0.40016529850746252</v>
      </c>
      <c r="U116" s="14">
        <f>(M116 - AVERAGE(FT_RANGE))*L116</f>
        <v>0.25173384030418156</v>
      </c>
      <c r="V116" s="14">
        <f>(K116 - AVERAGE(Three_Range))/STDEV(Three_Range)</f>
        <v>0.230777561305371</v>
      </c>
      <c r="W116" s="14">
        <f>(S116 - AVERAGE(Pts_Range))/STDEV(Pts_Range)</f>
        <v>-0.13617347624248383</v>
      </c>
      <c r="X116" s="14">
        <f>(N116 - AVERAGE(Reb_Range))/STDEV(Reb_Range)</f>
        <v>-1.0213846747921804</v>
      </c>
      <c r="Y116" s="14">
        <f>(O116 - AVERAGE(Ast_Range))/STDEV(Ast_Range)</f>
        <v>0.43452756586567642</v>
      </c>
      <c r="Z116" s="14">
        <f>(P116 - AVERAGE(Stl_Range))/STDEV(Stl_Range)</f>
        <v>9.7549685463496322E-2</v>
      </c>
      <c r="AA116" s="14">
        <f>(Q116 - AVERAGE(Blk_Range))/STDEV(Blk_Range)</f>
        <v>-0.6262176964245999</v>
      </c>
      <c r="AB116" s="14">
        <f>(R116 - AVERAGE(Tov_Range))/STDEV(Tov_Range)*-1</f>
        <v>0.60777082672810812</v>
      </c>
      <c r="AC116" s="14">
        <f>SUM(T116:AB116)</f>
        <v>0.23874893071503178</v>
      </c>
      <c r="AD116" s="14">
        <v>0.23874893071503267</v>
      </c>
      <c r="AE116" s="14">
        <f>AD116-AC116</f>
        <v>8.8817841970012523E-16</v>
      </c>
      <c r="AF116"/>
      <c r="AG116"/>
      <c r="AH116"/>
      <c r="AI116"/>
      <c r="AJ116"/>
      <c r="AK116"/>
      <c r="AL116"/>
      <c r="AM116"/>
      <c r="AN116"/>
      <c r="AO116"/>
      <c r="AP116"/>
      <c r="AQ116"/>
    </row>
    <row r="117" spans="1:43" x14ac:dyDescent="0.55000000000000004">
      <c r="A117">
        <v>116</v>
      </c>
      <c r="B117" s="7">
        <f t="shared" si="2"/>
        <v>116</v>
      </c>
      <c r="C117" s="7">
        <f t="shared" si="3"/>
        <v>0</v>
      </c>
      <c r="D117" t="s">
        <v>227</v>
      </c>
      <c r="E117" t="s">
        <v>18</v>
      </c>
      <c r="F117" t="s">
        <v>72</v>
      </c>
      <c r="G117">
        <v>11</v>
      </c>
      <c r="H117">
        <v>25.5</v>
      </c>
      <c r="I117">
        <v>10</v>
      </c>
      <c r="J117">
        <v>0.5</v>
      </c>
      <c r="K117">
        <v>1.1000000000000001</v>
      </c>
      <c r="L117">
        <v>1.5</v>
      </c>
      <c r="M117">
        <v>0.76500000000000001</v>
      </c>
      <c r="N117">
        <v>6.8</v>
      </c>
      <c r="O117">
        <v>1.5</v>
      </c>
      <c r="P117">
        <v>0.3</v>
      </c>
      <c r="Q117">
        <v>1.1000000000000001</v>
      </c>
      <c r="R117">
        <v>1.3</v>
      </c>
      <c r="S117">
        <v>12.3</v>
      </c>
      <c r="T117" s="14">
        <f>(J117 - AVERAGE(FG_Range))*I117</f>
        <v>0.41212686567164147</v>
      </c>
      <c r="U117" s="14">
        <f>(M117 - AVERAGE(FT_RANGE))*L117</f>
        <v>2.8003802281361678E-3</v>
      </c>
      <c r="V117" s="14">
        <f>(K117 - AVERAGE(Three_Range))/STDEV(Three_Range)</f>
        <v>-0.38565153932426105</v>
      </c>
      <c r="W117" s="14">
        <f>(S117 - AVERAGE(Pts_Range))/STDEV(Pts_Range)</f>
        <v>-7.2176121340274027E-2</v>
      </c>
      <c r="X117" s="14">
        <f>(N117 - AVERAGE(Reb_Range))/STDEV(Reb_Range)</f>
        <v>0.77076310073272958</v>
      </c>
      <c r="Y117" s="14">
        <f>(O117 - AVERAGE(Ast_Range))/STDEV(Ast_Range)</f>
        <v>-0.63697997421965491</v>
      </c>
      <c r="Z117" s="14">
        <f>(P117 - AVERAGE(Stl_Range))/STDEV(Stl_Range)</f>
        <v>-1.1881871524488112</v>
      </c>
      <c r="AA117" s="14">
        <f>(Q117 - AVERAGE(Blk_Range))/STDEV(Blk_Range)</f>
        <v>1.0336032747579684</v>
      </c>
      <c r="AB117" s="14">
        <f>(R117 - AVERAGE(Tov_Range))/STDEV(Tov_Range)*-1</f>
        <v>0.29352790409826945</v>
      </c>
      <c r="AC117" s="14">
        <f>SUM(T117:AB117)</f>
        <v>0.22982673815574373</v>
      </c>
      <c r="AD117" s="14">
        <v>0.22982673815574545</v>
      </c>
      <c r="AE117" s="14">
        <f>AD117-AC117</f>
        <v>1.7208456881689926E-15</v>
      </c>
      <c r="AF117"/>
      <c r="AG117"/>
      <c r="AH117"/>
      <c r="AI117"/>
      <c r="AJ117"/>
      <c r="AK117"/>
      <c r="AL117"/>
      <c r="AM117"/>
      <c r="AN117"/>
      <c r="AO117"/>
      <c r="AP117"/>
      <c r="AQ117"/>
    </row>
    <row r="118" spans="1:43" x14ac:dyDescent="0.55000000000000004">
      <c r="A118">
        <v>117</v>
      </c>
      <c r="B118" s="7">
        <f t="shared" si="2"/>
        <v>117</v>
      </c>
      <c r="C118" s="7">
        <f t="shared" si="3"/>
        <v>0</v>
      </c>
      <c r="D118" t="s">
        <v>220</v>
      </c>
      <c r="E118" t="s">
        <v>18</v>
      </c>
      <c r="F118" t="s">
        <v>19</v>
      </c>
      <c r="G118">
        <v>9</v>
      </c>
      <c r="H118">
        <v>27.1</v>
      </c>
      <c r="I118">
        <v>10.9</v>
      </c>
      <c r="J118">
        <v>0.41799999999999998</v>
      </c>
      <c r="K118">
        <v>1.8</v>
      </c>
      <c r="L118">
        <v>0.4</v>
      </c>
      <c r="M118">
        <v>0.5</v>
      </c>
      <c r="N118">
        <v>7.1</v>
      </c>
      <c r="O118">
        <v>2.4</v>
      </c>
      <c r="P118">
        <v>0.3</v>
      </c>
      <c r="Q118">
        <v>0.8</v>
      </c>
      <c r="R118">
        <v>0.9</v>
      </c>
      <c r="S118">
        <v>11.1</v>
      </c>
      <c r="T118" s="14">
        <f>(J118 - AVERAGE(FG_Range))*I118</f>
        <v>-0.444581716417911</v>
      </c>
      <c r="U118" s="14">
        <f>(M118 - AVERAGE(FT_RANGE))*L118</f>
        <v>-0.10525323193916369</v>
      </c>
      <c r="V118" s="14">
        <f>(K118 - AVERAGE(Three_Range))/STDEV(Three_Range)</f>
        <v>0.33351574474364315</v>
      </c>
      <c r="W118" s="14">
        <f>(S118 - AVERAGE(Pts_Range))/STDEV(Pts_Range)</f>
        <v>-0.26416818604690345</v>
      </c>
      <c r="X118" s="14">
        <f>(N118 - AVERAGE(Reb_Range))/STDEV(Reb_Range)</f>
        <v>0.88764230348435413</v>
      </c>
      <c r="Y118" s="14">
        <f>(O118 - AVERAGE(Ast_Range))/STDEV(Ast_Range)</f>
        <v>-0.19863598054838305</v>
      </c>
      <c r="Z118" s="14">
        <f>(P118 - AVERAGE(Stl_Range))/STDEV(Stl_Range)</f>
        <v>-1.1881871524488112</v>
      </c>
      <c r="AA118" s="14">
        <f>(Q118 - AVERAGE(Blk_Range))/STDEV(Blk_Range)</f>
        <v>0.4803296176971123</v>
      </c>
      <c r="AB118" s="14">
        <f>(R118 - AVERAGE(Tov_Range))/STDEV(Tov_Range)*-1</f>
        <v>0.71251846760472104</v>
      </c>
      <c r="AC118" s="14">
        <f>SUM(T118:AB118)</f>
        <v>0.21317986612865819</v>
      </c>
      <c r="AD118" s="14">
        <v>0.21317986612865808</v>
      </c>
      <c r="AE118" s="14">
        <f>AD118-AC118</f>
        <v>0</v>
      </c>
      <c r="AF118"/>
      <c r="AG118"/>
      <c r="AH118"/>
      <c r="AI118"/>
      <c r="AJ118"/>
      <c r="AK118"/>
      <c r="AL118"/>
      <c r="AM118"/>
      <c r="AN118"/>
      <c r="AO118"/>
      <c r="AP118"/>
      <c r="AQ118"/>
    </row>
    <row r="119" spans="1:43" x14ac:dyDescent="0.55000000000000004">
      <c r="A119">
        <v>118</v>
      </c>
      <c r="B119" s="7">
        <f t="shared" si="2"/>
        <v>118</v>
      </c>
      <c r="C119" s="7">
        <f t="shared" si="3"/>
        <v>0</v>
      </c>
      <c r="D119" t="s">
        <v>170</v>
      </c>
      <c r="E119" t="s">
        <v>15</v>
      </c>
      <c r="F119" t="s">
        <v>23</v>
      </c>
      <c r="G119">
        <v>11</v>
      </c>
      <c r="H119">
        <v>23.1</v>
      </c>
      <c r="I119">
        <v>10.7</v>
      </c>
      <c r="J119">
        <v>0.432</v>
      </c>
      <c r="K119">
        <v>1.7</v>
      </c>
      <c r="L119">
        <v>1</v>
      </c>
      <c r="M119">
        <v>0.72699999999999998</v>
      </c>
      <c r="N119">
        <v>5.2</v>
      </c>
      <c r="O119">
        <v>1.5</v>
      </c>
      <c r="P119">
        <v>0.7</v>
      </c>
      <c r="Q119">
        <v>0.9</v>
      </c>
      <c r="R119">
        <v>1</v>
      </c>
      <c r="S119">
        <v>11.7</v>
      </c>
      <c r="T119" s="14">
        <f>(J119 - AVERAGE(FG_Range))*I119</f>
        <v>-0.28662425373134365</v>
      </c>
      <c r="U119" s="14">
        <f>(M119 - AVERAGE(FT_RANGE))*L119</f>
        <v>-3.6133079847909255E-2</v>
      </c>
      <c r="V119" s="14">
        <f>(K119 - AVERAGE(Three_Range))/STDEV(Three_Range)</f>
        <v>0.230777561305371</v>
      </c>
      <c r="W119" s="14">
        <f>(S119 - AVERAGE(Pts_Range))/STDEV(Pts_Range)</f>
        <v>-0.16817215369358887</v>
      </c>
      <c r="X119" s="14">
        <f>(N119 - AVERAGE(Reb_Range))/STDEV(Reb_Range)</f>
        <v>0.14740735272406535</v>
      </c>
      <c r="Y119" s="14">
        <f>(O119 - AVERAGE(Ast_Range))/STDEV(Ast_Range)</f>
        <v>-0.63697997421965491</v>
      </c>
      <c r="Z119" s="14">
        <f>(P119 - AVERAGE(Stl_Range))/STDEV(Stl_Range)</f>
        <v>-0.33102926050727299</v>
      </c>
      <c r="AA119" s="14">
        <f>(Q119 - AVERAGE(Blk_Range))/STDEV(Blk_Range)</f>
        <v>0.6647541700507309</v>
      </c>
      <c r="AB119" s="14">
        <f>(R119 - AVERAGE(Tov_Range))/STDEV(Tov_Range)*-1</f>
        <v>0.60777082672810812</v>
      </c>
      <c r="AC119" s="14">
        <f>SUM(T119:AB119)</f>
        <v>0.19177118880850563</v>
      </c>
      <c r="AD119" s="14">
        <v>0.19177118880850741</v>
      </c>
      <c r="AE119" s="14">
        <f>AD119-AC119</f>
        <v>1.7763568394002505E-15</v>
      </c>
      <c r="AF119"/>
      <c r="AG119"/>
      <c r="AH119"/>
      <c r="AI119"/>
      <c r="AJ119"/>
      <c r="AK119"/>
      <c r="AL119"/>
      <c r="AM119"/>
      <c r="AN119"/>
      <c r="AO119"/>
      <c r="AP119"/>
      <c r="AQ119"/>
    </row>
    <row r="120" spans="1:43" x14ac:dyDescent="0.55000000000000004">
      <c r="A120">
        <v>119</v>
      </c>
      <c r="B120" s="7">
        <f t="shared" si="2"/>
        <v>119</v>
      </c>
      <c r="C120" s="7">
        <f t="shared" si="3"/>
        <v>0</v>
      </c>
      <c r="D120" t="s">
        <v>459</v>
      </c>
      <c r="E120" t="s">
        <v>46</v>
      </c>
      <c r="F120" t="s">
        <v>21</v>
      </c>
      <c r="G120">
        <v>2</v>
      </c>
      <c r="H120">
        <v>26</v>
      </c>
      <c r="I120">
        <v>13</v>
      </c>
      <c r="J120">
        <v>0.42299999999999999</v>
      </c>
      <c r="K120">
        <v>3</v>
      </c>
      <c r="L120">
        <v>2</v>
      </c>
      <c r="M120">
        <v>0.75</v>
      </c>
      <c r="N120">
        <v>2</v>
      </c>
      <c r="O120">
        <v>2.5</v>
      </c>
      <c r="P120">
        <v>1</v>
      </c>
      <c r="Q120">
        <v>0</v>
      </c>
      <c r="R120">
        <v>1</v>
      </c>
      <c r="S120">
        <v>15.5</v>
      </c>
      <c r="T120" s="14">
        <f>(J120 - AVERAGE(FG_Range))*I120</f>
        <v>-0.46523507462686625</v>
      </c>
      <c r="U120" s="14">
        <f>(M120 - AVERAGE(FT_RANGE))*L120</f>
        <v>-2.626615969581847E-2</v>
      </c>
      <c r="V120" s="14">
        <f>(K120 - AVERAGE(Three_Range))/STDEV(Three_Range)</f>
        <v>1.5663739460029074</v>
      </c>
      <c r="W120" s="14">
        <f>(S120 - AVERAGE(Pts_Range))/STDEV(Pts_Range)</f>
        <v>0.43980271787740383</v>
      </c>
      <c r="X120" s="14">
        <f>(N120 - AVERAGE(Reb_Range))/STDEV(Reb_Range)</f>
        <v>-1.0993041432932635</v>
      </c>
      <c r="Y120" s="14">
        <f>(O120 - AVERAGE(Ast_Range))/STDEV(Ast_Range)</f>
        <v>-0.14993109236268612</v>
      </c>
      <c r="Z120" s="14">
        <f>(P120 - AVERAGE(Stl_Range))/STDEV(Stl_Range)</f>
        <v>0.31183915844888088</v>
      </c>
      <c r="AA120" s="14">
        <f>(Q120 - AVERAGE(Blk_Range))/STDEV(Blk_Range)</f>
        <v>-0.99506680113183732</v>
      </c>
      <c r="AB120" s="14">
        <f>(R120 - AVERAGE(Tov_Range))/STDEV(Tov_Range)*-1</f>
        <v>0.60777082672810812</v>
      </c>
      <c r="AC120" s="14">
        <f>SUM(T120:AB120)</f>
        <v>0.1899833779468284</v>
      </c>
      <c r="AD120" s="14">
        <v>0.18998337794682496</v>
      </c>
      <c r="AE120" s="14">
        <f>AD120-AC120</f>
        <v>-3.4416913763379853E-15</v>
      </c>
      <c r="AF120"/>
      <c r="AG120"/>
      <c r="AH120"/>
      <c r="AI120"/>
      <c r="AJ120"/>
      <c r="AK120"/>
      <c r="AL120"/>
      <c r="AM120"/>
      <c r="AN120"/>
      <c r="AO120"/>
      <c r="AP120"/>
      <c r="AQ120"/>
    </row>
    <row r="121" spans="1:43" x14ac:dyDescent="0.55000000000000004">
      <c r="A121">
        <v>120</v>
      </c>
      <c r="B121" s="7">
        <f t="shared" si="2"/>
        <v>120</v>
      </c>
      <c r="C121" s="7">
        <f t="shared" si="3"/>
        <v>0</v>
      </c>
      <c r="D121" t="s">
        <v>93</v>
      </c>
      <c r="E121" t="s">
        <v>15</v>
      </c>
      <c r="F121" t="s">
        <v>54</v>
      </c>
      <c r="G121">
        <v>11</v>
      </c>
      <c r="H121">
        <v>25.5</v>
      </c>
      <c r="I121">
        <v>7.6</v>
      </c>
      <c r="J121">
        <v>0.46400000000000002</v>
      </c>
      <c r="K121">
        <v>1.5</v>
      </c>
      <c r="L121">
        <v>0.8</v>
      </c>
      <c r="M121">
        <v>1</v>
      </c>
      <c r="N121">
        <v>5.6</v>
      </c>
      <c r="O121">
        <v>1.5</v>
      </c>
      <c r="P121">
        <v>0.7</v>
      </c>
      <c r="Q121">
        <v>1.2</v>
      </c>
      <c r="R121">
        <v>1.7</v>
      </c>
      <c r="S121">
        <v>9.5</v>
      </c>
      <c r="T121" s="14">
        <f>(J121 - AVERAGE(FG_Range))*I121</f>
        <v>3.9616417910447697E-2</v>
      </c>
      <c r="U121" s="14">
        <f>(M121 - AVERAGE(FT_RANGE))*L121</f>
        <v>0.18949353612167263</v>
      </c>
      <c r="V121" s="14">
        <f>(K121 - AVERAGE(Three_Range))/STDEV(Three_Range)</f>
        <v>2.5301194428826994E-2</v>
      </c>
      <c r="W121" s="14">
        <f>(S121 - AVERAGE(Pts_Range))/STDEV(Pts_Range)</f>
        <v>-0.52015760565574232</v>
      </c>
      <c r="X121" s="14">
        <f>(N121 - AVERAGE(Reb_Range))/STDEV(Reb_Range)</f>
        <v>0.30324628972623124</v>
      </c>
      <c r="Y121" s="14">
        <f>(O121 - AVERAGE(Ast_Range))/STDEV(Ast_Range)</f>
        <v>-0.63697997421965491</v>
      </c>
      <c r="Z121" s="14">
        <f>(P121 - AVERAGE(Stl_Range))/STDEV(Stl_Range)</f>
        <v>-0.33102926050727299</v>
      </c>
      <c r="AA121" s="14">
        <f>(Q121 - AVERAGE(Blk_Range))/STDEV(Blk_Range)</f>
        <v>1.218027827111587</v>
      </c>
      <c r="AB121" s="14">
        <f>(R121 - AVERAGE(Tov_Range))/STDEV(Tov_Range)*-1</f>
        <v>-0.12546265940818194</v>
      </c>
      <c r="AC121" s="14">
        <f>SUM(T121:AB121)</f>
        <v>0.16205576550791331</v>
      </c>
      <c r="AD121" s="14">
        <v>0.16205576550791456</v>
      </c>
      <c r="AE121" s="14">
        <f>AD121-AC121</f>
        <v>1.2490009027033011E-15</v>
      </c>
      <c r="AF121"/>
      <c r="AG121"/>
      <c r="AH121"/>
      <c r="AI121"/>
      <c r="AJ121"/>
      <c r="AK121"/>
      <c r="AL121"/>
      <c r="AM121"/>
      <c r="AN121"/>
      <c r="AO121"/>
      <c r="AP121"/>
      <c r="AQ121"/>
    </row>
    <row r="122" spans="1:43" x14ac:dyDescent="0.55000000000000004">
      <c r="A122">
        <v>121</v>
      </c>
      <c r="B122" s="7">
        <f t="shared" si="2"/>
        <v>121</v>
      </c>
      <c r="C122" s="7">
        <f t="shared" si="3"/>
        <v>0</v>
      </c>
      <c r="D122" t="s">
        <v>322</v>
      </c>
      <c r="E122" t="s">
        <v>46</v>
      </c>
      <c r="F122" t="s">
        <v>59</v>
      </c>
      <c r="G122">
        <v>11</v>
      </c>
      <c r="H122">
        <v>25.8</v>
      </c>
      <c r="I122">
        <v>8.1</v>
      </c>
      <c r="J122">
        <v>0.52800000000000002</v>
      </c>
      <c r="K122">
        <v>1.3</v>
      </c>
      <c r="L122">
        <v>2.2999999999999998</v>
      </c>
      <c r="M122">
        <v>0.68</v>
      </c>
      <c r="N122">
        <v>2.2000000000000002</v>
      </c>
      <c r="O122">
        <v>3.2</v>
      </c>
      <c r="P122">
        <v>0.9</v>
      </c>
      <c r="Q122">
        <v>0.3</v>
      </c>
      <c r="R122">
        <v>0.3</v>
      </c>
      <c r="S122">
        <v>11.4</v>
      </c>
      <c r="T122" s="14">
        <f>(J122 - AVERAGE(FG_Range))*I122</f>
        <v>0.56062276119402976</v>
      </c>
      <c r="U122" s="14">
        <f>(M122 - AVERAGE(FT_RANGE))*L122</f>
        <v>-0.19120608365019112</v>
      </c>
      <c r="V122" s="14">
        <f>(K122 - AVERAGE(Three_Range))/STDEV(Three_Range)</f>
        <v>-0.18017517244771702</v>
      </c>
      <c r="W122" s="14">
        <f>(S122 - AVERAGE(Pts_Range))/STDEV(Pts_Range)</f>
        <v>-0.21617016987024601</v>
      </c>
      <c r="X122" s="14">
        <f>(N122 - AVERAGE(Reb_Range))/STDEV(Reb_Range)</f>
        <v>-1.0213846747921804</v>
      </c>
      <c r="Y122" s="14">
        <f>(O122 - AVERAGE(Ast_Range))/STDEV(Ast_Range)</f>
        <v>0.19100312493719207</v>
      </c>
      <c r="Z122" s="14">
        <f>(P122 - AVERAGE(Stl_Range))/STDEV(Stl_Range)</f>
        <v>9.7549685463496322E-2</v>
      </c>
      <c r="AA122" s="14">
        <f>(Q122 - AVERAGE(Blk_Range))/STDEV(Blk_Range)</f>
        <v>-0.4417931440709813</v>
      </c>
      <c r="AB122" s="14">
        <f>(R122 - AVERAGE(Tov_Range))/STDEV(Tov_Range)*-1</f>
        <v>1.3410043128643983</v>
      </c>
      <c r="AC122" s="14">
        <f>SUM(T122:AB122)</f>
        <v>0.13945063962780058</v>
      </c>
      <c r="AD122" s="14">
        <v>0.1394506396278048</v>
      </c>
      <c r="AE122" s="14">
        <f>AD122-AC122</f>
        <v>4.2188474935755949E-15</v>
      </c>
      <c r="AF122"/>
      <c r="AG122"/>
      <c r="AH122"/>
      <c r="AI122"/>
      <c r="AJ122"/>
      <c r="AK122"/>
      <c r="AL122"/>
      <c r="AM122"/>
      <c r="AN122"/>
      <c r="AO122"/>
      <c r="AP122"/>
      <c r="AQ122"/>
    </row>
    <row r="123" spans="1:43" x14ac:dyDescent="0.55000000000000004">
      <c r="A123">
        <v>122</v>
      </c>
      <c r="B123" s="7">
        <f t="shared" si="2"/>
        <v>122</v>
      </c>
      <c r="C123" s="7">
        <f t="shared" si="3"/>
        <v>0</v>
      </c>
      <c r="D123" t="s">
        <v>187</v>
      </c>
      <c r="E123" t="s">
        <v>15</v>
      </c>
      <c r="F123" t="s">
        <v>82</v>
      </c>
      <c r="G123">
        <v>7</v>
      </c>
      <c r="H123">
        <v>32.1</v>
      </c>
      <c r="I123">
        <v>12.1</v>
      </c>
      <c r="J123">
        <v>0.376</v>
      </c>
      <c r="K123">
        <v>2.1</v>
      </c>
      <c r="L123">
        <v>3.7</v>
      </c>
      <c r="M123">
        <v>0.69199999999999995</v>
      </c>
      <c r="N123">
        <v>5.7</v>
      </c>
      <c r="O123">
        <v>4</v>
      </c>
      <c r="P123">
        <v>1</v>
      </c>
      <c r="Q123">
        <v>0</v>
      </c>
      <c r="R123">
        <v>1.3</v>
      </c>
      <c r="S123">
        <v>13.9</v>
      </c>
      <c r="T123" s="14">
        <f>(J123 - AVERAGE(FG_Range))*I123</f>
        <v>-1.0017264925373137</v>
      </c>
      <c r="U123" s="14">
        <f>(M123 - AVERAGE(FT_RANGE))*L123</f>
        <v>-0.26319239543726436</v>
      </c>
      <c r="V123" s="14">
        <f>(K123 - AVERAGE(Three_Range))/STDEV(Three_Range)</f>
        <v>0.64173029505845924</v>
      </c>
      <c r="W123" s="14">
        <f>(S123 - AVERAGE(Pts_Range))/STDEV(Pts_Range)</f>
        <v>0.18381329826856488</v>
      </c>
      <c r="X123" s="14">
        <f>(N123 - AVERAGE(Reb_Range))/STDEV(Reb_Range)</f>
        <v>0.34220602397677297</v>
      </c>
      <c r="Y123" s="14">
        <f>(O123 - AVERAGE(Ast_Range))/STDEV(Ast_Range)</f>
        <v>0.58064223042276697</v>
      </c>
      <c r="Z123" s="14">
        <f>(P123 - AVERAGE(Stl_Range))/STDEV(Stl_Range)</f>
        <v>0.31183915844888088</v>
      </c>
      <c r="AA123" s="14">
        <f>(Q123 - AVERAGE(Blk_Range))/STDEV(Blk_Range)</f>
        <v>-0.99506680113183732</v>
      </c>
      <c r="AB123" s="14">
        <f>(R123 - AVERAGE(Tov_Range))/STDEV(Tov_Range)*-1</f>
        <v>0.29352790409826945</v>
      </c>
      <c r="AC123" s="14">
        <f>SUM(T123:AB123)</f>
        <v>9.3773221167299026E-2</v>
      </c>
      <c r="AD123" s="14">
        <v>9.3773221167300302E-2</v>
      </c>
      <c r="AE123" s="14">
        <f>AD123-AC123</f>
        <v>1.27675647831893E-15</v>
      </c>
      <c r="AF123"/>
      <c r="AG123"/>
      <c r="AH123"/>
      <c r="AI123"/>
      <c r="AJ123"/>
      <c r="AK123"/>
      <c r="AL123"/>
      <c r="AM123"/>
      <c r="AN123"/>
      <c r="AO123"/>
      <c r="AP123"/>
      <c r="AQ123"/>
    </row>
    <row r="124" spans="1:43" x14ac:dyDescent="0.55000000000000004">
      <c r="A124">
        <v>123</v>
      </c>
      <c r="B124" s="7">
        <f t="shared" si="2"/>
        <v>123</v>
      </c>
      <c r="C124" s="7">
        <f t="shared" si="3"/>
        <v>0</v>
      </c>
      <c r="D124" t="s">
        <v>35</v>
      </c>
      <c r="E124" t="s">
        <v>15</v>
      </c>
      <c r="F124" t="s">
        <v>28</v>
      </c>
      <c r="G124">
        <v>10</v>
      </c>
      <c r="H124">
        <v>30.5</v>
      </c>
      <c r="I124">
        <v>11.8</v>
      </c>
      <c r="J124">
        <v>0.41499999999999998</v>
      </c>
      <c r="K124">
        <v>1.4</v>
      </c>
      <c r="L124">
        <v>2.8</v>
      </c>
      <c r="M124">
        <v>0.82099999999999995</v>
      </c>
      <c r="N124">
        <v>7.3</v>
      </c>
      <c r="O124">
        <v>4.0999999999999996</v>
      </c>
      <c r="P124">
        <v>0.4</v>
      </c>
      <c r="Q124">
        <v>0.7</v>
      </c>
      <c r="R124">
        <v>2.1</v>
      </c>
      <c r="S124">
        <v>13.5</v>
      </c>
      <c r="T124" s="14">
        <f>(J124 - AVERAGE(FG_Range))*I124</f>
        <v>-0.51669029850746329</v>
      </c>
      <c r="U124" s="14">
        <f>(M124 - AVERAGE(FT_RANGE))*L124</f>
        <v>0.16202737642585399</v>
      </c>
      <c r="V124" s="14">
        <f>(K124 - AVERAGE(Three_Range))/STDEV(Three_Range)</f>
        <v>-7.7436989009445123E-2</v>
      </c>
      <c r="W124" s="14">
        <f>(S124 - AVERAGE(Pts_Range))/STDEV(Pts_Range)</f>
        <v>0.11981594336635509</v>
      </c>
      <c r="X124" s="14">
        <f>(N124 - AVERAGE(Reb_Range))/STDEV(Reb_Range)</f>
        <v>0.96556177198543724</v>
      </c>
      <c r="Y124" s="14">
        <f>(O124 - AVERAGE(Ast_Range))/STDEV(Ast_Range)</f>
        <v>0.62934711860846371</v>
      </c>
      <c r="Z124" s="14">
        <f>(P124 - AVERAGE(Stl_Range))/STDEV(Stl_Range)</f>
        <v>-0.97389767946342665</v>
      </c>
      <c r="AA124" s="14">
        <f>(Q124 - AVERAGE(Blk_Range))/STDEV(Blk_Range)</f>
        <v>0.29590506534349342</v>
      </c>
      <c r="AB124" s="14">
        <f>(R124 - AVERAGE(Tov_Range))/STDEV(Tov_Range)*-1</f>
        <v>-0.54445322291463361</v>
      </c>
      <c r="AC124" s="14">
        <f>SUM(T124:AB124)</f>
        <v>6.0179085834634827E-2</v>
      </c>
      <c r="AD124" s="14">
        <v>6.0179085834633606E-2</v>
      </c>
      <c r="AE124" s="14">
        <f>AD124-AC124</f>
        <v>-1.2212453270876722E-15</v>
      </c>
      <c r="AF124"/>
      <c r="AG124"/>
      <c r="AH124"/>
      <c r="AI124"/>
      <c r="AJ124"/>
      <c r="AK124"/>
      <c r="AL124"/>
      <c r="AM124"/>
      <c r="AN124"/>
      <c r="AO124"/>
      <c r="AP124"/>
      <c r="AQ124"/>
    </row>
    <row r="125" spans="1:43" x14ac:dyDescent="0.55000000000000004">
      <c r="A125">
        <v>124</v>
      </c>
      <c r="B125" s="7">
        <f t="shared" si="2"/>
        <v>124</v>
      </c>
      <c r="C125" s="7">
        <f t="shared" si="3"/>
        <v>0</v>
      </c>
      <c r="D125" t="s">
        <v>182</v>
      </c>
      <c r="E125" t="s">
        <v>34</v>
      </c>
      <c r="F125" t="s">
        <v>80</v>
      </c>
      <c r="G125">
        <v>12</v>
      </c>
      <c r="H125">
        <v>28</v>
      </c>
      <c r="I125">
        <v>9</v>
      </c>
      <c r="J125">
        <v>0.36099999999999999</v>
      </c>
      <c r="K125">
        <v>2.4</v>
      </c>
      <c r="L125">
        <v>0.8</v>
      </c>
      <c r="M125">
        <v>0.7</v>
      </c>
      <c r="N125">
        <v>3.5</v>
      </c>
      <c r="O125">
        <v>2.8</v>
      </c>
      <c r="P125">
        <v>1.3</v>
      </c>
      <c r="Q125">
        <v>0.7</v>
      </c>
      <c r="R125">
        <v>1.8</v>
      </c>
      <c r="S125">
        <v>9.5</v>
      </c>
      <c r="T125" s="14">
        <f>(J125 - AVERAGE(FG_Range))*I125</f>
        <v>-0.88008582089552279</v>
      </c>
      <c r="U125" s="14">
        <f>(M125 - AVERAGE(FT_RANGE))*L125</f>
        <v>-5.0506463878327426E-2</v>
      </c>
      <c r="V125" s="14">
        <f>(K125 - AVERAGE(Three_Range))/STDEV(Three_Range)</f>
        <v>0.94994484537327517</v>
      </c>
      <c r="W125" s="14">
        <f>(S125 - AVERAGE(Pts_Range))/STDEV(Pts_Range)</f>
        <v>-0.52015760565574232</v>
      </c>
      <c r="X125" s="14">
        <f>(N125 - AVERAGE(Reb_Range))/STDEV(Reb_Range)</f>
        <v>-0.51490812953514065</v>
      </c>
      <c r="Y125" s="14">
        <f>(O125 - AVERAGE(Ast_Range))/STDEV(Ast_Range)</f>
        <v>-3.8164278055955883E-3</v>
      </c>
      <c r="Z125" s="14">
        <f>(P125 - AVERAGE(Stl_Range))/STDEV(Stl_Range)</f>
        <v>0.95470757740503476</v>
      </c>
      <c r="AA125" s="14">
        <f>(Q125 - AVERAGE(Blk_Range))/STDEV(Blk_Range)</f>
        <v>0.29590506534349342</v>
      </c>
      <c r="AB125" s="14">
        <f>(R125 - AVERAGE(Tov_Range))/STDEV(Tov_Range)*-1</f>
        <v>-0.23021030028479489</v>
      </c>
      <c r="AC125" s="14">
        <f>SUM(T125:AB125)</f>
        <v>8.7274006667958925E-4</v>
      </c>
      <c r="AD125" s="14">
        <v>8.7274006667939497E-4</v>
      </c>
      <c r="AE125" s="14">
        <f>AD125-AC125</f>
        <v>-1.9428902930940239E-16</v>
      </c>
      <c r="AF125"/>
      <c r="AG125"/>
      <c r="AH125"/>
      <c r="AI125"/>
      <c r="AJ125"/>
      <c r="AK125"/>
      <c r="AL125"/>
      <c r="AM125"/>
      <c r="AN125"/>
      <c r="AO125"/>
      <c r="AP125"/>
      <c r="AQ125"/>
    </row>
    <row r="126" spans="1:43" x14ac:dyDescent="0.55000000000000004">
      <c r="A126">
        <v>125</v>
      </c>
      <c r="B126" s="7">
        <f t="shared" si="2"/>
        <v>125</v>
      </c>
      <c r="C126" s="7">
        <f t="shared" si="3"/>
        <v>0</v>
      </c>
      <c r="D126" t="s">
        <v>65</v>
      </c>
      <c r="E126" t="s">
        <v>15</v>
      </c>
      <c r="F126" t="s">
        <v>19</v>
      </c>
      <c r="G126">
        <v>10</v>
      </c>
      <c r="H126">
        <v>30.3</v>
      </c>
      <c r="I126">
        <v>10.9</v>
      </c>
      <c r="J126">
        <v>0.39400000000000002</v>
      </c>
      <c r="K126">
        <v>1.4</v>
      </c>
      <c r="L126">
        <v>1.4</v>
      </c>
      <c r="M126">
        <v>0.92900000000000005</v>
      </c>
      <c r="N126">
        <v>8.1</v>
      </c>
      <c r="O126">
        <v>1.6</v>
      </c>
      <c r="P126">
        <v>0.4</v>
      </c>
      <c r="Q126">
        <v>1.2</v>
      </c>
      <c r="R126">
        <v>1.8</v>
      </c>
      <c r="S126">
        <v>11.3</v>
      </c>
      <c r="T126" s="14">
        <f>(J126 - AVERAGE(FG_Range))*I126</f>
        <v>-0.70618171641791061</v>
      </c>
      <c r="U126" s="14">
        <f>(M126 - AVERAGE(FT_RANGE))*L126</f>
        <v>0.23221368821292712</v>
      </c>
      <c r="V126" s="14">
        <f>(K126 - AVERAGE(Three_Range))/STDEV(Three_Range)</f>
        <v>-7.7436989009445123E-2</v>
      </c>
      <c r="W126" s="14">
        <f>(S126 - AVERAGE(Pts_Range))/STDEV(Pts_Range)</f>
        <v>-0.23216950859579841</v>
      </c>
      <c r="X126" s="14">
        <f>(N126 - AVERAGE(Reb_Range))/STDEV(Reb_Range)</f>
        <v>1.2772396459897695</v>
      </c>
      <c r="Y126" s="14">
        <f>(O126 - AVERAGE(Ast_Range))/STDEV(Ast_Range)</f>
        <v>-0.58827508603395795</v>
      </c>
      <c r="Z126" s="14">
        <f>(P126 - AVERAGE(Stl_Range))/STDEV(Stl_Range)</f>
        <v>-0.97389767946342665</v>
      </c>
      <c r="AA126" s="14">
        <f>(Q126 - AVERAGE(Blk_Range))/STDEV(Blk_Range)</f>
        <v>1.218027827111587</v>
      </c>
      <c r="AB126" s="14">
        <f>(R126 - AVERAGE(Tov_Range))/STDEV(Tov_Range)*-1</f>
        <v>-0.23021030028479489</v>
      </c>
      <c r="AC126" s="14">
        <f>SUM(T126:AB126)</f>
        <v>-8.0690118491050067E-2</v>
      </c>
      <c r="AD126" s="14">
        <v>-8.0690118491049373E-2</v>
      </c>
      <c r="AE126" s="14">
        <f>AD126-AC126</f>
        <v>6.9388939039072284E-16</v>
      </c>
      <c r="AF126"/>
      <c r="AG126"/>
      <c r="AH126"/>
      <c r="AI126"/>
      <c r="AJ126"/>
      <c r="AK126"/>
      <c r="AL126"/>
      <c r="AM126"/>
      <c r="AN126"/>
      <c r="AO126"/>
      <c r="AP126"/>
      <c r="AQ126"/>
    </row>
    <row r="127" spans="1:43" x14ac:dyDescent="0.55000000000000004">
      <c r="A127">
        <v>126</v>
      </c>
      <c r="B127" s="7">
        <f t="shared" si="2"/>
        <v>126</v>
      </c>
      <c r="C127" s="7">
        <f t="shared" si="3"/>
        <v>0</v>
      </c>
      <c r="D127" t="s">
        <v>254</v>
      </c>
      <c r="E127" t="s">
        <v>18</v>
      </c>
      <c r="F127" t="s">
        <v>43</v>
      </c>
      <c r="G127">
        <v>10</v>
      </c>
      <c r="H127">
        <v>19.100000000000001</v>
      </c>
      <c r="I127">
        <v>6.9</v>
      </c>
      <c r="J127">
        <v>0.68100000000000005</v>
      </c>
      <c r="K127">
        <v>0</v>
      </c>
      <c r="L127">
        <v>2.2999999999999998</v>
      </c>
      <c r="M127">
        <v>0.78300000000000003</v>
      </c>
      <c r="N127">
        <v>9.3000000000000007</v>
      </c>
      <c r="O127">
        <v>0.4</v>
      </c>
      <c r="P127">
        <v>0.5</v>
      </c>
      <c r="Q127">
        <v>0.3</v>
      </c>
      <c r="R127">
        <v>0.9</v>
      </c>
      <c r="S127">
        <v>11.2</v>
      </c>
      <c r="T127" s="14">
        <f>(J127 - AVERAGE(FG_Range))*I127</f>
        <v>1.533267537313433</v>
      </c>
      <c r="U127" s="14">
        <f>(M127 - AVERAGE(FT_RANGE))*L127</f>
        <v>4.5693916349808822E-2</v>
      </c>
      <c r="V127" s="14">
        <f>(K127 - AVERAGE(Three_Range))/STDEV(Three_Range)</f>
        <v>-1.5157715571452535</v>
      </c>
      <c r="W127" s="14">
        <f>(S127 - AVERAGE(Pts_Range))/STDEV(Pts_Range)</f>
        <v>-0.24816884732135105</v>
      </c>
      <c r="X127" s="14">
        <f>(N127 - AVERAGE(Reb_Range))/STDEV(Reb_Range)</f>
        <v>1.7447564569962681</v>
      </c>
      <c r="Y127" s="14">
        <f>(O127 - AVERAGE(Ast_Range))/STDEV(Ast_Range)</f>
        <v>-1.1727337442623205</v>
      </c>
      <c r="Z127" s="14">
        <f>(P127 - AVERAGE(Stl_Range))/STDEV(Stl_Range)</f>
        <v>-0.75960820647804206</v>
      </c>
      <c r="AA127" s="14">
        <f>(Q127 - AVERAGE(Blk_Range))/STDEV(Blk_Range)</f>
        <v>-0.4417931440709813</v>
      </c>
      <c r="AB127" s="14">
        <f>(R127 - AVERAGE(Tov_Range))/STDEV(Tov_Range)*-1</f>
        <v>0.71251846760472104</v>
      </c>
      <c r="AC127" s="14">
        <f>SUM(T127:AB127)</f>
        <v>-0.10183912101371717</v>
      </c>
      <c r="AD127" s="14">
        <v>-0.1018391210137044</v>
      </c>
      <c r="AE127" s="14">
        <f>AD127-AC127</f>
        <v>1.27675647831893E-14</v>
      </c>
      <c r="AF127"/>
      <c r="AG127"/>
      <c r="AH127"/>
      <c r="AI127"/>
      <c r="AJ127"/>
      <c r="AK127"/>
      <c r="AL127"/>
      <c r="AM127"/>
      <c r="AN127"/>
      <c r="AO127"/>
      <c r="AP127"/>
      <c r="AQ127"/>
    </row>
    <row r="128" spans="1:43" x14ac:dyDescent="0.55000000000000004">
      <c r="A128">
        <v>127</v>
      </c>
      <c r="B128" s="7">
        <f t="shared" si="2"/>
        <v>127</v>
      </c>
      <c r="C128" s="7">
        <f t="shared" si="3"/>
        <v>0</v>
      </c>
      <c r="D128" t="s">
        <v>216</v>
      </c>
      <c r="E128" t="s">
        <v>25</v>
      </c>
      <c r="F128" t="s">
        <v>75</v>
      </c>
      <c r="G128">
        <v>11</v>
      </c>
      <c r="H128">
        <v>29.7</v>
      </c>
      <c r="I128">
        <v>7.2</v>
      </c>
      <c r="J128">
        <v>0.51900000000000002</v>
      </c>
      <c r="K128">
        <v>1.7</v>
      </c>
      <c r="L128">
        <v>2</v>
      </c>
      <c r="M128">
        <v>0.72699999999999998</v>
      </c>
      <c r="N128">
        <v>3.6</v>
      </c>
      <c r="O128">
        <v>1.2</v>
      </c>
      <c r="P128">
        <v>1.2</v>
      </c>
      <c r="Q128">
        <v>0.3</v>
      </c>
      <c r="R128">
        <v>1</v>
      </c>
      <c r="S128">
        <v>10.6</v>
      </c>
      <c r="T128" s="14">
        <f>(J128 - AVERAGE(FG_Range))*I128</f>
        <v>0.433531343283582</v>
      </c>
      <c r="U128" s="14">
        <f>(M128 - AVERAGE(FT_RANGE))*L128</f>
        <v>-7.226615969581851E-2</v>
      </c>
      <c r="V128" s="14">
        <f>(K128 - AVERAGE(Three_Range))/STDEV(Three_Range)</f>
        <v>0.230777561305371</v>
      </c>
      <c r="W128" s="14">
        <f>(S128 - AVERAGE(Pts_Range))/STDEV(Pts_Range)</f>
        <v>-0.34416487967466564</v>
      </c>
      <c r="X128" s="14">
        <f>(N128 - AVERAGE(Reb_Range))/STDEV(Reb_Range)</f>
        <v>-0.47594839528459909</v>
      </c>
      <c r="Y128" s="14">
        <f>(O128 - AVERAGE(Ast_Range))/STDEV(Ast_Range)</f>
        <v>-0.78309463877674546</v>
      </c>
      <c r="Z128" s="14">
        <f>(P128 - AVERAGE(Stl_Range))/STDEV(Stl_Range)</f>
        <v>0.74041810441964995</v>
      </c>
      <c r="AA128" s="14">
        <f>(Q128 - AVERAGE(Blk_Range))/STDEV(Blk_Range)</f>
        <v>-0.4417931440709813</v>
      </c>
      <c r="AB128" s="14">
        <f>(R128 - AVERAGE(Tov_Range))/STDEV(Tov_Range)*-1</f>
        <v>0.60777082672810812</v>
      </c>
      <c r="AC128" s="14">
        <f>SUM(T128:AB128)</f>
        <v>-0.10476938176609907</v>
      </c>
      <c r="AD128" s="14">
        <v>-0.10476938176609363</v>
      </c>
      <c r="AE128" s="14">
        <f>AD128-AC128</f>
        <v>5.440092820663267E-15</v>
      </c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 x14ac:dyDescent="0.55000000000000004">
      <c r="A129">
        <v>128</v>
      </c>
      <c r="B129" s="7">
        <f t="shared" si="2"/>
        <v>128</v>
      </c>
      <c r="C129" s="7">
        <f t="shared" si="3"/>
        <v>0</v>
      </c>
      <c r="D129" t="s">
        <v>210</v>
      </c>
      <c r="E129" t="s">
        <v>25</v>
      </c>
      <c r="F129" t="s">
        <v>49</v>
      </c>
      <c r="G129">
        <v>11</v>
      </c>
      <c r="H129">
        <v>34</v>
      </c>
      <c r="I129">
        <v>13.8</v>
      </c>
      <c r="J129">
        <v>0.36199999999999999</v>
      </c>
      <c r="K129">
        <v>3.5</v>
      </c>
      <c r="L129">
        <v>1.5</v>
      </c>
      <c r="M129">
        <v>0.81299999999999994</v>
      </c>
      <c r="N129">
        <v>4.2</v>
      </c>
      <c r="O129">
        <v>2.7</v>
      </c>
      <c r="P129">
        <v>0.6</v>
      </c>
      <c r="Q129">
        <v>0.4</v>
      </c>
      <c r="R129">
        <v>1.8</v>
      </c>
      <c r="S129">
        <v>14.7</v>
      </c>
      <c r="T129" s="14">
        <f>(J129 - AVERAGE(FG_Range))*I129</f>
        <v>-1.335664925373135</v>
      </c>
      <c r="U129" s="14">
        <f>(M129 - AVERAGE(FT_RANGE))*L129</f>
        <v>7.4800380228136065E-2</v>
      </c>
      <c r="V129" s="14">
        <f>(K129 - AVERAGE(Three_Range))/STDEV(Three_Range)</f>
        <v>2.0800648631942678</v>
      </c>
      <c r="W129" s="14">
        <f>(S129 - AVERAGE(Pts_Range))/STDEV(Pts_Range)</f>
        <v>0.3118080080729842</v>
      </c>
      <c r="X129" s="14">
        <f>(N129 - AVERAGE(Reb_Range))/STDEV(Reb_Range)</f>
        <v>-0.24218998978134992</v>
      </c>
      <c r="Y129" s="14">
        <f>(O129 - AVERAGE(Ast_Range))/STDEV(Ast_Range)</f>
        <v>-5.252131599129229E-2</v>
      </c>
      <c r="Z129" s="14">
        <f>(P129 - AVERAGE(Stl_Range))/STDEV(Stl_Range)</f>
        <v>-0.54531873349265758</v>
      </c>
      <c r="AA129" s="14">
        <f>(Q129 - AVERAGE(Blk_Range))/STDEV(Blk_Range)</f>
        <v>-0.25736859171736254</v>
      </c>
      <c r="AB129" s="14">
        <f>(R129 - AVERAGE(Tov_Range))/STDEV(Tov_Range)*-1</f>
        <v>-0.23021030028479489</v>
      </c>
      <c r="AC129" s="14">
        <f>SUM(T129:AB129)</f>
        <v>-0.19660060514520428</v>
      </c>
      <c r="AD129" s="14">
        <v>-0.19660060514521407</v>
      </c>
      <c r="AE129" s="14">
        <f>AD129-AC129</f>
        <v>-9.7977181923170065E-15</v>
      </c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 x14ac:dyDescent="0.55000000000000004">
      <c r="A130">
        <v>129</v>
      </c>
      <c r="B130" s="7">
        <f t="shared" si="2"/>
        <v>129</v>
      </c>
      <c r="C130" s="7">
        <f t="shared" si="3"/>
        <v>0</v>
      </c>
      <c r="D130" t="s">
        <v>55</v>
      </c>
      <c r="E130" t="s">
        <v>46</v>
      </c>
      <c r="F130" t="s">
        <v>26</v>
      </c>
      <c r="G130">
        <v>9</v>
      </c>
      <c r="H130">
        <v>33.4</v>
      </c>
      <c r="I130">
        <v>12.1</v>
      </c>
      <c r="J130">
        <v>0.39400000000000002</v>
      </c>
      <c r="K130">
        <v>2.2000000000000002</v>
      </c>
      <c r="L130">
        <v>1.1000000000000001</v>
      </c>
      <c r="M130">
        <v>0.6</v>
      </c>
      <c r="N130">
        <v>4.3</v>
      </c>
      <c r="O130">
        <v>4.4000000000000004</v>
      </c>
      <c r="P130">
        <v>1.1000000000000001</v>
      </c>
      <c r="Q130">
        <v>0.7</v>
      </c>
      <c r="R130">
        <v>2.9</v>
      </c>
      <c r="S130">
        <v>12.4</v>
      </c>
      <c r="T130" s="14">
        <f>(J130 - AVERAGE(FG_Range))*I130</f>
        <v>-0.78392649253731361</v>
      </c>
      <c r="U130" s="14">
        <f>(M130 - AVERAGE(FT_RANGE))*L130</f>
        <v>-0.1794463878327002</v>
      </c>
      <c r="V130" s="14">
        <f>(K130 - AVERAGE(Three_Range))/STDEV(Three_Range)</f>
        <v>0.74446847849673137</v>
      </c>
      <c r="W130" s="14">
        <f>(S130 - AVERAGE(Pts_Range))/STDEV(Pts_Range)</f>
        <v>-5.617678261472165E-2</v>
      </c>
      <c r="X130" s="14">
        <f>(N130 - AVERAGE(Reb_Range))/STDEV(Reb_Range)</f>
        <v>-0.20323025553080853</v>
      </c>
      <c r="Y130" s="14">
        <f>(O130 - AVERAGE(Ast_Range))/STDEV(Ast_Range)</f>
        <v>0.7754617831655547</v>
      </c>
      <c r="Z130" s="14">
        <f>(P130 - AVERAGE(Stl_Range))/STDEV(Stl_Range)</f>
        <v>0.52612863143426558</v>
      </c>
      <c r="AA130" s="14">
        <f>(Q130 - AVERAGE(Blk_Range))/STDEV(Blk_Range)</f>
        <v>0.29590506534349342</v>
      </c>
      <c r="AB130" s="14">
        <f>(R130 - AVERAGE(Tov_Range))/STDEV(Tov_Range)*-1</f>
        <v>-1.3824343499275364</v>
      </c>
      <c r="AC130" s="14">
        <f>SUM(T130:AB130)</f>
        <v>-0.26325031000303545</v>
      </c>
      <c r="AD130" s="14">
        <v>-0.26325031000303922</v>
      </c>
      <c r="AE130" s="14">
        <f>AD130-AC130</f>
        <v>-3.7747582837255322E-15</v>
      </c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 x14ac:dyDescent="0.55000000000000004">
      <c r="A131">
        <v>130</v>
      </c>
      <c r="B131" s="7">
        <f t="shared" ref="B131:B194" si="4">ROW()-1</f>
        <v>130</v>
      </c>
      <c r="C131" s="7">
        <f t="shared" ref="C131:C194" si="5">A131-B131</f>
        <v>0</v>
      </c>
      <c r="D131" t="s">
        <v>78</v>
      </c>
      <c r="E131" t="s">
        <v>25</v>
      </c>
      <c r="F131" t="s">
        <v>26</v>
      </c>
      <c r="G131">
        <v>9</v>
      </c>
      <c r="H131">
        <v>29.9</v>
      </c>
      <c r="I131">
        <v>9.6999999999999993</v>
      </c>
      <c r="J131">
        <v>0.437</v>
      </c>
      <c r="K131">
        <v>1.9</v>
      </c>
      <c r="L131">
        <v>2</v>
      </c>
      <c r="M131">
        <v>0.72199999999999998</v>
      </c>
      <c r="N131">
        <v>3.2</v>
      </c>
      <c r="O131">
        <v>4.3</v>
      </c>
      <c r="P131">
        <v>1.1000000000000001</v>
      </c>
      <c r="Q131">
        <v>0.3</v>
      </c>
      <c r="R131">
        <v>2</v>
      </c>
      <c r="S131">
        <v>11.8</v>
      </c>
      <c r="T131" s="14">
        <f>(J131 - AVERAGE(FG_Range))*I131</f>
        <v>-0.21133694029850775</v>
      </c>
      <c r="U131" s="14">
        <f>(M131 - AVERAGE(FT_RANGE))*L131</f>
        <v>-8.2266159695818519E-2</v>
      </c>
      <c r="V131" s="14">
        <f>(K131 - AVERAGE(Three_Range))/STDEV(Three_Range)</f>
        <v>0.436253928181915</v>
      </c>
      <c r="W131" s="14">
        <f>(S131 - AVERAGE(Pts_Range))/STDEV(Pts_Range)</f>
        <v>-0.15217281496803622</v>
      </c>
      <c r="X131" s="14">
        <f>(N131 - AVERAGE(Reb_Range))/STDEV(Reb_Range)</f>
        <v>-0.6317873322867652</v>
      </c>
      <c r="Y131" s="14">
        <f>(O131 - AVERAGE(Ast_Range))/STDEV(Ast_Range)</f>
        <v>0.72675689497985752</v>
      </c>
      <c r="Z131" s="14">
        <f>(P131 - AVERAGE(Stl_Range))/STDEV(Stl_Range)</f>
        <v>0.52612863143426558</v>
      </c>
      <c r="AA131" s="14">
        <f>(Q131 - AVERAGE(Blk_Range))/STDEV(Blk_Range)</f>
        <v>-0.4417931440709813</v>
      </c>
      <c r="AB131" s="14">
        <f>(R131 - AVERAGE(Tov_Range))/STDEV(Tov_Range)*-1</f>
        <v>-0.43970558203802057</v>
      </c>
      <c r="AC131" s="14">
        <f>SUM(T131:AB131)</f>
        <v>-0.26992251876209145</v>
      </c>
      <c r="AD131" s="14">
        <v>-0.26992251876209217</v>
      </c>
      <c r="AE131" s="14">
        <f>AD131-AC131</f>
        <v>-7.2164496600635175E-16</v>
      </c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 x14ac:dyDescent="0.55000000000000004">
      <c r="A132">
        <v>131</v>
      </c>
      <c r="B132" s="7">
        <f t="shared" si="4"/>
        <v>131</v>
      </c>
      <c r="C132" s="7">
        <f t="shared" si="5"/>
        <v>0</v>
      </c>
      <c r="D132" t="s">
        <v>428</v>
      </c>
      <c r="E132" t="s">
        <v>46</v>
      </c>
      <c r="F132" t="s">
        <v>47</v>
      </c>
      <c r="G132">
        <v>11</v>
      </c>
      <c r="H132">
        <v>34.799999999999997</v>
      </c>
      <c r="I132">
        <v>14.9</v>
      </c>
      <c r="J132">
        <v>0.42099999999999999</v>
      </c>
      <c r="K132">
        <v>2.5</v>
      </c>
      <c r="L132">
        <v>2.7</v>
      </c>
      <c r="M132">
        <v>0.83299999999999996</v>
      </c>
      <c r="N132">
        <v>5.2</v>
      </c>
      <c r="O132">
        <v>6.2</v>
      </c>
      <c r="P132">
        <v>0.3</v>
      </c>
      <c r="Q132">
        <v>0.1</v>
      </c>
      <c r="R132">
        <v>3</v>
      </c>
      <c r="S132">
        <v>17.3</v>
      </c>
      <c r="T132" s="14">
        <f>(J132 - AVERAGE(FG_Range))*I132</f>
        <v>-0.56303097014925441</v>
      </c>
      <c r="U132" s="14">
        <f>(M132 - AVERAGE(FT_RANGE))*L132</f>
        <v>0.18864068441064497</v>
      </c>
      <c r="V132" s="14">
        <f>(K132 - AVERAGE(Three_Range))/STDEV(Three_Range)</f>
        <v>1.0526830288115472</v>
      </c>
      <c r="W132" s="14">
        <f>(S132 - AVERAGE(Pts_Range))/STDEV(Pts_Range)</f>
        <v>0.72779081493734776</v>
      </c>
      <c r="X132" s="14">
        <f>(N132 - AVERAGE(Reb_Range))/STDEV(Reb_Range)</f>
        <v>0.14740735272406535</v>
      </c>
      <c r="Y132" s="14">
        <f>(O132 - AVERAGE(Ast_Range))/STDEV(Ast_Range)</f>
        <v>1.6521497705080983</v>
      </c>
      <c r="Z132" s="14">
        <f>(P132 - AVERAGE(Stl_Range))/STDEV(Stl_Range)</f>
        <v>-1.1881871524488112</v>
      </c>
      <c r="AA132" s="14">
        <f>(Q132 - AVERAGE(Blk_Range))/STDEV(Blk_Range)</f>
        <v>-0.81064224877821867</v>
      </c>
      <c r="AB132" s="14">
        <f>(R132 - AVERAGE(Tov_Range))/STDEV(Tov_Range)*-1</f>
        <v>-1.4871819908041493</v>
      </c>
      <c r="AC132" s="14">
        <f>SUM(T132:AB132)</f>
        <v>-0.28037071078872988</v>
      </c>
      <c r="AD132" s="14">
        <v>-0.28037071078874165</v>
      </c>
      <c r="AE132" s="14">
        <f>AD132-AC132</f>
        <v>-1.1768364061026659E-14</v>
      </c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 x14ac:dyDescent="0.55000000000000004">
      <c r="A133">
        <v>132</v>
      </c>
      <c r="B133" s="7">
        <f t="shared" si="4"/>
        <v>132</v>
      </c>
      <c r="C133" s="7">
        <f t="shared" si="5"/>
        <v>0</v>
      </c>
      <c r="D133" t="s">
        <v>159</v>
      </c>
      <c r="E133" t="s">
        <v>34</v>
      </c>
      <c r="F133" t="s">
        <v>33</v>
      </c>
      <c r="G133">
        <v>5</v>
      </c>
      <c r="H133">
        <v>25.4</v>
      </c>
      <c r="I133">
        <v>9</v>
      </c>
      <c r="J133">
        <v>0.51100000000000001</v>
      </c>
      <c r="K133">
        <v>1.6</v>
      </c>
      <c r="L133">
        <v>4.5999999999999996</v>
      </c>
      <c r="M133">
        <v>0.87</v>
      </c>
      <c r="N133">
        <v>1.6</v>
      </c>
      <c r="O133">
        <v>2</v>
      </c>
      <c r="P133">
        <v>1.4</v>
      </c>
      <c r="Q133">
        <v>0</v>
      </c>
      <c r="R133">
        <v>1.8</v>
      </c>
      <c r="S133">
        <v>14.8</v>
      </c>
      <c r="T133" s="14">
        <f>(J133 - AVERAGE(FG_Range))*I133</f>
        <v>0.46991417910447741</v>
      </c>
      <c r="U133" s="14">
        <f>(M133 - AVERAGE(FT_RANGE))*L133</f>
        <v>0.49158783269961748</v>
      </c>
      <c r="V133" s="14">
        <f>(K133 - AVERAGE(Three_Range))/STDEV(Three_Range)</f>
        <v>0.12803937786709912</v>
      </c>
      <c r="W133" s="14">
        <f>(S133 - AVERAGE(Pts_Range))/STDEV(Pts_Range)</f>
        <v>0.32780734679853685</v>
      </c>
      <c r="X133" s="14">
        <f>(N133 - AVERAGE(Reb_Range))/STDEV(Reb_Range)</f>
        <v>-1.2551430802954295</v>
      </c>
      <c r="Y133" s="14">
        <f>(O133 - AVERAGE(Ast_Range))/STDEV(Ast_Range)</f>
        <v>-0.3934555332911705</v>
      </c>
      <c r="Z133" s="14">
        <f>(P133 - AVERAGE(Stl_Range))/STDEV(Stl_Range)</f>
        <v>1.168997050390419</v>
      </c>
      <c r="AA133" s="14">
        <f>(Q133 - AVERAGE(Blk_Range))/STDEV(Blk_Range)</f>
        <v>-0.99506680113183732</v>
      </c>
      <c r="AB133" s="14">
        <f>(R133 - AVERAGE(Tov_Range))/STDEV(Tov_Range)*-1</f>
        <v>-0.23021030028479489</v>
      </c>
      <c r="AC133" s="14">
        <f>SUM(T133:AB133)</f>
        <v>-0.28752992814308215</v>
      </c>
      <c r="AD133" s="14">
        <v>-0.28752992814307909</v>
      </c>
      <c r="AE133" s="14">
        <f>AD133-AC133</f>
        <v>3.0531133177191805E-15</v>
      </c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 x14ac:dyDescent="0.55000000000000004">
      <c r="A134">
        <v>133</v>
      </c>
      <c r="B134" s="7">
        <f t="shared" si="4"/>
        <v>133</v>
      </c>
      <c r="C134" s="7">
        <f t="shared" si="5"/>
        <v>0</v>
      </c>
      <c r="D134" t="s">
        <v>200</v>
      </c>
      <c r="E134" t="s">
        <v>34</v>
      </c>
      <c r="F134" t="s">
        <v>26</v>
      </c>
      <c r="G134">
        <v>9</v>
      </c>
      <c r="H134">
        <v>28.1</v>
      </c>
      <c r="I134">
        <v>6.3</v>
      </c>
      <c r="J134">
        <v>0.42099999999999999</v>
      </c>
      <c r="K134">
        <v>1.4</v>
      </c>
      <c r="L134">
        <v>2.2999999999999998</v>
      </c>
      <c r="M134">
        <v>0.71399999999999997</v>
      </c>
      <c r="N134">
        <v>8.4</v>
      </c>
      <c r="O134">
        <v>1.2</v>
      </c>
      <c r="P134">
        <v>1</v>
      </c>
      <c r="Q134">
        <v>0.1</v>
      </c>
      <c r="R134">
        <v>0.9</v>
      </c>
      <c r="S134">
        <v>8.4</v>
      </c>
      <c r="T134" s="14">
        <f>(J134 - AVERAGE(FG_Range))*I134</f>
        <v>-0.23806007462686596</v>
      </c>
      <c r="U134" s="14">
        <f>(M134 - AVERAGE(FT_RANGE))*L134</f>
        <v>-0.11300608365019131</v>
      </c>
      <c r="V134" s="14">
        <f>(K134 - AVERAGE(Three_Range))/STDEV(Three_Range)</f>
        <v>-7.7436989009445123E-2</v>
      </c>
      <c r="W134" s="14">
        <f>(S134 - AVERAGE(Pts_Range))/STDEV(Pts_Range)</f>
        <v>-0.69615033163681905</v>
      </c>
      <c r="X134" s="14">
        <f>(N134 - AVERAGE(Reb_Range))/STDEV(Reb_Range)</f>
        <v>1.3941188487413942</v>
      </c>
      <c r="Y134" s="14">
        <f>(O134 - AVERAGE(Ast_Range))/STDEV(Ast_Range)</f>
        <v>-0.78309463877674546</v>
      </c>
      <c r="Z134" s="14">
        <f>(P134 - AVERAGE(Stl_Range))/STDEV(Stl_Range)</f>
        <v>0.31183915844888088</v>
      </c>
      <c r="AA134" s="14">
        <f>(Q134 - AVERAGE(Blk_Range))/STDEV(Blk_Range)</f>
        <v>-0.81064224877821867</v>
      </c>
      <c r="AB134" s="14">
        <f>(R134 - AVERAGE(Tov_Range))/STDEV(Tov_Range)*-1</f>
        <v>0.71251846760472104</v>
      </c>
      <c r="AC134" s="14">
        <f>SUM(T134:AB134)</f>
        <v>-0.29991389168328941</v>
      </c>
      <c r="AD134" s="14">
        <v>-0.29991389168327975</v>
      </c>
      <c r="AE134" s="14">
        <f>AD134-AC134</f>
        <v>9.6589403142388619E-15</v>
      </c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 x14ac:dyDescent="0.55000000000000004">
      <c r="A135">
        <v>134</v>
      </c>
      <c r="B135" s="7">
        <f t="shared" si="4"/>
        <v>134</v>
      </c>
      <c r="C135" s="7">
        <f t="shared" si="5"/>
        <v>0</v>
      </c>
      <c r="D135" t="s">
        <v>137</v>
      </c>
      <c r="E135" t="s">
        <v>25</v>
      </c>
      <c r="F135" t="s">
        <v>19</v>
      </c>
      <c r="G135">
        <v>10</v>
      </c>
      <c r="H135">
        <v>21</v>
      </c>
      <c r="I135">
        <v>8.6</v>
      </c>
      <c r="J135">
        <v>0.55800000000000005</v>
      </c>
      <c r="K135">
        <v>0.3</v>
      </c>
      <c r="L135">
        <v>3.7</v>
      </c>
      <c r="M135">
        <v>0.70299999999999996</v>
      </c>
      <c r="N135">
        <v>5.0999999999999996</v>
      </c>
      <c r="O135">
        <v>1.8</v>
      </c>
      <c r="P135">
        <v>1.1000000000000001</v>
      </c>
      <c r="Q135">
        <v>0.3</v>
      </c>
      <c r="R135">
        <v>1</v>
      </c>
      <c r="S135">
        <v>12.5</v>
      </c>
      <c r="T135" s="14">
        <f>(J135 - AVERAGE(FG_Range))*I135</f>
        <v>0.85322910447761202</v>
      </c>
      <c r="U135" s="14">
        <f>(M135 - AVERAGE(FT_RANGE))*L135</f>
        <v>-0.22249239543726435</v>
      </c>
      <c r="V135" s="14">
        <f>(K135 - AVERAGE(Three_Range))/STDEV(Three_Range)</f>
        <v>-1.2075570068304373</v>
      </c>
      <c r="W135" s="14">
        <f>(S135 - AVERAGE(Pts_Range))/STDEV(Pts_Range)</f>
        <v>-4.0177443889169273E-2</v>
      </c>
      <c r="X135" s="14">
        <f>(N135 - AVERAGE(Reb_Range))/STDEV(Reb_Range)</f>
        <v>0.1084476184735236</v>
      </c>
      <c r="Y135" s="14">
        <f>(O135 - AVERAGE(Ast_Range))/STDEV(Ast_Range)</f>
        <v>-0.4908653096625642</v>
      </c>
      <c r="Z135" s="14">
        <f>(P135 - AVERAGE(Stl_Range))/STDEV(Stl_Range)</f>
        <v>0.52612863143426558</v>
      </c>
      <c r="AA135" s="14">
        <f>(Q135 - AVERAGE(Blk_Range))/STDEV(Blk_Range)</f>
        <v>-0.4417931440709813</v>
      </c>
      <c r="AB135" s="14">
        <f>(R135 - AVERAGE(Tov_Range))/STDEV(Tov_Range)*-1</f>
        <v>0.60777082672810812</v>
      </c>
      <c r="AC135" s="14">
        <f>SUM(T135:AB135)</f>
        <v>-0.30730911877690725</v>
      </c>
      <c r="AD135" s="14">
        <v>-0.30730911877689582</v>
      </c>
      <c r="AE135" s="14">
        <f>AD135-AC135</f>
        <v>1.1435297153639112E-14</v>
      </c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 x14ac:dyDescent="0.55000000000000004">
      <c r="A136">
        <v>135</v>
      </c>
      <c r="B136" s="7">
        <f t="shared" si="4"/>
        <v>135</v>
      </c>
      <c r="C136" s="7">
        <f t="shared" si="5"/>
        <v>0</v>
      </c>
      <c r="D136" t="s">
        <v>138</v>
      </c>
      <c r="E136" t="s">
        <v>18</v>
      </c>
      <c r="F136" t="s">
        <v>28</v>
      </c>
      <c r="G136">
        <v>9</v>
      </c>
      <c r="H136">
        <v>17</v>
      </c>
      <c r="I136">
        <v>6</v>
      </c>
      <c r="J136">
        <v>0.51900000000000002</v>
      </c>
      <c r="K136">
        <v>1.1000000000000001</v>
      </c>
      <c r="L136">
        <v>0.8</v>
      </c>
      <c r="M136">
        <v>1</v>
      </c>
      <c r="N136">
        <v>4.5999999999999996</v>
      </c>
      <c r="O136">
        <v>1.6</v>
      </c>
      <c r="P136">
        <v>1</v>
      </c>
      <c r="Q136">
        <v>0.6</v>
      </c>
      <c r="R136">
        <v>1.1000000000000001</v>
      </c>
      <c r="S136">
        <v>8.1</v>
      </c>
      <c r="T136" s="14">
        <f>(J136 - AVERAGE(FG_Range))*I136</f>
        <v>0.36127611940298499</v>
      </c>
      <c r="U136" s="14">
        <f>(M136 - AVERAGE(FT_RANGE))*L136</f>
        <v>0.18949353612167263</v>
      </c>
      <c r="V136" s="14">
        <f>(K136 - AVERAGE(Three_Range))/STDEV(Three_Range)</f>
        <v>-0.38565153932426105</v>
      </c>
      <c r="W136" s="14">
        <f>(S136 - AVERAGE(Pts_Range))/STDEV(Pts_Range)</f>
        <v>-0.7441483478134765</v>
      </c>
      <c r="X136" s="14">
        <f>(N136 - AVERAGE(Reb_Range))/STDEV(Reb_Range)</f>
        <v>-8.635105277918402E-2</v>
      </c>
      <c r="Y136" s="14">
        <f>(O136 - AVERAGE(Ast_Range))/STDEV(Ast_Range)</f>
        <v>-0.58827508603395795</v>
      </c>
      <c r="Z136" s="14">
        <f>(P136 - AVERAGE(Stl_Range))/STDEV(Stl_Range)</f>
        <v>0.31183915844888088</v>
      </c>
      <c r="AA136" s="14">
        <f>(Q136 - AVERAGE(Blk_Range))/STDEV(Blk_Range)</f>
        <v>0.11148051298987478</v>
      </c>
      <c r="AB136" s="14">
        <f>(R136 - AVERAGE(Tov_Range))/STDEV(Tov_Range)*-1</f>
        <v>0.50302318585149519</v>
      </c>
      <c r="AC136" s="14">
        <f>SUM(T136:AB136)</f>
        <v>-0.32731351313597112</v>
      </c>
      <c r="AD136" s="14">
        <v>-0.32731351313596424</v>
      </c>
      <c r="AE136" s="14">
        <f>AD136-AC136</f>
        <v>6.8833827526759706E-15</v>
      </c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 x14ac:dyDescent="0.55000000000000004">
      <c r="A137">
        <v>136</v>
      </c>
      <c r="B137" s="7">
        <f t="shared" si="4"/>
        <v>136</v>
      </c>
      <c r="C137" s="7">
        <f t="shared" si="5"/>
        <v>0</v>
      </c>
      <c r="D137" t="s">
        <v>195</v>
      </c>
      <c r="E137" t="s">
        <v>18</v>
      </c>
      <c r="F137" t="s">
        <v>40</v>
      </c>
      <c r="G137">
        <v>12</v>
      </c>
      <c r="H137">
        <v>24.4</v>
      </c>
      <c r="I137">
        <v>8.8000000000000007</v>
      </c>
      <c r="J137">
        <v>0.6</v>
      </c>
      <c r="K137">
        <v>0</v>
      </c>
      <c r="L137">
        <v>3.3</v>
      </c>
      <c r="M137">
        <v>0.75</v>
      </c>
      <c r="N137">
        <v>7.7</v>
      </c>
      <c r="O137">
        <v>1</v>
      </c>
      <c r="P137">
        <v>0.6</v>
      </c>
      <c r="Q137">
        <v>0.5</v>
      </c>
      <c r="R137">
        <v>1.3</v>
      </c>
      <c r="S137">
        <v>13</v>
      </c>
      <c r="T137" s="14">
        <f>(J137 - AVERAGE(FG_Range))*I137</f>
        <v>1.2426716417910444</v>
      </c>
      <c r="U137" s="14">
        <f>(M137 - AVERAGE(FT_RANGE))*L137</f>
        <v>-4.3339163498100471E-2</v>
      </c>
      <c r="V137" s="14">
        <f>(K137 - AVERAGE(Three_Range))/STDEV(Three_Range)</f>
        <v>-1.5157715571452535</v>
      </c>
      <c r="W137" s="14">
        <f>(S137 - AVERAGE(Pts_Range))/STDEV(Pts_Range)</f>
        <v>3.981924973859291E-2</v>
      </c>
      <c r="X137" s="14">
        <f>(N137 - AVERAGE(Reb_Range))/STDEV(Reb_Range)</f>
        <v>1.1214007089876035</v>
      </c>
      <c r="Y137" s="14">
        <f>(O137 - AVERAGE(Ast_Range))/STDEV(Ast_Range)</f>
        <v>-0.88050441514813926</v>
      </c>
      <c r="Z137" s="14">
        <f>(P137 - AVERAGE(Stl_Range))/STDEV(Stl_Range)</f>
        <v>-0.54531873349265758</v>
      </c>
      <c r="AA137" s="14">
        <f>(Q137 - AVERAGE(Blk_Range))/STDEV(Blk_Range)</f>
        <v>-7.2944039363743871E-2</v>
      </c>
      <c r="AB137" s="14">
        <f>(R137 - AVERAGE(Tov_Range))/STDEV(Tov_Range)*-1</f>
        <v>0.29352790409826945</v>
      </c>
      <c r="AC137" s="14">
        <f>SUM(T137:AB137)</f>
        <v>-0.36045840403238427</v>
      </c>
      <c r="AD137" s="14">
        <v>-0.36045840403237389</v>
      </c>
      <c r="AE137" s="14">
        <f>AD137-AC137</f>
        <v>1.0380585280245214E-14</v>
      </c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 x14ac:dyDescent="0.55000000000000004">
      <c r="A138">
        <v>137</v>
      </c>
      <c r="B138" s="7">
        <f t="shared" si="4"/>
        <v>137</v>
      </c>
      <c r="C138" s="7">
        <f t="shared" si="5"/>
        <v>0</v>
      </c>
      <c r="D138" t="s">
        <v>411</v>
      </c>
      <c r="E138" t="s">
        <v>15</v>
      </c>
      <c r="F138" t="s">
        <v>36</v>
      </c>
      <c r="G138">
        <v>9</v>
      </c>
      <c r="H138">
        <v>31.6</v>
      </c>
      <c r="I138">
        <v>3.8</v>
      </c>
      <c r="J138">
        <v>0.5</v>
      </c>
      <c r="K138">
        <v>1.4</v>
      </c>
      <c r="L138">
        <v>0.6</v>
      </c>
      <c r="M138">
        <v>0.6</v>
      </c>
      <c r="N138">
        <v>4.4000000000000004</v>
      </c>
      <c r="O138">
        <v>1.3</v>
      </c>
      <c r="P138">
        <v>1.2</v>
      </c>
      <c r="Q138">
        <v>0.9</v>
      </c>
      <c r="R138">
        <v>1.3</v>
      </c>
      <c r="S138">
        <v>5.6</v>
      </c>
      <c r="T138" s="14">
        <f>(J138 - AVERAGE(FG_Range))*I138</f>
        <v>0.15660820895522376</v>
      </c>
      <c r="U138" s="14">
        <f>(M138 - AVERAGE(FT_RANGE))*L138</f>
        <v>-9.7879847908745557E-2</v>
      </c>
      <c r="V138" s="14">
        <f>(K138 - AVERAGE(Three_Range))/STDEV(Three_Range)</f>
        <v>-7.7436989009445123E-2</v>
      </c>
      <c r="W138" s="14">
        <f>(S138 - AVERAGE(Pts_Range))/STDEV(Pts_Range)</f>
        <v>-1.1441318159522875</v>
      </c>
      <c r="X138" s="14">
        <f>(N138 - AVERAGE(Reb_Range))/STDEV(Reb_Range)</f>
        <v>-0.16427052128026678</v>
      </c>
      <c r="Y138" s="14">
        <f>(O138 - AVERAGE(Ast_Range))/STDEV(Ast_Range)</f>
        <v>-0.73438975059104861</v>
      </c>
      <c r="Z138" s="14">
        <f>(P138 - AVERAGE(Stl_Range))/STDEV(Stl_Range)</f>
        <v>0.74041810441964995</v>
      </c>
      <c r="AA138" s="14">
        <f>(Q138 - AVERAGE(Blk_Range))/STDEV(Blk_Range)</f>
        <v>0.6647541700507309</v>
      </c>
      <c r="AB138" s="14">
        <f>(R138 - AVERAGE(Tov_Range))/STDEV(Tov_Range)*-1</f>
        <v>0.29352790409826945</v>
      </c>
      <c r="AC138" s="14">
        <f>SUM(T138:AB138)</f>
        <v>-0.36280053721791994</v>
      </c>
      <c r="AD138" s="14">
        <v>-0.362800537217913</v>
      </c>
      <c r="AE138" s="14">
        <f>AD138-AC138</f>
        <v>6.9388939039072284E-15</v>
      </c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 x14ac:dyDescent="0.55000000000000004">
      <c r="A139">
        <v>138</v>
      </c>
      <c r="B139" s="7">
        <f t="shared" si="4"/>
        <v>138</v>
      </c>
      <c r="C139" s="7">
        <f t="shared" si="5"/>
        <v>0</v>
      </c>
      <c r="D139" t="s">
        <v>258</v>
      </c>
      <c r="E139" t="s">
        <v>15</v>
      </c>
      <c r="F139" t="s">
        <v>56</v>
      </c>
      <c r="G139">
        <v>9</v>
      </c>
      <c r="H139">
        <v>24.3</v>
      </c>
      <c r="I139">
        <v>4.5999999999999996</v>
      </c>
      <c r="J139">
        <v>0.439</v>
      </c>
      <c r="K139">
        <v>1.8</v>
      </c>
      <c r="L139">
        <v>1.8</v>
      </c>
      <c r="M139">
        <v>0.93799999999999994</v>
      </c>
      <c r="N139">
        <v>5.3</v>
      </c>
      <c r="O139">
        <v>1.3</v>
      </c>
      <c r="P139">
        <v>0.3</v>
      </c>
      <c r="Q139">
        <v>0.9</v>
      </c>
      <c r="R139">
        <v>0.7</v>
      </c>
      <c r="S139">
        <v>7.4</v>
      </c>
      <c r="T139" s="14">
        <f>(J139 - AVERAGE(FG_Range))*I139</f>
        <v>-9.102164179104491E-2</v>
      </c>
      <c r="U139" s="14">
        <f>(M139 - AVERAGE(FT_RANGE))*L139</f>
        <v>0.31476045627376331</v>
      </c>
      <c r="V139" s="14">
        <f>(K139 - AVERAGE(Three_Range))/STDEV(Three_Range)</f>
        <v>0.33351574474364315</v>
      </c>
      <c r="W139" s="14">
        <f>(S139 - AVERAGE(Pts_Range))/STDEV(Pts_Range)</f>
        <v>-0.85614371889234342</v>
      </c>
      <c r="X139" s="14">
        <f>(N139 - AVERAGE(Reb_Range))/STDEV(Reb_Range)</f>
        <v>0.18636708697460674</v>
      </c>
      <c r="Y139" s="14">
        <f>(O139 - AVERAGE(Ast_Range))/STDEV(Ast_Range)</f>
        <v>-0.73438975059104861</v>
      </c>
      <c r="Z139" s="14">
        <f>(P139 - AVERAGE(Stl_Range))/STDEV(Stl_Range)</f>
        <v>-1.1881871524488112</v>
      </c>
      <c r="AA139" s="14">
        <f>(Q139 - AVERAGE(Blk_Range))/STDEV(Blk_Range)</f>
        <v>0.6647541700507309</v>
      </c>
      <c r="AB139" s="14">
        <f>(R139 - AVERAGE(Tov_Range))/STDEV(Tov_Range)*-1</f>
        <v>0.92201374935794678</v>
      </c>
      <c r="AC139" s="14">
        <f>SUM(T139:AB139)</f>
        <v>-0.44833105632255732</v>
      </c>
      <c r="AD139" s="14">
        <v>-0.44833105632255721</v>
      </c>
      <c r="AE139" s="14">
        <f>AD139-AC139</f>
        <v>0</v>
      </c>
      <c r="AF139"/>
      <c r="AG139"/>
      <c r="AH139"/>
      <c r="AI139"/>
      <c r="AJ139"/>
      <c r="AK139"/>
      <c r="AL139"/>
      <c r="AM139"/>
      <c r="AN139"/>
      <c r="AO139"/>
      <c r="AP139"/>
      <c r="AQ139"/>
    </row>
    <row r="140" spans="1:43" x14ac:dyDescent="0.55000000000000004">
      <c r="A140">
        <v>139</v>
      </c>
      <c r="B140" s="7">
        <f t="shared" si="4"/>
        <v>139</v>
      </c>
      <c r="C140" s="7">
        <f t="shared" si="5"/>
        <v>0</v>
      </c>
      <c r="D140" t="s">
        <v>71</v>
      </c>
      <c r="E140" t="s">
        <v>46</v>
      </c>
      <c r="F140" t="s">
        <v>72</v>
      </c>
      <c r="G140">
        <v>11</v>
      </c>
      <c r="H140">
        <v>25.5</v>
      </c>
      <c r="I140">
        <v>6.8</v>
      </c>
      <c r="J140">
        <v>0.42699999999999999</v>
      </c>
      <c r="K140">
        <v>1.9</v>
      </c>
      <c r="L140">
        <v>1</v>
      </c>
      <c r="M140">
        <v>0.81799999999999995</v>
      </c>
      <c r="N140">
        <v>4.0999999999999996</v>
      </c>
      <c r="O140">
        <v>1.9</v>
      </c>
      <c r="P140">
        <v>0.7</v>
      </c>
      <c r="Q140">
        <v>0.7</v>
      </c>
      <c r="R140">
        <v>0.9</v>
      </c>
      <c r="S140">
        <v>8.5</v>
      </c>
      <c r="T140" s="14">
        <f>(J140 - AVERAGE(FG_Range))*I140</f>
        <v>-0.21615373134328386</v>
      </c>
      <c r="U140" s="14">
        <f>(M140 - AVERAGE(FT_RANGE))*L140</f>
        <v>5.4866920152090715E-2</v>
      </c>
      <c r="V140" s="14">
        <f>(K140 - AVERAGE(Three_Range))/STDEV(Three_Range)</f>
        <v>0.436253928181915</v>
      </c>
      <c r="W140" s="14">
        <f>(S140 - AVERAGE(Pts_Range))/STDEV(Pts_Range)</f>
        <v>-0.68015099291126668</v>
      </c>
      <c r="X140" s="14">
        <f>(N140 - AVERAGE(Reb_Range))/STDEV(Reb_Range)</f>
        <v>-0.28114972403189165</v>
      </c>
      <c r="Y140" s="14">
        <f>(O140 - AVERAGE(Ast_Range))/STDEV(Ast_Range)</f>
        <v>-0.4421604214768674</v>
      </c>
      <c r="Z140" s="14">
        <f>(P140 - AVERAGE(Stl_Range))/STDEV(Stl_Range)</f>
        <v>-0.33102926050727299</v>
      </c>
      <c r="AA140" s="14">
        <f>(Q140 - AVERAGE(Blk_Range))/STDEV(Blk_Range)</f>
        <v>0.29590506534349342</v>
      </c>
      <c r="AB140" s="14">
        <f>(R140 - AVERAGE(Tov_Range))/STDEV(Tov_Range)*-1</f>
        <v>0.71251846760472104</v>
      </c>
      <c r="AC140" s="14">
        <f>SUM(T140:AB140)</f>
        <v>-0.45109974898836269</v>
      </c>
      <c r="AD140" s="14">
        <v>-0.45109974898836125</v>
      </c>
      <c r="AE140" s="14">
        <f>AD140-AC140</f>
        <v>1.4432899320127035E-15</v>
      </c>
      <c r="AF140"/>
      <c r="AG140"/>
      <c r="AH140"/>
      <c r="AI140"/>
      <c r="AJ140"/>
      <c r="AK140"/>
      <c r="AL140"/>
      <c r="AM140"/>
      <c r="AN140"/>
      <c r="AO140"/>
      <c r="AP140"/>
      <c r="AQ140"/>
    </row>
    <row r="141" spans="1:43" x14ac:dyDescent="0.55000000000000004">
      <c r="A141">
        <v>140</v>
      </c>
      <c r="B141" s="7">
        <f t="shared" si="4"/>
        <v>140</v>
      </c>
      <c r="C141" s="7">
        <f t="shared" si="5"/>
        <v>0</v>
      </c>
      <c r="D141" t="s">
        <v>129</v>
      </c>
      <c r="E141" t="s">
        <v>15</v>
      </c>
      <c r="F141" t="s">
        <v>52</v>
      </c>
      <c r="G141">
        <v>11</v>
      </c>
      <c r="H141">
        <v>28.8</v>
      </c>
      <c r="I141">
        <v>8.1</v>
      </c>
      <c r="J141">
        <v>0.40400000000000003</v>
      </c>
      <c r="K141">
        <v>2.2999999999999998</v>
      </c>
      <c r="L141">
        <v>1.3</v>
      </c>
      <c r="M141">
        <v>0.85699999999999998</v>
      </c>
      <c r="N141">
        <v>4.9000000000000004</v>
      </c>
      <c r="O141">
        <v>2.2999999999999998</v>
      </c>
      <c r="P141">
        <v>0.6</v>
      </c>
      <c r="Q141">
        <v>0.1</v>
      </c>
      <c r="R141">
        <v>0.6</v>
      </c>
      <c r="S141">
        <v>9.9</v>
      </c>
      <c r="T141" s="14">
        <f>(J141 - AVERAGE(FG_Range))*I141</f>
        <v>-0.4437772388059702</v>
      </c>
      <c r="U141" s="14">
        <f>(M141 - AVERAGE(FT_RANGE))*L141</f>
        <v>0.12202699619771798</v>
      </c>
      <c r="V141" s="14">
        <f>(K141 - AVERAGE(Three_Range))/STDEV(Three_Range)</f>
        <v>0.84720666193500305</v>
      </c>
      <c r="W141" s="14">
        <f>(S141 - AVERAGE(Pts_Range))/STDEV(Pts_Range)</f>
        <v>-0.45616025075353256</v>
      </c>
      <c r="X141" s="14">
        <f>(N141 - AVERAGE(Reb_Range))/STDEV(Reb_Range)</f>
        <v>3.0528149972440837E-2</v>
      </c>
      <c r="Y141" s="14">
        <f>(O141 - AVERAGE(Ast_Range))/STDEV(Ast_Range)</f>
        <v>-0.24734086873407995</v>
      </c>
      <c r="Z141" s="14">
        <f>(P141 - AVERAGE(Stl_Range))/STDEV(Stl_Range)</f>
        <v>-0.54531873349265758</v>
      </c>
      <c r="AA141" s="14">
        <f>(Q141 - AVERAGE(Blk_Range))/STDEV(Blk_Range)</f>
        <v>-0.81064224877821867</v>
      </c>
      <c r="AB141" s="14">
        <f>(R141 - AVERAGE(Tov_Range))/STDEV(Tov_Range)*-1</f>
        <v>1.0267613902345596</v>
      </c>
      <c r="AC141" s="14">
        <f>SUM(T141:AB141)</f>
        <v>-0.47671614222473768</v>
      </c>
      <c r="AD141" s="14">
        <v>-0.47671614222473657</v>
      </c>
      <c r="AE141" s="14">
        <f>AD141-AC141</f>
        <v>1.1102230246251565E-15</v>
      </c>
      <c r="AF141"/>
      <c r="AG141"/>
      <c r="AH141"/>
      <c r="AI141"/>
      <c r="AJ141"/>
      <c r="AK141"/>
      <c r="AL141"/>
      <c r="AM141"/>
      <c r="AN141"/>
      <c r="AO141"/>
      <c r="AP141"/>
      <c r="AQ141"/>
    </row>
    <row r="142" spans="1:43" x14ac:dyDescent="0.55000000000000004">
      <c r="A142">
        <v>141</v>
      </c>
      <c r="B142" s="7">
        <f t="shared" si="4"/>
        <v>141</v>
      </c>
      <c r="C142" s="7">
        <f t="shared" si="5"/>
        <v>0</v>
      </c>
      <c r="D142" t="s">
        <v>421</v>
      </c>
      <c r="E142" t="s">
        <v>25</v>
      </c>
      <c r="F142" t="s">
        <v>23</v>
      </c>
      <c r="G142">
        <v>11</v>
      </c>
      <c r="H142">
        <v>29.3</v>
      </c>
      <c r="I142">
        <v>11.9</v>
      </c>
      <c r="J142">
        <v>0.435</v>
      </c>
      <c r="K142">
        <v>1.9</v>
      </c>
      <c r="L142">
        <v>2.4</v>
      </c>
      <c r="M142">
        <v>0.76900000000000002</v>
      </c>
      <c r="N142">
        <v>3.1</v>
      </c>
      <c r="O142">
        <v>1.8</v>
      </c>
      <c r="P142">
        <v>0.6</v>
      </c>
      <c r="Q142">
        <v>0.6</v>
      </c>
      <c r="R142">
        <v>0.9</v>
      </c>
      <c r="S142">
        <v>14.1</v>
      </c>
      <c r="T142" s="14">
        <f>(J142 - AVERAGE(FG_Range))*I142</f>
        <v>-0.28306902985074667</v>
      </c>
      <c r="U142" s="14">
        <f>(M142 - AVERAGE(FT_RANGE))*L142</f>
        <v>1.4080608365017877E-2</v>
      </c>
      <c r="V142" s="14">
        <f>(K142 - AVERAGE(Three_Range))/STDEV(Three_Range)</f>
        <v>0.436253928181915</v>
      </c>
      <c r="W142" s="14">
        <f>(S142 - AVERAGE(Pts_Range))/STDEV(Pts_Range)</f>
        <v>0.21581197571966965</v>
      </c>
      <c r="X142" s="14">
        <f>(N142 - AVERAGE(Reb_Range))/STDEV(Reb_Range)</f>
        <v>-0.67074706653730676</v>
      </c>
      <c r="Y142" s="14">
        <f>(O142 - AVERAGE(Ast_Range))/STDEV(Ast_Range)</f>
        <v>-0.4908653096625642</v>
      </c>
      <c r="Z142" s="14">
        <f>(P142 - AVERAGE(Stl_Range))/STDEV(Stl_Range)</f>
        <v>-0.54531873349265758</v>
      </c>
      <c r="AA142" s="14">
        <f>(Q142 - AVERAGE(Blk_Range))/STDEV(Blk_Range)</f>
        <v>0.11148051298987478</v>
      </c>
      <c r="AB142" s="14">
        <f>(R142 - AVERAGE(Tov_Range))/STDEV(Tov_Range)*-1</f>
        <v>0.71251846760472104</v>
      </c>
      <c r="AC142" s="14">
        <f>SUM(T142:AB142)</f>
        <v>-0.49985464668207669</v>
      </c>
      <c r="AD142" s="14">
        <v>-0.49985464668207813</v>
      </c>
      <c r="AE142" s="14">
        <f>AD142-AC142</f>
        <v>-1.4432899320127035E-15</v>
      </c>
      <c r="AF142"/>
      <c r="AG142"/>
      <c r="AH142"/>
      <c r="AI142"/>
      <c r="AJ142"/>
      <c r="AK142"/>
      <c r="AL142"/>
      <c r="AM142"/>
      <c r="AN142"/>
      <c r="AO142"/>
      <c r="AP142"/>
      <c r="AQ142"/>
    </row>
    <row r="143" spans="1:43" x14ac:dyDescent="0.55000000000000004">
      <c r="A143">
        <v>142</v>
      </c>
      <c r="B143" s="7">
        <f t="shared" si="4"/>
        <v>142</v>
      </c>
      <c r="C143" s="7">
        <f t="shared" si="5"/>
        <v>0</v>
      </c>
      <c r="D143" t="s">
        <v>42</v>
      </c>
      <c r="E143" t="s">
        <v>15</v>
      </c>
      <c r="F143" t="s">
        <v>43</v>
      </c>
      <c r="G143">
        <v>9</v>
      </c>
      <c r="H143">
        <v>25.2</v>
      </c>
      <c r="I143">
        <v>9.6999999999999993</v>
      </c>
      <c r="J143">
        <v>0.40200000000000002</v>
      </c>
      <c r="K143">
        <v>1.8</v>
      </c>
      <c r="L143">
        <v>3.9</v>
      </c>
      <c r="M143">
        <v>0.88600000000000001</v>
      </c>
      <c r="N143">
        <v>3.6</v>
      </c>
      <c r="O143">
        <v>1.2</v>
      </c>
      <c r="P143">
        <v>0.8</v>
      </c>
      <c r="Q143">
        <v>0.4</v>
      </c>
      <c r="R143">
        <v>0.8</v>
      </c>
      <c r="S143">
        <v>13</v>
      </c>
      <c r="T143" s="14">
        <f>(J143 - AVERAGE(FG_Range))*I143</f>
        <v>-0.55083694029850749</v>
      </c>
      <c r="U143" s="14">
        <f>(M143 - AVERAGE(FT_RANGE))*L143</f>
        <v>0.479180988593154</v>
      </c>
      <c r="V143" s="14">
        <f>(K143 - AVERAGE(Three_Range))/STDEV(Three_Range)</f>
        <v>0.33351574474364315</v>
      </c>
      <c r="W143" s="14">
        <f>(S143 - AVERAGE(Pts_Range))/STDEV(Pts_Range)</f>
        <v>3.981924973859291E-2</v>
      </c>
      <c r="X143" s="14">
        <f>(N143 - AVERAGE(Reb_Range))/STDEV(Reb_Range)</f>
        <v>-0.47594839528459909</v>
      </c>
      <c r="Y143" s="14">
        <f>(O143 - AVERAGE(Ast_Range))/STDEV(Ast_Range)</f>
        <v>-0.78309463877674546</v>
      </c>
      <c r="Z143" s="14">
        <f>(P143 - AVERAGE(Stl_Range))/STDEV(Stl_Range)</f>
        <v>-0.11673978752188821</v>
      </c>
      <c r="AA143" s="14">
        <f>(Q143 - AVERAGE(Blk_Range))/STDEV(Blk_Range)</f>
        <v>-0.25736859171736254</v>
      </c>
      <c r="AB143" s="14">
        <f>(R143 - AVERAGE(Tov_Range))/STDEV(Tov_Range)*-1</f>
        <v>0.81726610848133385</v>
      </c>
      <c r="AC143" s="14">
        <f>SUM(T143:AB143)</f>
        <v>-0.51420626204237896</v>
      </c>
      <c r="AD143" s="14">
        <v>-0.51420626204237707</v>
      </c>
      <c r="AE143" s="14">
        <f>AD143-AC143</f>
        <v>1.8873791418627661E-15</v>
      </c>
      <c r="AF143"/>
      <c r="AG143"/>
      <c r="AH143"/>
      <c r="AI143"/>
      <c r="AJ143"/>
      <c r="AK143"/>
      <c r="AL143"/>
      <c r="AM143"/>
      <c r="AN143"/>
      <c r="AO143"/>
      <c r="AP143"/>
      <c r="AQ143"/>
    </row>
    <row r="144" spans="1:43" x14ac:dyDescent="0.55000000000000004">
      <c r="A144">
        <v>143</v>
      </c>
      <c r="B144" s="7">
        <f t="shared" si="4"/>
        <v>143</v>
      </c>
      <c r="C144" s="7">
        <f t="shared" si="5"/>
        <v>0</v>
      </c>
      <c r="D144" t="s">
        <v>670</v>
      </c>
      <c r="E144" t="s">
        <v>15</v>
      </c>
      <c r="F144" t="s">
        <v>31</v>
      </c>
      <c r="G144">
        <v>1</v>
      </c>
      <c r="H144">
        <v>24</v>
      </c>
      <c r="I144">
        <v>12</v>
      </c>
      <c r="J144">
        <v>0.25</v>
      </c>
      <c r="K144">
        <v>3</v>
      </c>
      <c r="L144">
        <v>0</v>
      </c>
      <c r="M144"/>
      <c r="N144">
        <v>3</v>
      </c>
      <c r="O144">
        <v>1</v>
      </c>
      <c r="P144">
        <v>0</v>
      </c>
      <c r="Q144">
        <v>2</v>
      </c>
      <c r="R144">
        <v>0</v>
      </c>
      <c r="S144">
        <v>9</v>
      </c>
      <c r="T144" s="14">
        <f>(J144 - AVERAGE(FG_Range))*I144</f>
        <v>-2.5054477611940302</v>
      </c>
      <c r="U144" s="14">
        <f>(M144 - AVERAGE(FT_RANGE))*L144</f>
        <v>0</v>
      </c>
      <c r="V144" s="14">
        <f>(K144 - AVERAGE(Three_Range))/STDEV(Three_Range)</f>
        <v>1.5663739460029074</v>
      </c>
      <c r="W144" s="14">
        <f>(S144 - AVERAGE(Pts_Range))/STDEV(Pts_Range)</f>
        <v>-0.6001542992835045</v>
      </c>
      <c r="X144" s="14">
        <f>(N144 - AVERAGE(Reb_Range))/STDEV(Reb_Range)</f>
        <v>-0.70970680078784831</v>
      </c>
      <c r="Y144" s="14">
        <f>(O144 - AVERAGE(Ast_Range))/STDEV(Ast_Range)</f>
        <v>-0.88050441514813926</v>
      </c>
      <c r="Z144" s="14">
        <f>(P144 - AVERAGE(Stl_Range))/STDEV(Stl_Range)</f>
        <v>-1.831055571404965</v>
      </c>
      <c r="AA144" s="14">
        <f>(Q144 - AVERAGE(Blk_Range))/STDEV(Blk_Range)</f>
        <v>2.6934242459405366</v>
      </c>
      <c r="AB144" s="14">
        <f>(R144 - AVERAGE(Tov_Range))/STDEV(Tov_Range)*-1</f>
        <v>1.6552472354942369</v>
      </c>
      <c r="AC144" s="14">
        <f>SUM(T144:AB144)</f>
        <v>-0.61182342038080662</v>
      </c>
      <c r="AD144" s="14">
        <v>-0.61182342038081594</v>
      </c>
      <c r="AE144" s="14">
        <f>AD144-AC144</f>
        <v>-9.3258734068513149E-15</v>
      </c>
      <c r="AF144"/>
      <c r="AG144"/>
      <c r="AH144"/>
      <c r="AI144"/>
      <c r="AJ144"/>
      <c r="AK144"/>
      <c r="AL144"/>
      <c r="AM144"/>
      <c r="AN144"/>
      <c r="AO144"/>
      <c r="AP144"/>
      <c r="AQ144"/>
    </row>
    <row r="145" spans="1:43" x14ac:dyDescent="0.55000000000000004">
      <c r="A145">
        <v>144</v>
      </c>
      <c r="B145" s="7">
        <f t="shared" si="4"/>
        <v>144</v>
      </c>
      <c r="C145" s="7">
        <f t="shared" si="5"/>
        <v>0</v>
      </c>
      <c r="D145" t="s">
        <v>207</v>
      </c>
      <c r="E145" t="s">
        <v>25</v>
      </c>
      <c r="F145" t="s">
        <v>21</v>
      </c>
      <c r="G145">
        <v>9</v>
      </c>
      <c r="H145">
        <v>33.9</v>
      </c>
      <c r="I145">
        <v>14.1</v>
      </c>
      <c r="J145">
        <v>0.47199999999999998</v>
      </c>
      <c r="K145">
        <v>1.7</v>
      </c>
      <c r="L145">
        <v>3.4</v>
      </c>
      <c r="M145">
        <v>0.77400000000000002</v>
      </c>
      <c r="N145">
        <v>6.8</v>
      </c>
      <c r="O145">
        <v>3.9</v>
      </c>
      <c r="P145">
        <v>0.3</v>
      </c>
      <c r="Q145">
        <v>0.1</v>
      </c>
      <c r="R145">
        <v>2.8</v>
      </c>
      <c r="S145">
        <v>17.7</v>
      </c>
      <c r="T145" s="14">
        <f>(J145 - AVERAGE(FG_Range))*I145</f>
        <v>0.18629888059701413</v>
      </c>
      <c r="U145" s="14">
        <f>(M145 - AVERAGE(FT_RANGE))*L145</f>
        <v>3.6947528517108676E-2</v>
      </c>
      <c r="V145" s="14">
        <f>(K145 - AVERAGE(Three_Range))/STDEV(Three_Range)</f>
        <v>0.230777561305371</v>
      </c>
      <c r="W145" s="14">
        <f>(S145 - AVERAGE(Pts_Range))/STDEV(Pts_Range)</f>
        <v>0.79178816983955724</v>
      </c>
      <c r="X145" s="14">
        <f>(N145 - AVERAGE(Reb_Range))/STDEV(Reb_Range)</f>
        <v>0.77076310073272958</v>
      </c>
      <c r="Y145" s="14">
        <f>(O145 - AVERAGE(Ast_Range))/STDEV(Ast_Range)</f>
        <v>0.53193734223707001</v>
      </c>
      <c r="Z145" s="14">
        <f>(P145 - AVERAGE(Stl_Range))/STDEV(Stl_Range)</f>
        <v>-1.1881871524488112</v>
      </c>
      <c r="AA145" s="14">
        <f>(Q145 - AVERAGE(Blk_Range))/STDEV(Blk_Range)</f>
        <v>-0.81064224877821867</v>
      </c>
      <c r="AB145" s="14">
        <f>(R145 - AVERAGE(Tov_Range))/STDEV(Tov_Range)*-1</f>
        <v>-1.2776867090509234</v>
      </c>
      <c r="AC145" s="14">
        <f>SUM(T145:AB145)</f>
        <v>-0.72800352704910265</v>
      </c>
      <c r="AD145" s="14">
        <v>-0.72800352704910765</v>
      </c>
      <c r="AE145" s="14">
        <f>AD145-AC145</f>
        <v>-4.9960036108132044E-15</v>
      </c>
      <c r="AF145"/>
      <c r="AG145"/>
      <c r="AH145"/>
      <c r="AI145"/>
      <c r="AJ145"/>
      <c r="AK145"/>
      <c r="AL145"/>
      <c r="AM145"/>
      <c r="AN145"/>
      <c r="AO145"/>
      <c r="AP145"/>
      <c r="AQ145"/>
    </row>
    <row r="146" spans="1:43" x14ac:dyDescent="0.55000000000000004">
      <c r="A146">
        <v>145</v>
      </c>
      <c r="B146" s="7">
        <f t="shared" si="4"/>
        <v>145</v>
      </c>
      <c r="C146" s="7">
        <f t="shared" si="5"/>
        <v>0</v>
      </c>
      <c r="D146" t="s">
        <v>673</v>
      </c>
      <c r="E146" t="s">
        <v>34</v>
      </c>
      <c r="F146" t="s">
        <v>67</v>
      </c>
      <c r="G146">
        <v>11</v>
      </c>
      <c r="H146">
        <v>23.2</v>
      </c>
      <c r="I146">
        <v>5.6</v>
      </c>
      <c r="J146">
        <v>0.45200000000000001</v>
      </c>
      <c r="K146">
        <v>1.5</v>
      </c>
      <c r="L146">
        <v>0.7</v>
      </c>
      <c r="M146">
        <v>0.625</v>
      </c>
      <c r="N146">
        <v>4</v>
      </c>
      <c r="O146">
        <v>2.2000000000000002</v>
      </c>
      <c r="P146">
        <v>1</v>
      </c>
      <c r="Q146">
        <v>0.3</v>
      </c>
      <c r="R146">
        <v>0.6</v>
      </c>
      <c r="S146">
        <v>7</v>
      </c>
      <c r="T146" s="14">
        <f>(J146 - AVERAGE(FG_Range))*I146</f>
        <v>-3.8008955223880703E-2</v>
      </c>
      <c r="U146" s="14">
        <f>(M146 - AVERAGE(FT_RANGE))*L146</f>
        <v>-9.6693155893536456E-2</v>
      </c>
      <c r="V146" s="14">
        <f>(K146 - AVERAGE(Three_Range))/STDEV(Three_Range)</f>
        <v>2.5301194428826994E-2</v>
      </c>
      <c r="W146" s="14">
        <f>(S146 - AVERAGE(Pts_Range))/STDEV(Pts_Range)</f>
        <v>-0.92014107379455323</v>
      </c>
      <c r="X146" s="14">
        <f>(N146 - AVERAGE(Reb_Range))/STDEV(Reb_Range)</f>
        <v>-0.32010945828243303</v>
      </c>
      <c r="Y146" s="14">
        <f>(O146 - AVERAGE(Ast_Range))/STDEV(Ast_Range)</f>
        <v>-0.29604575691977664</v>
      </c>
      <c r="Z146" s="14">
        <f>(P146 - AVERAGE(Stl_Range))/STDEV(Stl_Range)</f>
        <v>0.31183915844888088</v>
      </c>
      <c r="AA146" s="14">
        <f>(Q146 - AVERAGE(Blk_Range))/STDEV(Blk_Range)</f>
        <v>-0.4417931440709813</v>
      </c>
      <c r="AB146" s="14">
        <f>(R146 - AVERAGE(Tov_Range))/STDEV(Tov_Range)*-1</f>
        <v>1.0267613902345596</v>
      </c>
      <c r="AC146" s="14">
        <f>SUM(T146:AB146)</f>
        <v>-0.74888980107289371</v>
      </c>
      <c r="AD146" s="14">
        <v>-0.74888980107288772</v>
      </c>
      <c r="AE146" s="14">
        <f>AD146-AC146</f>
        <v>5.9952043329758453E-15</v>
      </c>
      <c r="AF146"/>
      <c r="AG146"/>
      <c r="AH146"/>
      <c r="AI146"/>
      <c r="AJ146"/>
      <c r="AK146"/>
      <c r="AL146"/>
      <c r="AM146"/>
      <c r="AN146"/>
      <c r="AO146"/>
      <c r="AP146"/>
      <c r="AQ146"/>
    </row>
    <row r="147" spans="1:43" x14ac:dyDescent="0.55000000000000004">
      <c r="A147">
        <v>146</v>
      </c>
      <c r="B147" s="7">
        <f t="shared" si="4"/>
        <v>146</v>
      </c>
      <c r="C147" s="7">
        <f t="shared" si="5"/>
        <v>0</v>
      </c>
      <c r="D147" t="s">
        <v>415</v>
      </c>
      <c r="E147" t="s">
        <v>25</v>
      </c>
      <c r="F147" t="s">
        <v>47</v>
      </c>
      <c r="G147">
        <v>8</v>
      </c>
      <c r="H147">
        <v>18.600000000000001</v>
      </c>
      <c r="I147">
        <v>6</v>
      </c>
      <c r="J147">
        <v>0.45800000000000002</v>
      </c>
      <c r="K147">
        <v>1.6</v>
      </c>
      <c r="L147">
        <v>0.3</v>
      </c>
      <c r="M147">
        <v>1</v>
      </c>
      <c r="N147">
        <v>4.3</v>
      </c>
      <c r="O147">
        <v>1.6</v>
      </c>
      <c r="P147">
        <v>1</v>
      </c>
      <c r="Q147">
        <v>0.1</v>
      </c>
      <c r="R147">
        <v>0.5</v>
      </c>
      <c r="S147">
        <v>7.4</v>
      </c>
      <c r="T147" s="14">
        <f>(J147 - AVERAGE(FG_Range))*I147</f>
        <v>-4.7238805970150066E-3</v>
      </c>
      <c r="U147" s="14">
        <f>(M147 - AVERAGE(FT_RANGE))*L147</f>
        <v>7.1060076045627224E-2</v>
      </c>
      <c r="V147" s="14">
        <f>(K147 - AVERAGE(Three_Range))/STDEV(Three_Range)</f>
        <v>0.12803937786709912</v>
      </c>
      <c r="W147" s="14">
        <f>(S147 - AVERAGE(Pts_Range))/STDEV(Pts_Range)</f>
        <v>-0.85614371889234342</v>
      </c>
      <c r="X147" s="14">
        <f>(N147 - AVERAGE(Reb_Range))/STDEV(Reb_Range)</f>
        <v>-0.20323025553080853</v>
      </c>
      <c r="Y147" s="14">
        <f>(O147 - AVERAGE(Ast_Range))/STDEV(Ast_Range)</f>
        <v>-0.58827508603395795</v>
      </c>
      <c r="Z147" s="14">
        <f>(P147 - AVERAGE(Stl_Range))/STDEV(Stl_Range)</f>
        <v>0.31183915844888088</v>
      </c>
      <c r="AA147" s="14">
        <f>(Q147 - AVERAGE(Blk_Range))/STDEV(Blk_Range)</f>
        <v>-0.81064224877821867</v>
      </c>
      <c r="AB147" s="14">
        <f>(R147 - AVERAGE(Tov_Range))/STDEV(Tov_Range)*-1</f>
        <v>1.1315090311111724</v>
      </c>
      <c r="AC147" s="14">
        <f>SUM(T147:AB147)</f>
        <v>-0.82056754635956408</v>
      </c>
      <c r="AD147" s="14">
        <v>-0.82056754635955675</v>
      </c>
      <c r="AE147" s="14">
        <f>AD147-AC147</f>
        <v>7.3274719625260332E-15</v>
      </c>
      <c r="AF147"/>
      <c r="AG147"/>
      <c r="AH147"/>
      <c r="AI147"/>
      <c r="AJ147"/>
      <c r="AK147"/>
      <c r="AL147"/>
      <c r="AM147"/>
      <c r="AN147"/>
      <c r="AO147"/>
      <c r="AP147"/>
      <c r="AQ147"/>
    </row>
    <row r="148" spans="1:43" x14ac:dyDescent="0.55000000000000004">
      <c r="A148">
        <v>147</v>
      </c>
      <c r="B148" s="7">
        <f t="shared" si="4"/>
        <v>147</v>
      </c>
      <c r="C148" s="7">
        <f t="shared" si="5"/>
        <v>0</v>
      </c>
      <c r="D148" t="s">
        <v>368</v>
      </c>
      <c r="E148" t="s">
        <v>18</v>
      </c>
      <c r="F148" t="s">
        <v>61</v>
      </c>
      <c r="G148">
        <v>10</v>
      </c>
      <c r="H148">
        <v>20.2</v>
      </c>
      <c r="I148">
        <v>7.5</v>
      </c>
      <c r="J148">
        <v>0.54700000000000004</v>
      </c>
      <c r="K148">
        <v>1</v>
      </c>
      <c r="L148">
        <v>2.6</v>
      </c>
      <c r="M148">
        <v>0.69199999999999995</v>
      </c>
      <c r="N148">
        <v>4.4000000000000004</v>
      </c>
      <c r="O148">
        <v>1.3</v>
      </c>
      <c r="P148">
        <v>0.4</v>
      </c>
      <c r="Q148">
        <v>1.1000000000000001</v>
      </c>
      <c r="R148">
        <v>1.3</v>
      </c>
      <c r="S148">
        <v>11</v>
      </c>
      <c r="T148" s="14">
        <f>(J148 - AVERAGE(FG_Range))*I148</f>
        <v>0.66159514925373142</v>
      </c>
      <c r="U148" s="14">
        <f>(M148 - AVERAGE(FT_RANGE))*L148</f>
        <v>-0.18494600760456414</v>
      </c>
      <c r="V148" s="14">
        <f>(K148 - AVERAGE(Three_Range))/STDEV(Three_Range)</f>
        <v>-0.48838972276253317</v>
      </c>
      <c r="W148" s="14">
        <f>(S148 - AVERAGE(Pts_Range))/STDEV(Pts_Range)</f>
        <v>-0.28016752477245582</v>
      </c>
      <c r="X148" s="14">
        <f>(N148 - AVERAGE(Reb_Range))/STDEV(Reb_Range)</f>
        <v>-0.16427052128026678</v>
      </c>
      <c r="Y148" s="14">
        <f>(O148 - AVERAGE(Ast_Range))/STDEV(Ast_Range)</f>
        <v>-0.73438975059104861</v>
      </c>
      <c r="Z148" s="14">
        <f>(P148 - AVERAGE(Stl_Range))/STDEV(Stl_Range)</f>
        <v>-0.97389767946342665</v>
      </c>
      <c r="AA148" s="14">
        <f>(Q148 - AVERAGE(Blk_Range))/STDEV(Blk_Range)</f>
        <v>1.0336032747579684</v>
      </c>
      <c r="AB148" s="14">
        <f>(R148 - AVERAGE(Tov_Range))/STDEV(Tov_Range)*-1</f>
        <v>0.29352790409826945</v>
      </c>
      <c r="AC148" s="14">
        <f>SUM(T148:AB148)</f>
        <v>-0.83733487836432552</v>
      </c>
      <c r="AD148" s="14">
        <v>-0.83733487836432419</v>
      </c>
      <c r="AE148" s="14">
        <f>AD148-AC148</f>
        <v>1.3322676295501878E-15</v>
      </c>
      <c r="AF148"/>
      <c r="AG148"/>
      <c r="AH148"/>
      <c r="AI148"/>
      <c r="AJ148"/>
      <c r="AK148"/>
      <c r="AL148"/>
      <c r="AM148"/>
      <c r="AN148"/>
      <c r="AO148"/>
      <c r="AP148"/>
      <c r="AQ148"/>
    </row>
    <row r="149" spans="1:43" x14ac:dyDescent="0.55000000000000004">
      <c r="A149">
        <v>148</v>
      </c>
      <c r="B149" s="7">
        <f t="shared" si="4"/>
        <v>148</v>
      </c>
      <c r="C149" s="7">
        <f t="shared" si="5"/>
        <v>0</v>
      </c>
      <c r="D149" t="s">
        <v>141</v>
      </c>
      <c r="E149" t="s">
        <v>25</v>
      </c>
      <c r="F149" t="s">
        <v>19</v>
      </c>
      <c r="G149">
        <v>10</v>
      </c>
      <c r="H149">
        <v>27.9</v>
      </c>
      <c r="I149">
        <v>9</v>
      </c>
      <c r="J149">
        <v>0.46700000000000003</v>
      </c>
      <c r="K149">
        <v>2.1</v>
      </c>
      <c r="L149">
        <v>2.4</v>
      </c>
      <c r="M149">
        <v>0.79200000000000004</v>
      </c>
      <c r="N149">
        <v>3.7</v>
      </c>
      <c r="O149">
        <v>0.8</v>
      </c>
      <c r="P149">
        <v>0.8</v>
      </c>
      <c r="Q149">
        <v>0.3</v>
      </c>
      <c r="R149">
        <v>1.2</v>
      </c>
      <c r="S149">
        <v>12.4</v>
      </c>
      <c r="T149" s="14">
        <f>(J149 - AVERAGE(FG_Range))*I149</f>
        <v>7.3914179104477562E-2</v>
      </c>
      <c r="U149" s="14">
        <f>(M149 - AVERAGE(FT_RANGE))*L149</f>
        <v>6.9280608365017926E-2</v>
      </c>
      <c r="V149" s="14">
        <f>(K149 - AVERAGE(Three_Range))/STDEV(Three_Range)</f>
        <v>0.64173029505845924</v>
      </c>
      <c r="W149" s="14">
        <f>(S149 - AVERAGE(Pts_Range))/STDEV(Pts_Range)</f>
        <v>-5.617678261472165E-2</v>
      </c>
      <c r="X149" s="14">
        <f>(N149 - AVERAGE(Reb_Range))/STDEV(Reb_Range)</f>
        <v>-0.43698866103405754</v>
      </c>
      <c r="Y149" s="14">
        <f>(O149 - AVERAGE(Ast_Range))/STDEV(Ast_Range)</f>
        <v>-0.97791419151953307</v>
      </c>
      <c r="Z149" s="14">
        <f>(P149 - AVERAGE(Stl_Range))/STDEV(Stl_Range)</f>
        <v>-0.11673978752188821</v>
      </c>
      <c r="AA149" s="14">
        <f>(Q149 - AVERAGE(Blk_Range))/STDEV(Blk_Range)</f>
        <v>-0.4417931440709813</v>
      </c>
      <c r="AB149" s="14">
        <f>(R149 - AVERAGE(Tov_Range))/STDEV(Tov_Range)*-1</f>
        <v>0.39827554497488243</v>
      </c>
      <c r="AC149" s="14">
        <f>SUM(T149:AB149)</f>
        <v>-0.84641193925834446</v>
      </c>
      <c r="AD149" s="14">
        <v>-0.84641193925834368</v>
      </c>
      <c r="AE149" s="14">
        <f>AD149-AC149</f>
        <v>0</v>
      </c>
      <c r="AF149"/>
      <c r="AG149"/>
      <c r="AH149"/>
      <c r="AI149"/>
      <c r="AJ149"/>
      <c r="AK149"/>
      <c r="AL149"/>
      <c r="AM149"/>
      <c r="AN149"/>
      <c r="AO149"/>
      <c r="AP149"/>
      <c r="AQ149"/>
    </row>
    <row r="150" spans="1:43" x14ac:dyDescent="0.55000000000000004">
      <c r="A150">
        <v>149</v>
      </c>
      <c r="B150" s="7">
        <f t="shared" si="4"/>
        <v>149</v>
      </c>
      <c r="C150" s="7">
        <f t="shared" si="5"/>
        <v>0</v>
      </c>
      <c r="D150" t="s">
        <v>627</v>
      </c>
      <c r="E150" t="s">
        <v>18</v>
      </c>
      <c r="F150" t="s">
        <v>43</v>
      </c>
      <c r="G150">
        <v>10</v>
      </c>
      <c r="H150">
        <v>22.9</v>
      </c>
      <c r="I150">
        <v>8.6999999999999993</v>
      </c>
      <c r="J150">
        <v>0.48299999999999998</v>
      </c>
      <c r="K150">
        <v>0.2</v>
      </c>
      <c r="L150">
        <v>1.8</v>
      </c>
      <c r="M150">
        <v>0.5</v>
      </c>
      <c r="N150">
        <v>7.2</v>
      </c>
      <c r="O150">
        <v>3.1</v>
      </c>
      <c r="P150">
        <v>0.9</v>
      </c>
      <c r="Q150">
        <v>0.7</v>
      </c>
      <c r="R150">
        <v>1.8</v>
      </c>
      <c r="S150">
        <v>9.5</v>
      </c>
      <c r="T150" s="14">
        <f>(J150 - AVERAGE(FG_Range))*I150</f>
        <v>0.21065037313432794</v>
      </c>
      <c r="U150" s="14">
        <f>(M150 - AVERAGE(FT_RANGE))*L150</f>
        <v>-0.47363954372623662</v>
      </c>
      <c r="V150" s="14">
        <f>(K150 - AVERAGE(Three_Range))/STDEV(Three_Range)</f>
        <v>-1.3102951902687094</v>
      </c>
      <c r="W150" s="14">
        <f>(S150 - AVERAGE(Pts_Range))/STDEV(Pts_Range)</f>
        <v>-0.52015760565574232</v>
      </c>
      <c r="X150" s="14">
        <f>(N150 - AVERAGE(Reb_Range))/STDEV(Reb_Range)</f>
        <v>0.92660203773489591</v>
      </c>
      <c r="Y150" s="14">
        <f>(O150 - AVERAGE(Ast_Range))/STDEV(Ast_Range)</f>
        <v>0.14229823675149517</v>
      </c>
      <c r="Z150" s="14">
        <f>(P150 - AVERAGE(Stl_Range))/STDEV(Stl_Range)</f>
        <v>9.7549685463496322E-2</v>
      </c>
      <c r="AA150" s="14">
        <f>(Q150 - AVERAGE(Blk_Range))/STDEV(Blk_Range)</f>
        <v>0.29590506534349342</v>
      </c>
      <c r="AB150" s="14">
        <f>(R150 - AVERAGE(Tov_Range))/STDEV(Tov_Range)*-1</f>
        <v>-0.23021030028479489</v>
      </c>
      <c r="AC150" s="14">
        <f>SUM(T150:AB150)</f>
        <v>-0.86129724150777465</v>
      </c>
      <c r="AD150" s="14">
        <v>-0.86129724150776554</v>
      </c>
      <c r="AE150" s="14">
        <f>AD150-AC150</f>
        <v>9.1038288019262836E-15</v>
      </c>
      <c r="AF150"/>
      <c r="AG150"/>
      <c r="AH150"/>
      <c r="AI150"/>
      <c r="AJ150"/>
      <c r="AK150"/>
      <c r="AL150"/>
      <c r="AM150"/>
      <c r="AN150"/>
      <c r="AO150"/>
      <c r="AP150"/>
      <c r="AQ150"/>
    </row>
    <row r="151" spans="1:43" x14ac:dyDescent="0.55000000000000004">
      <c r="A151">
        <v>150</v>
      </c>
      <c r="B151" s="7">
        <f t="shared" si="4"/>
        <v>150</v>
      </c>
      <c r="C151" s="7">
        <f t="shared" si="5"/>
        <v>0</v>
      </c>
      <c r="D151" t="s">
        <v>597</v>
      </c>
      <c r="E151" t="s">
        <v>15</v>
      </c>
      <c r="F151" t="s">
        <v>67</v>
      </c>
      <c r="G151">
        <v>11</v>
      </c>
      <c r="H151">
        <v>24</v>
      </c>
      <c r="I151">
        <v>9.3000000000000007</v>
      </c>
      <c r="J151">
        <v>0.373</v>
      </c>
      <c r="K151">
        <v>2.8</v>
      </c>
      <c r="L151">
        <v>2.5</v>
      </c>
      <c r="M151">
        <v>0.82099999999999995</v>
      </c>
      <c r="N151">
        <v>3.1</v>
      </c>
      <c r="O151">
        <v>1.4</v>
      </c>
      <c r="P151">
        <v>0.5</v>
      </c>
      <c r="Q151">
        <v>0.3</v>
      </c>
      <c r="R151">
        <v>0.5</v>
      </c>
      <c r="S151">
        <v>11.8</v>
      </c>
      <c r="T151" s="14">
        <f>(J151 - AVERAGE(FG_Range))*I151</f>
        <v>-0.79782201492537352</v>
      </c>
      <c r="U151" s="14">
        <f>(M151 - AVERAGE(FT_RANGE))*L151</f>
        <v>0.14466730038022679</v>
      </c>
      <c r="V151" s="14">
        <f>(K151 - AVERAGE(Three_Range))/STDEV(Three_Range)</f>
        <v>1.3608975791263631</v>
      </c>
      <c r="W151" s="14">
        <f>(S151 - AVERAGE(Pts_Range))/STDEV(Pts_Range)</f>
        <v>-0.15217281496803622</v>
      </c>
      <c r="X151" s="14">
        <f>(N151 - AVERAGE(Reb_Range))/STDEV(Reb_Range)</f>
        <v>-0.67074706653730676</v>
      </c>
      <c r="Y151" s="14">
        <f>(O151 - AVERAGE(Ast_Range))/STDEV(Ast_Range)</f>
        <v>-0.68568486240535176</v>
      </c>
      <c r="Z151" s="14">
        <f>(P151 - AVERAGE(Stl_Range))/STDEV(Stl_Range)</f>
        <v>-0.75960820647804206</v>
      </c>
      <c r="AA151" s="14">
        <f>(Q151 - AVERAGE(Blk_Range))/STDEV(Blk_Range)</f>
        <v>-0.4417931440709813</v>
      </c>
      <c r="AB151" s="14">
        <f>(R151 - AVERAGE(Tov_Range))/STDEV(Tov_Range)*-1</f>
        <v>1.1315090311111724</v>
      </c>
      <c r="AC151" s="14">
        <f>SUM(T151:AB151)</f>
        <v>-0.87075419876732929</v>
      </c>
      <c r="AD151" s="14">
        <v>-0.87075419876733284</v>
      </c>
      <c r="AE151" s="14">
        <f>AD151-AC151</f>
        <v>-3.5527136788005009E-15</v>
      </c>
      <c r="AF151"/>
      <c r="AG151"/>
      <c r="AH151"/>
      <c r="AI151"/>
      <c r="AJ151"/>
      <c r="AK151"/>
      <c r="AL151"/>
      <c r="AM151"/>
      <c r="AN151"/>
      <c r="AO151"/>
      <c r="AP151"/>
      <c r="AQ151"/>
    </row>
    <row r="152" spans="1:43" x14ac:dyDescent="0.55000000000000004">
      <c r="A152">
        <v>151</v>
      </c>
      <c r="B152" s="7">
        <f t="shared" si="4"/>
        <v>151</v>
      </c>
      <c r="C152" s="7">
        <f t="shared" si="5"/>
        <v>0</v>
      </c>
      <c r="D152" t="s">
        <v>369</v>
      </c>
      <c r="E152" t="s">
        <v>25</v>
      </c>
      <c r="F152" t="s">
        <v>56</v>
      </c>
      <c r="G152">
        <v>8</v>
      </c>
      <c r="H152">
        <v>32.5</v>
      </c>
      <c r="I152">
        <v>11.9</v>
      </c>
      <c r="J152">
        <v>0.41099999999999998</v>
      </c>
      <c r="K152">
        <v>2</v>
      </c>
      <c r="L152">
        <v>2.1</v>
      </c>
      <c r="M152">
        <v>0.94099999999999995</v>
      </c>
      <c r="N152">
        <v>2.9</v>
      </c>
      <c r="O152">
        <v>1.6</v>
      </c>
      <c r="P152">
        <v>0.9</v>
      </c>
      <c r="Q152">
        <v>0.3</v>
      </c>
      <c r="R152">
        <v>1.3</v>
      </c>
      <c r="S152">
        <v>13.8</v>
      </c>
      <c r="T152" s="14">
        <f>(J152 - AVERAGE(FG_Range))*I152</f>
        <v>-0.56866902985074697</v>
      </c>
      <c r="U152" s="14">
        <f>(M152 - AVERAGE(FT_RANGE))*L152</f>
        <v>0.37352053231939053</v>
      </c>
      <c r="V152" s="14">
        <f>(K152 - AVERAGE(Three_Range))/STDEV(Three_Range)</f>
        <v>0.53899211162018712</v>
      </c>
      <c r="W152" s="14">
        <f>(S152 - AVERAGE(Pts_Range))/STDEV(Pts_Range)</f>
        <v>0.16781395954301251</v>
      </c>
      <c r="X152" s="14">
        <f>(N152 - AVERAGE(Reb_Range))/STDEV(Reb_Range)</f>
        <v>-0.74866653503838987</v>
      </c>
      <c r="Y152" s="14">
        <f>(O152 - AVERAGE(Ast_Range))/STDEV(Ast_Range)</f>
        <v>-0.58827508603395795</v>
      </c>
      <c r="Z152" s="14">
        <f>(P152 - AVERAGE(Stl_Range))/STDEV(Stl_Range)</f>
        <v>9.7549685463496322E-2</v>
      </c>
      <c r="AA152" s="14">
        <f>(Q152 - AVERAGE(Blk_Range))/STDEV(Blk_Range)</f>
        <v>-0.4417931440709813</v>
      </c>
      <c r="AB152" s="14">
        <f>(R152 - AVERAGE(Tov_Range))/STDEV(Tov_Range)*-1</f>
        <v>0.29352790409826945</v>
      </c>
      <c r="AC152" s="14">
        <f>SUM(T152:AB152)</f>
        <v>-0.87599960194972026</v>
      </c>
      <c r="AD152" s="14">
        <v>-0.87599960194971982</v>
      </c>
      <c r="AE152" s="14">
        <f>AD152-AC152</f>
        <v>0</v>
      </c>
      <c r="AF152"/>
      <c r="AG152"/>
      <c r="AH152"/>
      <c r="AI152"/>
      <c r="AJ152"/>
      <c r="AK152"/>
      <c r="AL152"/>
      <c r="AM152"/>
      <c r="AN152"/>
      <c r="AO152"/>
      <c r="AP152"/>
      <c r="AQ152"/>
    </row>
    <row r="153" spans="1:43" x14ac:dyDescent="0.55000000000000004">
      <c r="A153">
        <v>152</v>
      </c>
      <c r="B153" s="7">
        <f t="shared" si="4"/>
        <v>152</v>
      </c>
      <c r="C153" s="7">
        <f t="shared" si="5"/>
        <v>0</v>
      </c>
      <c r="D153" t="s">
        <v>370</v>
      </c>
      <c r="E153" t="s">
        <v>25</v>
      </c>
      <c r="F153" t="s">
        <v>31</v>
      </c>
      <c r="G153">
        <v>7</v>
      </c>
      <c r="H153">
        <v>28</v>
      </c>
      <c r="I153">
        <v>9.3000000000000007</v>
      </c>
      <c r="J153">
        <v>0.50800000000000001</v>
      </c>
      <c r="K153">
        <v>2.6</v>
      </c>
      <c r="L153">
        <v>0</v>
      </c>
      <c r="M153"/>
      <c r="N153">
        <v>2.4</v>
      </c>
      <c r="O153">
        <v>2.6</v>
      </c>
      <c r="P153">
        <v>0.7</v>
      </c>
      <c r="Q153">
        <v>0</v>
      </c>
      <c r="R153">
        <v>1.6</v>
      </c>
      <c r="S153">
        <v>12</v>
      </c>
      <c r="T153" s="14">
        <f>(J153 - AVERAGE(FG_Range))*I153</f>
        <v>0.45767798507462665</v>
      </c>
      <c r="U153" s="14">
        <f>(M153 - AVERAGE(FT_RANGE))*L153</f>
        <v>0</v>
      </c>
      <c r="V153" s="14">
        <f>(K153 - AVERAGE(Three_Range))/STDEV(Three_Range)</f>
        <v>1.1554212122498193</v>
      </c>
      <c r="W153" s="14">
        <f>(S153 - AVERAGE(Pts_Range))/STDEV(Pts_Range)</f>
        <v>-0.12017413751693146</v>
      </c>
      <c r="X153" s="14">
        <f>(N153 - AVERAGE(Reb_Range))/STDEV(Reb_Range)</f>
        <v>-0.94346520629109754</v>
      </c>
      <c r="Y153" s="14">
        <f>(O153 - AVERAGE(Ast_Range))/STDEV(Ast_Range)</f>
        <v>-0.1012262041769892</v>
      </c>
      <c r="Z153" s="14">
        <f>(P153 - AVERAGE(Stl_Range))/STDEV(Stl_Range)</f>
        <v>-0.33102926050727299</v>
      </c>
      <c r="AA153" s="14">
        <f>(Q153 - AVERAGE(Blk_Range))/STDEV(Blk_Range)</f>
        <v>-0.99506680113183732</v>
      </c>
      <c r="AB153" s="14">
        <f>(R153 - AVERAGE(Tov_Range))/STDEV(Tov_Range)*-1</f>
        <v>-2.0715018531569193E-2</v>
      </c>
      <c r="AC153" s="14">
        <f>SUM(T153:AB153)</f>
        <v>-0.89857743083125174</v>
      </c>
      <c r="AD153" s="14">
        <v>-0.89857743083125552</v>
      </c>
      <c r="AE153" s="14">
        <f>AD153-AC153</f>
        <v>-3.7747582837255322E-15</v>
      </c>
      <c r="AF153"/>
      <c r="AG153"/>
      <c r="AH153"/>
      <c r="AI153"/>
      <c r="AJ153"/>
      <c r="AK153"/>
      <c r="AL153"/>
      <c r="AM153"/>
      <c r="AN153"/>
      <c r="AO153"/>
      <c r="AP153"/>
      <c r="AQ153"/>
    </row>
    <row r="154" spans="1:43" x14ac:dyDescent="0.55000000000000004">
      <c r="A154">
        <v>153</v>
      </c>
      <c r="B154" s="7">
        <f t="shared" si="4"/>
        <v>153</v>
      </c>
      <c r="C154" s="7">
        <f t="shared" si="5"/>
        <v>0</v>
      </c>
      <c r="D154" t="s">
        <v>116</v>
      </c>
      <c r="E154" t="s">
        <v>15</v>
      </c>
      <c r="F154" t="s">
        <v>28</v>
      </c>
      <c r="G154">
        <v>10</v>
      </c>
      <c r="H154">
        <v>28.2</v>
      </c>
      <c r="I154">
        <v>11.9</v>
      </c>
      <c r="J154">
        <v>0.46200000000000002</v>
      </c>
      <c r="K154">
        <v>0.6</v>
      </c>
      <c r="L154">
        <v>2.1</v>
      </c>
      <c r="M154">
        <v>0.42899999999999999</v>
      </c>
      <c r="N154">
        <v>5.4</v>
      </c>
      <c r="O154">
        <v>1.6</v>
      </c>
      <c r="P154">
        <v>0.7</v>
      </c>
      <c r="Q154">
        <v>0.9</v>
      </c>
      <c r="R154">
        <v>0.9</v>
      </c>
      <c r="S154">
        <v>12.5</v>
      </c>
      <c r="T154" s="14">
        <f>(J154 - AVERAGE(FG_Range))*I154</f>
        <v>3.8230970149253612E-2</v>
      </c>
      <c r="U154" s="14">
        <f>(M154 - AVERAGE(FT_RANGE))*L154</f>
        <v>-0.7016794676806094</v>
      </c>
      <c r="V154" s="14">
        <f>(K154 - AVERAGE(Three_Range))/STDEV(Three_Range)</f>
        <v>-0.89934245651562128</v>
      </c>
      <c r="W154" s="14">
        <f>(S154 - AVERAGE(Pts_Range))/STDEV(Pts_Range)</f>
        <v>-4.0177443889169273E-2</v>
      </c>
      <c r="X154" s="14">
        <f>(N154 - AVERAGE(Reb_Range))/STDEV(Reb_Range)</f>
        <v>0.22532682122514847</v>
      </c>
      <c r="Y154" s="14">
        <f>(O154 - AVERAGE(Ast_Range))/STDEV(Ast_Range)</f>
        <v>-0.58827508603395795</v>
      </c>
      <c r="Z154" s="14">
        <f>(P154 - AVERAGE(Stl_Range))/STDEV(Stl_Range)</f>
        <v>-0.33102926050727299</v>
      </c>
      <c r="AA154" s="14">
        <f>(Q154 - AVERAGE(Blk_Range))/STDEV(Blk_Range)</f>
        <v>0.6647541700507309</v>
      </c>
      <c r="AB154" s="14">
        <f>(R154 - AVERAGE(Tov_Range))/STDEV(Tov_Range)*-1</f>
        <v>0.71251846760472104</v>
      </c>
      <c r="AC154" s="14">
        <f>SUM(T154:AB154)</f>
        <v>-0.91967328559677697</v>
      </c>
      <c r="AD154" s="14">
        <v>-0.9196732855967702</v>
      </c>
      <c r="AE154" s="14">
        <f>AD154-AC154</f>
        <v>6.7723604502134549E-15</v>
      </c>
      <c r="AF154"/>
      <c r="AG154"/>
      <c r="AH154"/>
      <c r="AI154"/>
      <c r="AJ154"/>
      <c r="AK154"/>
      <c r="AL154"/>
      <c r="AM154"/>
      <c r="AN154"/>
      <c r="AO154"/>
      <c r="AP154"/>
      <c r="AQ154"/>
    </row>
    <row r="155" spans="1:43" x14ac:dyDescent="0.55000000000000004">
      <c r="A155">
        <v>154</v>
      </c>
      <c r="B155" s="7">
        <f t="shared" si="4"/>
        <v>154</v>
      </c>
      <c r="C155" s="7">
        <f t="shared" si="5"/>
        <v>0</v>
      </c>
      <c r="D155" t="s">
        <v>306</v>
      </c>
      <c r="E155" t="s">
        <v>46</v>
      </c>
      <c r="F155" t="s">
        <v>28</v>
      </c>
      <c r="G155">
        <v>5</v>
      </c>
      <c r="H155">
        <v>20.399999999999999</v>
      </c>
      <c r="I155">
        <v>7.2</v>
      </c>
      <c r="J155">
        <v>0.44400000000000001</v>
      </c>
      <c r="K155">
        <v>1</v>
      </c>
      <c r="L155">
        <v>0.4</v>
      </c>
      <c r="M155">
        <v>0.5</v>
      </c>
      <c r="N155">
        <v>2.8</v>
      </c>
      <c r="O155">
        <v>2.4</v>
      </c>
      <c r="P155">
        <v>1.2</v>
      </c>
      <c r="Q155">
        <v>1</v>
      </c>
      <c r="R155">
        <v>1.6</v>
      </c>
      <c r="S155">
        <v>7.6</v>
      </c>
      <c r="T155" s="14">
        <f>(J155 - AVERAGE(FG_Range))*I155</f>
        <v>-0.1064686567164181</v>
      </c>
      <c r="U155" s="14">
        <f>(M155 - AVERAGE(FT_RANGE))*L155</f>
        <v>-0.10525323193916369</v>
      </c>
      <c r="V155" s="14">
        <f>(K155 - AVERAGE(Three_Range))/STDEV(Three_Range)</f>
        <v>-0.48838972276253317</v>
      </c>
      <c r="W155" s="14">
        <f>(S155 - AVERAGE(Pts_Range))/STDEV(Pts_Range)</f>
        <v>-0.82414504144123868</v>
      </c>
      <c r="X155" s="14">
        <f>(N155 - AVERAGE(Reb_Range))/STDEV(Reb_Range)</f>
        <v>-0.78762626928893142</v>
      </c>
      <c r="Y155" s="14">
        <f>(O155 - AVERAGE(Ast_Range))/STDEV(Ast_Range)</f>
        <v>-0.19863598054838305</v>
      </c>
      <c r="Z155" s="14">
        <f>(P155 - AVERAGE(Stl_Range))/STDEV(Stl_Range)</f>
        <v>0.74041810441964995</v>
      </c>
      <c r="AA155" s="14">
        <f>(Q155 - AVERAGE(Blk_Range))/STDEV(Blk_Range)</f>
        <v>0.84917872240434955</v>
      </c>
      <c r="AB155" s="14">
        <f>(R155 - AVERAGE(Tov_Range))/STDEV(Tov_Range)*-1</f>
        <v>-2.0715018531569193E-2</v>
      </c>
      <c r="AC155" s="14">
        <f>SUM(T155:AB155)</f>
        <v>-0.94163709440423771</v>
      </c>
      <c r="AD155" s="14">
        <v>-0.94163709440423204</v>
      </c>
      <c r="AE155" s="14">
        <f>AD155-AC155</f>
        <v>5.6621374255882984E-15</v>
      </c>
      <c r="AF155"/>
      <c r="AG155"/>
      <c r="AH155"/>
      <c r="AI155"/>
      <c r="AJ155"/>
      <c r="AK155"/>
      <c r="AL155"/>
      <c r="AM155"/>
      <c r="AN155"/>
      <c r="AO155"/>
      <c r="AP155"/>
      <c r="AQ155"/>
    </row>
    <row r="156" spans="1:43" x14ac:dyDescent="0.55000000000000004">
      <c r="A156">
        <v>155</v>
      </c>
      <c r="B156" s="7">
        <f t="shared" si="4"/>
        <v>155</v>
      </c>
      <c r="C156" s="7">
        <f t="shared" si="5"/>
        <v>0</v>
      </c>
      <c r="D156" t="s">
        <v>312</v>
      </c>
      <c r="E156" t="s">
        <v>25</v>
      </c>
      <c r="F156" t="s">
        <v>80</v>
      </c>
      <c r="G156">
        <v>9</v>
      </c>
      <c r="H156">
        <v>25.9</v>
      </c>
      <c r="I156">
        <v>10.7</v>
      </c>
      <c r="J156">
        <v>0.45800000000000002</v>
      </c>
      <c r="K156">
        <v>1.2</v>
      </c>
      <c r="L156">
        <v>3.8</v>
      </c>
      <c r="M156">
        <v>0.82399999999999995</v>
      </c>
      <c r="N156">
        <v>1.7</v>
      </c>
      <c r="O156">
        <v>3.3</v>
      </c>
      <c r="P156">
        <v>1</v>
      </c>
      <c r="Q156">
        <v>0.2</v>
      </c>
      <c r="R156">
        <v>1.4</v>
      </c>
      <c r="S156">
        <v>14.1</v>
      </c>
      <c r="T156" s="14">
        <f>(J156 - AVERAGE(FG_Range))*I156</f>
        <v>-8.4242537313434281E-3</v>
      </c>
      <c r="U156" s="14">
        <f>(M156 - AVERAGE(FT_RANGE))*L156</f>
        <v>0.23129429657794473</v>
      </c>
      <c r="V156" s="14">
        <f>(K156 - AVERAGE(Three_Range))/STDEV(Three_Range)</f>
        <v>-0.28291335588598915</v>
      </c>
      <c r="W156" s="14">
        <f>(S156 - AVERAGE(Pts_Range))/STDEV(Pts_Range)</f>
        <v>0.21581197571966965</v>
      </c>
      <c r="X156" s="14">
        <f>(N156 - AVERAGE(Reb_Range))/STDEV(Reb_Range)</f>
        <v>-1.2161833460448881</v>
      </c>
      <c r="Y156" s="14">
        <f>(O156 - AVERAGE(Ast_Range))/STDEV(Ast_Range)</f>
        <v>0.23970801312288878</v>
      </c>
      <c r="Z156" s="14">
        <f>(P156 - AVERAGE(Stl_Range))/STDEV(Stl_Range)</f>
        <v>0.31183915844888088</v>
      </c>
      <c r="AA156" s="14">
        <f>(Q156 - AVERAGE(Blk_Range))/STDEV(Blk_Range)</f>
        <v>-0.6262176964245999</v>
      </c>
      <c r="AB156" s="14">
        <f>(R156 - AVERAGE(Tov_Range))/STDEV(Tov_Range)*-1</f>
        <v>0.18878026322165675</v>
      </c>
      <c r="AC156" s="14">
        <f>SUM(T156:AB156)</f>
        <v>-0.94630494499577955</v>
      </c>
      <c r="AD156" s="14">
        <v>-0.94630494499577766</v>
      </c>
      <c r="AE156" s="14">
        <f>AD156-AC156</f>
        <v>1.8873791418627661E-15</v>
      </c>
      <c r="AF156"/>
      <c r="AG156"/>
      <c r="AH156"/>
      <c r="AI156"/>
      <c r="AJ156"/>
      <c r="AK156"/>
      <c r="AL156"/>
      <c r="AM156"/>
      <c r="AN156"/>
      <c r="AO156"/>
      <c r="AP156"/>
      <c r="AQ156"/>
    </row>
    <row r="157" spans="1:43" x14ac:dyDescent="0.55000000000000004">
      <c r="A157">
        <v>156</v>
      </c>
      <c r="B157" s="7">
        <f t="shared" si="4"/>
        <v>156</v>
      </c>
      <c r="C157" s="7">
        <f t="shared" si="5"/>
        <v>0</v>
      </c>
      <c r="D157" t="s">
        <v>452</v>
      </c>
      <c r="E157" t="s">
        <v>25</v>
      </c>
      <c r="F157" t="s">
        <v>82</v>
      </c>
      <c r="G157">
        <v>8</v>
      </c>
      <c r="H157">
        <v>22.3</v>
      </c>
      <c r="I157">
        <v>11.4</v>
      </c>
      <c r="J157">
        <v>0.42899999999999999</v>
      </c>
      <c r="K157">
        <v>1.3</v>
      </c>
      <c r="L157">
        <v>2.1</v>
      </c>
      <c r="M157">
        <v>0.70599999999999996</v>
      </c>
      <c r="N157">
        <v>3.9</v>
      </c>
      <c r="O157">
        <v>1.6</v>
      </c>
      <c r="P157">
        <v>1.1000000000000001</v>
      </c>
      <c r="Q157">
        <v>0.5</v>
      </c>
      <c r="R157">
        <v>1.4</v>
      </c>
      <c r="S157">
        <v>12.5</v>
      </c>
      <c r="T157" s="14">
        <f>(J157 - AVERAGE(FG_Range))*I157</f>
        <v>-0.33957537313432884</v>
      </c>
      <c r="U157" s="14">
        <f>(M157 - AVERAGE(FT_RANGE))*L157</f>
        <v>-0.11997946768060948</v>
      </c>
      <c r="V157" s="14">
        <f>(K157 - AVERAGE(Three_Range))/STDEV(Three_Range)</f>
        <v>-0.18017517244771702</v>
      </c>
      <c r="W157" s="14">
        <f>(S157 - AVERAGE(Pts_Range))/STDEV(Pts_Range)</f>
        <v>-4.0177443889169273E-2</v>
      </c>
      <c r="X157" s="14">
        <f>(N157 - AVERAGE(Reb_Range))/STDEV(Reb_Range)</f>
        <v>-0.35906919253297459</v>
      </c>
      <c r="Y157" s="14">
        <f>(O157 - AVERAGE(Ast_Range))/STDEV(Ast_Range)</f>
        <v>-0.58827508603395795</v>
      </c>
      <c r="Z157" s="14">
        <f>(P157 - AVERAGE(Stl_Range))/STDEV(Stl_Range)</f>
        <v>0.52612863143426558</v>
      </c>
      <c r="AA157" s="14">
        <f>(Q157 - AVERAGE(Blk_Range))/STDEV(Blk_Range)</f>
        <v>-7.2944039363743871E-2</v>
      </c>
      <c r="AB157" s="14">
        <f>(R157 - AVERAGE(Tov_Range))/STDEV(Tov_Range)*-1</f>
        <v>0.18878026322165675</v>
      </c>
      <c r="AC157" s="14">
        <f>SUM(T157:AB157)</f>
        <v>-0.98528688042657875</v>
      </c>
      <c r="AD157" s="14">
        <v>-0.98528688042657375</v>
      </c>
      <c r="AE157" s="14">
        <f>AD157-AC157</f>
        <v>4.9960036108132044E-15</v>
      </c>
      <c r="AF157"/>
      <c r="AG157"/>
      <c r="AH157"/>
      <c r="AI157"/>
      <c r="AJ157"/>
      <c r="AK157"/>
      <c r="AL157"/>
      <c r="AM157"/>
      <c r="AN157"/>
      <c r="AO157"/>
      <c r="AP157"/>
      <c r="AQ157"/>
    </row>
    <row r="158" spans="1:43" x14ac:dyDescent="0.55000000000000004">
      <c r="A158">
        <v>157</v>
      </c>
      <c r="B158" s="7">
        <f t="shared" si="4"/>
        <v>157</v>
      </c>
      <c r="C158" s="7">
        <f t="shared" si="5"/>
        <v>0</v>
      </c>
      <c r="D158" t="s">
        <v>183</v>
      </c>
      <c r="E158" t="s">
        <v>15</v>
      </c>
      <c r="F158" t="s">
        <v>87</v>
      </c>
      <c r="G158">
        <v>7</v>
      </c>
      <c r="H158">
        <v>27.1</v>
      </c>
      <c r="I158">
        <v>4.3</v>
      </c>
      <c r="J158">
        <v>0.3</v>
      </c>
      <c r="K158">
        <v>0.4</v>
      </c>
      <c r="L158">
        <v>1.9</v>
      </c>
      <c r="M158">
        <v>0.76900000000000002</v>
      </c>
      <c r="N158">
        <v>5.0999999999999996</v>
      </c>
      <c r="O158">
        <v>6.6</v>
      </c>
      <c r="P158">
        <v>1.3</v>
      </c>
      <c r="Q158">
        <v>0.3</v>
      </c>
      <c r="R158">
        <v>2</v>
      </c>
      <c r="S158">
        <v>4.4000000000000004</v>
      </c>
      <c r="T158" s="14">
        <f>(J158 - AVERAGE(FG_Range))*I158</f>
        <v>-0.68278544776119421</v>
      </c>
      <c r="U158" s="14">
        <f>(M158 - AVERAGE(FT_RANGE))*L158</f>
        <v>1.1147148288972486E-2</v>
      </c>
      <c r="V158" s="14">
        <f>(K158 - AVERAGE(Three_Range))/STDEV(Three_Range)</f>
        <v>-1.1048188233921654</v>
      </c>
      <c r="W158" s="14">
        <f>(S158 - AVERAGE(Pts_Range))/STDEV(Pts_Range)</f>
        <v>-1.3361238806589166</v>
      </c>
      <c r="X158" s="14">
        <f>(N158 - AVERAGE(Reb_Range))/STDEV(Reb_Range)</f>
        <v>0.1084476184735236</v>
      </c>
      <c r="Y158" s="14">
        <f>(O158 - AVERAGE(Ast_Range))/STDEV(Ast_Range)</f>
        <v>1.8469693232508855</v>
      </c>
      <c r="Z158" s="14">
        <f>(P158 - AVERAGE(Stl_Range))/STDEV(Stl_Range)</f>
        <v>0.95470757740503476</v>
      </c>
      <c r="AA158" s="14">
        <f>(Q158 - AVERAGE(Blk_Range))/STDEV(Blk_Range)</f>
        <v>-0.4417931440709813</v>
      </c>
      <c r="AB158" s="14">
        <f>(R158 - AVERAGE(Tov_Range))/STDEV(Tov_Range)*-1</f>
        <v>-0.43970558203802057</v>
      </c>
      <c r="AC158" s="14">
        <f>SUM(T158:AB158)</f>
        <v>-1.0839552105028623</v>
      </c>
      <c r="AD158" s="14">
        <v>-1.0839552105028536</v>
      </c>
      <c r="AE158" s="14">
        <f>AD158-AC158</f>
        <v>8.659739592076221E-15</v>
      </c>
      <c r="AF158"/>
      <c r="AG158"/>
      <c r="AH158"/>
      <c r="AI158"/>
      <c r="AJ158"/>
      <c r="AK158"/>
      <c r="AL158"/>
      <c r="AM158"/>
      <c r="AN158"/>
      <c r="AO158"/>
      <c r="AP158"/>
      <c r="AQ158"/>
    </row>
    <row r="159" spans="1:43" x14ac:dyDescent="0.55000000000000004">
      <c r="A159">
        <v>158</v>
      </c>
      <c r="B159" s="7">
        <f t="shared" si="4"/>
        <v>158</v>
      </c>
      <c r="C159" s="7">
        <f t="shared" si="5"/>
        <v>0</v>
      </c>
      <c r="D159" t="s">
        <v>345</v>
      </c>
      <c r="E159" t="s">
        <v>34</v>
      </c>
      <c r="F159" t="s">
        <v>118</v>
      </c>
      <c r="G159">
        <v>12</v>
      </c>
      <c r="H159">
        <v>29.4</v>
      </c>
      <c r="I159">
        <v>12.3</v>
      </c>
      <c r="J159">
        <v>0.35399999999999998</v>
      </c>
      <c r="K159">
        <v>2.1</v>
      </c>
      <c r="L159">
        <v>1.8</v>
      </c>
      <c r="M159">
        <v>0.72699999999999998</v>
      </c>
      <c r="N159">
        <v>3.8</v>
      </c>
      <c r="O159">
        <v>3.6</v>
      </c>
      <c r="P159">
        <v>0.9</v>
      </c>
      <c r="Q159">
        <v>0.3</v>
      </c>
      <c r="R159">
        <v>1.5</v>
      </c>
      <c r="S159">
        <v>12.1</v>
      </c>
      <c r="T159" s="14">
        <f>(J159 - AVERAGE(FG_Range))*I159</f>
        <v>-1.2888839552238813</v>
      </c>
      <c r="U159" s="14">
        <f>(M159 - AVERAGE(FT_RANGE))*L159</f>
        <v>-6.5039543726236659E-2</v>
      </c>
      <c r="V159" s="14">
        <f>(K159 - AVERAGE(Three_Range))/STDEV(Three_Range)</f>
        <v>0.64173029505845924</v>
      </c>
      <c r="W159" s="14">
        <f>(S159 - AVERAGE(Pts_Range))/STDEV(Pts_Range)</f>
        <v>-0.10417479879137907</v>
      </c>
      <c r="X159" s="14">
        <f>(N159 - AVERAGE(Reb_Range))/STDEV(Reb_Range)</f>
        <v>-0.39802892678351615</v>
      </c>
      <c r="Y159" s="14">
        <f>(O159 - AVERAGE(Ast_Range))/STDEV(Ast_Range)</f>
        <v>0.38582267767997952</v>
      </c>
      <c r="Z159" s="14">
        <f>(P159 - AVERAGE(Stl_Range))/STDEV(Stl_Range)</f>
        <v>9.7549685463496322E-2</v>
      </c>
      <c r="AA159" s="14">
        <f>(Q159 - AVERAGE(Blk_Range))/STDEV(Blk_Range)</f>
        <v>-0.4417931440709813</v>
      </c>
      <c r="AB159" s="14">
        <f>(R159 - AVERAGE(Tov_Range))/STDEV(Tov_Range)*-1</f>
        <v>8.4032622345043773E-2</v>
      </c>
      <c r="AC159" s="14">
        <f>SUM(T159:AB159)</f>
        <v>-1.0887850880490155</v>
      </c>
      <c r="AD159" s="14">
        <v>-1.088785088049016</v>
      </c>
      <c r="AE159" s="14">
        <f>AD159-AC159</f>
        <v>0</v>
      </c>
      <c r="AF159"/>
      <c r="AG159"/>
      <c r="AH159"/>
      <c r="AI159"/>
      <c r="AJ159"/>
      <c r="AK159"/>
      <c r="AL159"/>
      <c r="AM159"/>
      <c r="AN159"/>
      <c r="AO159"/>
      <c r="AP159"/>
      <c r="AQ159"/>
    </row>
    <row r="160" spans="1:43" x14ac:dyDescent="0.55000000000000004">
      <c r="A160">
        <v>159</v>
      </c>
      <c r="B160" s="7">
        <f t="shared" si="4"/>
        <v>159</v>
      </c>
      <c r="C160" s="7">
        <f t="shared" si="5"/>
        <v>0</v>
      </c>
      <c r="D160" t="s">
        <v>73</v>
      </c>
      <c r="E160" t="s">
        <v>18</v>
      </c>
      <c r="F160" t="s">
        <v>33</v>
      </c>
      <c r="G160">
        <v>11</v>
      </c>
      <c r="H160">
        <v>19.8</v>
      </c>
      <c r="I160">
        <v>5.0999999999999996</v>
      </c>
      <c r="J160">
        <v>0.55400000000000005</v>
      </c>
      <c r="K160">
        <v>0.1</v>
      </c>
      <c r="L160">
        <v>1.8</v>
      </c>
      <c r="M160">
        <v>0.9</v>
      </c>
      <c r="N160">
        <v>5.7</v>
      </c>
      <c r="O160">
        <v>0.9</v>
      </c>
      <c r="P160">
        <v>0.9</v>
      </c>
      <c r="Q160">
        <v>0.4</v>
      </c>
      <c r="R160">
        <v>0.5</v>
      </c>
      <c r="S160">
        <v>7.4</v>
      </c>
      <c r="T160" s="14">
        <f>(J160 - AVERAGE(FG_Range))*I160</f>
        <v>0.48558470149253735</v>
      </c>
      <c r="U160" s="14">
        <f>(M160 - AVERAGE(FT_RANGE))*L160</f>
        <v>0.24636045627376343</v>
      </c>
      <c r="V160" s="14">
        <f>(K160 - AVERAGE(Three_Range))/STDEV(Three_Range)</f>
        <v>-1.4130333737069813</v>
      </c>
      <c r="W160" s="14">
        <f>(S160 - AVERAGE(Pts_Range))/STDEV(Pts_Range)</f>
        <v>-0.85614371889234342</v>
      </c>
      <c r="X160" s="14">
        <f>(N160 - AVERAGE(Reb_Range))/STDEV(Reb_Range)</f>
        <v>0.34220602397677297</v>
      </c>
      <c r="Y160" s="14">
        <f>(O160 - AVERAGE(Ast_Range))/STDEV(Ast_Range)</f>
        <v>-0.92920930333383611</v>
      </c>
      <c r="Z160" s="14">
        <f>(P160 - AVERAGE(Stl_Range))/STDEV(Stl_Range)</f>
        <v>9.7549685463496322E-2</v>
      </c>
      <c r="AA160" s="14">
        <f>(Q160 - AVERAGE(Blk_Range))/STDEV(Blk_Range)</f>
        <v>-0.25736859171736254</v>
      </c>
      <c r="AB160" s="14">
        <f>(R160 - AVERAGE(Tov_Range))/STDEV(Tov_Range)*-1</f>
        <v>1.1315090311111724</v>
      </c>
      <c r="AC160" s="14">
        <f>SUM(T160:AB160)</f>
        <v>-1.1525450893327809</v>
      </c>
      <c r="AD160" s="14">
        <v>-1.1525450893327667</v>
      </c>
      <c r="AE160" s="14">
        <f>AD160-AC160</f>
        <v>1.4210854715202004E-14</v>
      </c>
      <c r="AF160"/>
      <c r="AG160"/>
      <c r="AH160"/>
      <c r="AI160"/>
      <c r="AJ160"/>
      <c r="AK160"/>
      <c r="AL160"/>
      <c r="AM160"/>
      <c r="AN160"/>
      <c r="AO160"/>
      <c r="AP160"/>
      <c r="AQ160"/>
    </row>
    <row r="161" spans="1:43" x14ac:dyDescent="0.55000000000000004">
      <c r="A161">
        <v>160</v>
      </c>
      <c r="B161" s="7">
        <f t="shared" si="4"/>
        <v>160</v>
      </c>
      <c r="C161" s="7">
        <f t="shared" si="5"/>
        <v>0</v>
      </c>
      <c r="D161" t="s">
        <v>621</v>
      </c>
      <c r="E161" t="s">
        <v>25</v>
      </c>
      <c r="F161" t="s">
        <v>40</v>
      </c>
      <c r="G161">
        <v>12</v>
      </c>
      <c r="H161">
        <v>30.8</v>
      </c>
      <c r="I161">
        <v>12.6</v>
      </c>
      <c r="J161">
        <v>0.437</v>
      </c>
      <c r="K161">
        <v>1.3</v>
      </c>
      <c r="L161">
        <v>2.6</v>
      </c>
      <c r="M161">
        <v>0.77400000000000002</v>
      </c>
      <c r="N161">
        <v>4</v>
      </c>
      <c r="O161">
        <v>4.8</v>
      </c>
      <c r="P161">
        <v>0.8</v>
      </c>
      <c r="Q161">
        <v>0.3</v>
      </c>
      <c r="R161">
        <v>2.6</v>
      </c>
      <c r="S161">
        <v>14.3</v>
      </c>
      <c r="T161" s="14">
        <f>(J161 - AVERAGE(FG_Range))*I161</f>
        <v>-0.27452014925373175</v>
      </c>
      <c r="U161" s="14">
        <f>(M161 - AVERAGE(FT_RANGE))*L161</f>
        <v>2.8253992395436047E-2</v>
      </c>
      <c r="V161" s="14">
        <f>(K161 - AVERAGE(Three_Range))/STDEV(Three_Range)</f>
        <v>-0.18017517244771702</v>
      </c>
      <c r="W161" s="14">
        <f>(S161 - AVERAGE(Pts_Range))/STDEV(Pts_Range)</f>
        <v>0.24781065317077469</v>
      </c>
      <c r="X161" s="14">
        <f>(N161 - AVERAGE(Reb_Range))/STDEV(Reb_Range)</f>
        <v>-0.32010945828243303</v>
      </c>
      <c r="Y161" s="14">
        <f>(O161 - AVERAGE(Ast_Range))/STDEV(Ast_Range)</f>
        <v>0.97028133590834187</v>
      </c>
      <c r="Z161" s="14">
        <f>(P161 - AVERAGE(Stl_Range))/STDEV(Stl_Range)</f>
        <v>-0.11673978752188821</v>
      </c>
      <c r="AA161" s="14">
        <f>(Q161 - AVERAGE(Blk_Range))/STDEV(Blk_Range)</f>
        <v>-0.4417931440709813</v>
      </c>
      <c r="AB161" s="14">
        <f>(R161 - AVERAGE(Tov_Range))/STDEV(Tov_Range)*-1</f>
        <v>-1.068191427297698</v>
      </c>
      <c r="AC161" s="14">
        <f>SUM(T161:AB161)</f>
        <v>-1.1551831573998967</v>
      </c>
      <c r="AD161" s="14">
        <v>-1.1551831573998979</v>
      </c>
      <c r="AE161" s="14">
        <f>AD161-AC161</f>
        <v>0</v>
      </c>
      <c r="AF161"/>
      <c r="AG161"/>
      <c r="AH161"/>
      <c r="AI161"/>
      <c r="AJ161"/>
      <c r="AK161"/>
      <c r="AL161"/>
      <c r="AM161"/>
      <c r="AN161"/>
      <c r="AO161"/>
      <c r="AP161"/>
      <c r="AQ161"/>
    </row>
    <row r="162" spans="1:43" x14ac:dyDescent="0.55000000000000004">
      <c r="A162">
        <v>161</v>
      </c>
      <c r="B162" s="7">
        <f t="shared" si="4"/>
        <v>161</v>
      </c>
      <c r="C162" s="7">
        <f t="shared" si="5"/>
        <v>0</v>
      </c>
      <c r="D162" t="s">
        <v>637</v>
      </c>
      <c r="E162" t="s">
        <v>18</v>
      </c>
      <c r="F162" t="s">
        <v>47</v>
      </c>
      <c r="G162">
        <v>11</v>
      </c>
      <c r="H162">
        <v>27</v>
      </c>
      <c r="I162">
        <v>9</v>
      </c>
      <c r="J162">
        <v>0.52500000000000002</v>
      </c>
      <c r="K162">
        <v>0.3</v>
      </c>
      <c r="L162">
        <v>4.3</v>
      </c>
      <c r="M162">
        <v>0.72299999999999998</v>
      </c>
      <c r="N162">
        <v>7.8</v>
      </c>
      <c r="O162">
        <v>2.7</v>
      </c>
      <c r="P162">
        <v>0.3</v>
      </c>
      <c r="Q162">
        <v>0.5</v>
      </c>
      <c r="R162">
        <v>1.8</v>
      </c>
      <c r="S162">
        <v>12.8</v>
      </c>
      <c r="T162" s="14">
        <f>(J162 - AVERAGE(FG_Range))*I162</f>
        <v>0.59591417910447753</v>
      </c>
      <c r="U162" s="14">
        <f>(M162 - AVERAGE(FT_RANGE))*L162</f>
        <v>-0.17257224334600982</v>
      </c>
      <c r="V162" s="14">
        <f>(K162 - AVERAGE(Three_Range))/STDEV(Three_Range)</f>
        <v>-1.2075570068304373</v>
      </c>
      <c r="W162" s="14">
        <f>(S162 - AVERAGE(Pts_Range))/STDEV(Pts_Range)</f>
        <v>7.8205722874881475E-3</v>
      </c>
      <c r="X162" s="14">
        <f>(N162 - AVERAGE(Reb_Range))/STDEV(Reb_Range)</f>
        <v>1.1603604432381449</v>
      </c>
      <c r="Y162" s="14">
        <f>(O162 - AVERAGE(Ast_Range))/STDEV(Ast_Range)</f>
        <v>-5.252131599129229E-2</v>
      </c>
      <c r="Z162" s="14">
        <f>(P162 - AVERAGE(Stl_Range))/STDEV(Stl_Range)</f>
        <v>-1.1881871524488112</v>
      </c>
      <c r="AA162" s="14">
        <f>(Q162 - AVERAGE(Blk_Range))/STDEV(Blk_Range)</f>
        <v>-7.2944039363743871E-2</v>
      </c>
      <c r="AB162" s="14">
        <f>(R162 - AVERAGE(Tov_Range))/STDEV(Tov_Range)*-1</f>
        <v>-0.23021030028479489</v>
      </c>
      <c r="AC162" s="14">
        <f>SUM(T162:AB162)</f>
        <v>-1.1598968636349789</v>
      </c>
      <c r="AD162" s="14">
        <v>-1.159896863634974</v>
      </c>
      <c r="AE162" s="14">
        <f>AD162-AC162</f>
        <v>4.8849813083506888E-15</v>
      </c>
      <c r="AF162"/>
      <c r="AG162"/>
      <c r="AH162"/>
      <c r="AI162"/>
      <c r="AJ162"/>
      <c r="AK162"/>
      <c r="AL162"/>
      <c r="AM162"/>
      <c r="AN162"/>
      <c r="AO162"/>
      <c r="AP162"/>
      <c r="AQ162"/>
    </row>
    <row r="163" spans="1:43" x14ac:dyDescent="0.55000000000000004">
      <c r="A163">
        <v>162</v>
      </c>
      <c r="B163" s="7">
        <f t="shared" si="4"/>
        <v>162</v>
      </c>
      <c r="C163" s="7">
        <f t="shared" si="5"/>
        <v>0</v>
      </c>
      <c r="D163" t="s">
        <v>718</v>
      </c>
      <c r="E163" t="s">
        <v>25</v>
      </c>
      <c r="F163" t="s">
        <v>98</v>
      </c>
      <c r="G163">
        <v>10</v>
      </c>
      <c r="H163">
        <v>22.9</v>
      </c>
      <c r="I163">
        <v>6.4</v>
      </c>
      <c r="J163">
        <v>0.51600000000000001</v>
      </c>
      <c r="K163">
        <v>1.1000000000000001</v>
      </c>
      <c r="L163">
        <v>1</v>
      </c>
      <c r="M163">
        <v>0.9</v>
      </c>
      <c r="N163">
        <v>2.4</v>
      </c>
      <c r="O163">
        <v>3.1</v>
      </c>
      <c r="P163">
        <v>1.3</v>
      </c>
      <c r="Q163">
        <v>0.3</v>
      </c>
      <c r="R163">
        <v>1.9</v>
      </c>
      <c r="S163">
        <v>8.6</v>
      </c>
      <c r="T163" s="14">
        <f>(J163 - AVERAGE(FG_Range))*I163</f>
        <v>0.36616119402985065</v>
      </c>
      <c r="U163" s="14">
        <f>(M163 - AVERAGE(FT_RANGE))*L163</f>
        <v>0.13686692015209079</v>
      </c>
      <c r="V163" s="14">
        <f>(K163 - AVERAGE(Three_Range))/STDEV(Three_Range)</f>
        <v>-0.38565153932426105</v>
      </c>
      <c r="W163" s="14">
        <f>(S163 - AVERAGE(Pts_Range))/STDEV(Pts_Range)</f>
        <v>-0.66415165418571431</v>
      </c>
      <c r="X163" s="14">
        <f>(N163 - AVERAGE(Reb_Range))/STDEV(Reb_Range)</f>
        <v>-0.94346520629109754</v>
      </c>
      <c r="Y163" s="14">
        <f>(O163 - AVERAGE(Ast_Range))/STDEV(Ast_Range)</f>
        <v>0.14229823675149517</v>
      </c>
      <c r="Z163" s="14">
        <f>(P163 - AVERAGE(Stl_Range))/STDEV(Stl_Range)</f>
        <v>0.95470757740503476</v>
      </c>
      <c r="AA163" s="14">
        <f>(Q163 - AVERAGE(Blk_Range))/STDEV(Blk_Range)</f>
        <v>-0.4417931440709813</v>
      </c>
      <c r="AB163" s="14">
        <f>(R163 - AVERAGE(Tov_Range))/STDEV(Tov_Range)*-1</f>
        <v>-0.33495794116140765</v>
      </c>
      <c r="AC163" s="14">
        <f>SUM(T163:AB163)</f>
        <v>-1.1699855566949906</v>
      </c>
      <c r="AD163" s="14">
        <v>-1.1699855566949853</v>
      </c>
      <c r="AE163" s="14">
        <f>AD163-AC163</f>
        <v>5.3290705182007514E-15</v>
      </c>
      <c r="AF163"/>
      <c r="AG163"/>
      <c r="AH163"/>
      <c r="AI163"/>
      <c r="AJ163"/>
      <c r="AK163"/>
      <c r="AL163"/>
      <c r="AM163"/>
      <c r="AN163"/>
      <c r="AO163"/>
      <c r="AP163"/>
      <c r="AQ163"/>
    </row>
    <row r="164" spans="1:43" x14ac:dyDescent="0.55000000000000004">
      <c r="A164">
        <v>163</v>
      </c>
      <c r="B164" s="7">
        <f t="shared" si="4"/>
        <v>163</v>
      </c>
      <c r="C164" s="7">
        <f t="shared" si="5"/>
        <v>0</v>
      </c>
      <c r="D164" t="s">
        <v>190</v>
      </c>
      <c r="E164" t="s">
        <v>15</v>
      </c>
      <c r="F164" t="s">
        <v>67</v>
      </c>
      <c r="G164">
        <v>7</v>
      </c>
      <c r="H164">
        <v>27.7</v>
      </c>
      <c r="I164">
        <v>10</v>
      </c>
      <c r="J164">
        <v>0.5</v>
      </c>
      <c r="K164">
        <v>0.6</v>
      </c>
      <c r="L164">
        <v>4</v>
      </c>
      <c r="M164">
        <v>0.75</v>
      </c>
      <c r="N164">
        <v>4.5999999999999996</v>
      </c>
      <c r="O164">
        <v>2.2999999999999998</v>
      </c>
      <c r="P164">
        <v>0.6</v>
      </c>
      <c r="Q164">
        <v>0.1</v>
      </c>
      <c r="R164">
        <v>0.7</v>
      </c>
      <c r="S164">
        <v>13.6</v>
      </c>
      <c r="T164" s="14">
        <f>(J164 - AVERAGE(FG_Range))*I164</f>
        <v>0.41212686567164147</v>
      </c>
      <c r="U164" s="14">
        <f>(M164 - AVERAGE(FT_RANGE))*L164</f>
        <v>-5.2532319391636939E-2</v>
      </c>
      <c r="V164" s="14">
        <f>(K164 - AVERAGE(Three_Range))/STDEV(Three_Range)</f>
        <v>-0.89934245651562128</v>
      </c>
      <c r="W164" s="14">
        <f>(S164 - AVERAGE(Pts_Range))/STDEV(Pts_Range)</f>
        <v>0.13581528209190746</v>
      </c>
      <c r="X164" s="14">
        <f>(N164 - AVERAGE(Reb_Range))/STDEV(Reb_Range)</f>
        <v>-8.635105277918402E-2</v>
      </c>
      <c r="Y164" s="14">
        <f>(O164 - AVERAGE(Ast_Range))/STDEV(Ast_Range)</f>
        <v>-0.24734086873407995</v>
      </c>
      <c r="Z164" s="14">
        <f>(P164 - AVERAGE(Stl_Range))/STDEV(Stl_Range)</f>
        <v>-0.54531873349265758</v>
      </c>
      <c r="AA164" s="14">
        <f>(Q164 - AVERAGE(Blk_Range))/STDEV(Blk_Range)</f>
        <v>-0.81064224877821867</v>
      </c>
      <c r="AB164" s="14">
        <f>(R164 - AVERAGE(Tov_Range))/STDEV(Tov_Range)*-1</f>
        <v>0.92201374935794678</v>
      </c>
      <c r="AC164" s="14">
        <f>SUM(T164:AB164)</f>
        <v>-1.1715717825699026</v>
      </c>
      <c r="AD164" s="14">
        <v>-1.1715717825698961</v>
      </c>
      <c r="AE164" s="14">
        <f>AD164-AC164</f>
        <v>6.4392935428259079E-15</v>
      </c>
      <c r="AF164"/>
      <c r="AG164"/>
      <c r="AH164"/>
      <c r="AI164"/>
      <c r="AJ164"/>
      <c r="AK164"/>
      <c r="AL164"/>
      <c r="AM164"/>
      <c r="AN164"/>
      <c r="AO164"/>
      <c r="AP164"/>
      <c r="AQ164"/>
    </row>
    <row r="165" spans="1:43" x14ac:dyDescent="0.55000000000000004">
      <c r="A165">
        <v>164</v>
      </c>
      <c r="B165" s="7">
        <f t="shared" si="4"/>
        <v>164</v>
      </c>
      <c r="C165" s="7">
        <f t="shared" si="5"/>
        <v>0</v>
      </c>
      <c r="D165" t="s">
        <v>596</v>
      </c>
      <c r="E165" t="s">
        <v>25</v>
      </c>
      <c r="F165" t="s">
        <v>31</v>
      </c>
      <c r="G165">
        <v>11</v>
      </c>
      <c r="H165">
        <v>37.9</v>
      </c>
      <c r="I165">
        <v>16.5</v>
      </c>
      <c r="J165">
        <v>0.36499999999999999</v>
      </c>
      <c r="K165">
        <v>0.8</v>
      </c>
      <c r="L165">
        <v>4.5999999999999996</v>
      </c>
      <c r="M165">
        <v>0.68600000000000005</v>
      </c>
      <c r="N165">
        <v>7.6</v>
      </c>
      <c r="O165">
        <v>3.5</v>
      </c>
      <c r="P165">
        <v>0.9</v>
      </c>
      <c r="Q165">
        <v>0.2</v>
      </c>
      <c r="R165">
        <v>1.6</v>
      </c>
      <c r="S165">
        <v>16</v>
      </c>
      <c r="T165" s="14">
        <f>(J165 - AVERAGE(FG_Range))*I165</f>
        <v>-1.5474906716417918</v>
      </c>
      <c r="U165" s="14">
        <f>(M165 - AVERAGE(FT_RANGE))*L165</f>
        <v>-0.35481216730038223</v>
      </c>
      <c r="V165" s="14">
        <f>(K165 - AVERAGE(Three_Range))/STDEV(Three_Range)</f>
        <v>-0.69386608963907714</v>
      </c>
      <c r="W165" s="14">
        <f>(S165 - AVERAGE(Pts_Range))/STDEV(Pts_Range)</f>
        <v>0.51979941150516595</v>
      </c>
      <c r="X165" s="14">
        <f>(N165 - AVERAGE(Reb_Range))/STDEV(Reb_Range)</f>
        <v>1.0824409747370618</v>
      </c>
      <c r="Y165" s="14">
        <f>(O165 - AVERAGE(Ast_Range))/STDEV(Ast_Range)</f>
        <v>0.33711778949428262</v>
      </c>
      <c r="Z165" s="14">
        <f>(P165 - AVERAGE(Stl_Range))/STDEV(Stl_Range)</f>
        <v>9.7549685463496322E-2</v>
      </c>
      <c r="AA165" s="14">
        <f>(Q165 - AVERAGE(Blk_Range))/STDEV(Blk_Range)</f>
        <v>-0.6262176964245999</v>
      </c>
      <c r="AB165" s="14">
        <f>(R165 - AVERAGE(Tov_Range))/STDEV(Tov_Range)*-1</f>
        <v>-2.0715018531569193E-2</v>
      </c>
      <c r="AC165" s="14">
        <f>SUM(T165:AB165)</f>
        <v>-1.206193782337414</v>
      </c>
      <c r="AD165" s="14">
        <v>-1.2061937823374071</v>
      </c>
      <c r="AE165" s="14">
        <f>AD165-AC165</f>
        <v>6.8833827526759706E-15</v>
      </c>
      <c r="AF165"/>
      <c r="AG165"/>
      <c r="AH165"/>
      <c r="AI165"/>
      <c r="AJ165"/>
      <c r="AK165"/>
      <c r="AL165"/>
      <c r="AM165"/>
      <c r="AN165"/>
      <c r="AO165"/>
      <c r="AP165"/>
      <c r="AQ165"/>
    </row>
    <row r="166" spans="1:43" x14ac:dyDescent="0.55000000000000004">
      <c r="A166">
        <v>165</v>
      </c>
      <c r="B166" s="7">
        <f t="shared" si="4"/>
        <v>165</v>
      </c>
      <c r="C166" s="7">
        <f t="shared" si="5"/>
        <v>0</v>
      </c>
      <c r="D166" t="s">
        <v>88</v>
      </c>
      <c r="E166" t="s">
        <v>25</v>
      </c>
      <c r="F166" t="s">
        <v>21</v>
      </c>
      <c r="G166">
        <v>7</v>
      </c>
      <c r="H166">
        <v>22.9</v>
      </c>
      <c r="I166">
        <v>7.3</v>
      </c>
      <c r="J166">
        <v>0.49</v>
      </c>
      <c r="K166">
        <v>1.9</v>
      </c>
      <c r="L166">
        <v>1.3</v>
      </c>
      <c r="M166">
        <v>0.77800000000000002</v>
      </c>
      <c r="N166">
        <v>1.9</v>
      </c>
      <c r="O166">
        <v>1.7</v>
      </c>
      <c r="P166">
        <v>0.9</v>
      </c>
      <c r="Q166">
        <v>0.1</v>
      </c>
      <c r="R166">
        <v>0.7</v>
      </c>
      <c r="S166">
        <v>10</v>
      </c>
      <c r="T166" s="14">
        <f>(J166 - AVERAGE(FG_Range))*I166</f>
        <v>0.22785261194029821</v>
      </c>
      <c r="U166" s="14">
        <f>(M166 - AVERAGE(FT_RANGE))*L166</f>
        <v>1.9326996197718029E-2</v>
      </c>
      <c r="V166" s="14">
        <f>(K166 - AVERAGE(Three_Range))/STDEV(Three_Range)</f>
        <v>0.436253928181915</v>
      </c>
      <c r="W166" s="14">
        <f>(S166 - AVERAGE(Pts_Range))/STDEV(Pts_Range)</f>
        <v>-0.44016091202798019</v>
      </c>
      <c r="X166" s="14">
        <f>(N166 - AVERAGE(Reb_Range))/STDEV(Reb_Range)</f>
        <v>-1.1382638775438052</v>
      </c>
      <c r="Y166" s="14">
        <f>(O166 - AVERAGE(Ast_Range))/STDEV(Ast_Range)</f>
        <v>-0.5395701978482611</v>
      </c>
      <c r="Z166" s="14">
        <f>(P166 - AVERAGE(Stl_Range))/STDEV(Stl_Range)</f>
        <v>9.7549685463496322E-2</v>
      </c>
      <c r="AA166" s="14">
        <f>(Q166 - AVERAGE(Blk_Range))/STDEV(Blk_Range)</f>
        <v>-0.81064224877821867</v>
      </c>
      <c r="AB166" s="14">
        <f>(R166 - AVERAGE(Tov_Range))/STDEV(Tov_Range)*-1</f>
        <v>0.92201374935794678</v>
      </c>
      <c r="AC166" s="14">
        <f>SUM(T166:AB166)</f>
        <v>-1.2256402650568912</v>
      </c>
      <c r="AD166" s="14">
        <v>-1.2256402650568883</v>
      </c>
      <c r="AE166" s="14">
        <f>AD166-AC166</f>
        <v>2.886579864025407E-15</v>
      </c>
      <c r="AF166"/>
      <c r="AG166"/>
      <c r="AH166"/>
      <c r="AI166"/>
      <c r="AJ166"/>
      <c r="AK166"/>
      <c r="AL166"/>
      <c r="AM166"/>
      <c r="AN166"/>
      <c r="AO166"/>
      <c r="AP166"/>
      <c r="AQ166"/>
    </row>
    <row r="167" spans="1:43" x14ac:dyDescent="0.55000000000000004">
      <c r="A167">
        <v>166</v>
      </c>
      <c r="B167" s="7">
        <f t="shared" si="4"/>
        <v>166</v>
      </c>
      <c r="C167" s="7">
        <f t="shared" si="5"/>
        <v>0</v>
      </c>
      <c r="D167" t="s">
        <v>379</v>
      </c>
      <c r="E167" t="s">
        <v>46</v>
      </c>
      <c r="F167" t="s">
        <v>61</v>
      </c>
      <c r="G167">
        <v>10</v>
      </c>
      <c r="H167">
        <v>24.4</v>
      </c>
      <c r="I167">
        <v>5.8</v>
      </c>
      <c r="J167">
        <v>0.39700000000000002</v>
      </c>
      <c r="K167">
        <v>0.5</v>
      </c>
      <c r="L167">
        <v>1.3</v>
      </c>
      <c r="M167">
        <v>0.92300000000000004</v>
      </c>
      <c r="N167">
        <v>2.9</v>
      </c>
      <c r="O167">
        <v>5.3</v>
      </c>
      <c r="P167">
        <v>1.5</v>
      </c>
      <c r="Q167">
        <v>0</v>
      </c>
      <c r="R167">
        <v>1.5</v>
      </c>
      <c r="S167">
        <v>6.3</v>
      </c>
      <c r="T167" s="14">
        <f>(J167 - AVERAGE(FG_Range))*I167</f>
        <v>-0.35836641791044782</v>
      </c>
      <c r="U167" s="14">
        <f>(M167 - AVERAGE(FT_RANGE))*L167</f>
        <v>0.20782699619771805</v>
      </c>
      <c r="V167" s="14">
        <f>(K167 - AVERAGE(Three_Range))/STDEV(Three_Range)</f>
        <v>-1.0020806399538933</v>
      </c>
      <c r="W167" s="14">
        <f>(S167 - AVERAGE(Pts_Range))/STDEV(Pts_Range)</f>
        <v>-1.0321364448734203</v>
      </c>
      <c r="X167" s="14">
        <f>(N167 - AVERAGE(Reb_Range))/STDEV(Reb_Range)</f>
        <v>-0.74866653503838987</v>
      </c>
      <c r="Y167" s="14">
        <f>(O167 - AVERAGE(Ast_Range))/STDEV(Ast_Range)</f>
        <v>1.2138057768368262</v>
      </c>
      <c r="Z167" s="14">
        <f>(P167 - AVERAGE(Stl_Range))/STDEV(Stl_Range)</f>
        <v>1.3832865233758038</v>
      </c>
      <c r="AA167" s="14">
        <f>(Q167 - AVERAGE(Blk_Range))/STDEV(Blk_Range)</f>
        <v>-0.99506680113183732</v>
      </c>
      <c r="AB167" s="14">
        <f>(R167 - AVERAGE(Tov_Range))/STDEV(Tov_Range)*-1</f>
        <v>8.4032622345043773E-2</v>
      </c>
      <c r="AC167" s="14">
        <f>SUM(T167:AB167)</f>
        <v>-1.2473649201525969</v>
      </c>
      <c r="AD167" s="14">
        <v>-1.2473649201525869</v>
      </c>
      <c r="AE167" s="14">
        <f>AD167-AC167</f>
        <v>9.9920072216264089E-15</v>
      </c>
      <c r="AF167"/>
      <c r="AG167"/>
      <c r="AH167"/>
      <c r="AI167"/>
      <c r="AJ167"/>
      <c r="AK167"/>
      <c r="AL167"/>
      <c r="AM167"/>
      <c r="AN167"/>
      <c r="AO167"/>
      <c r="AP167"/>
      <c r="AQ167"/>
    </row>
    <row r="168" spans="1:43" x14ac:dyDescent="0.55000000000000004">
      <c r="A168">
        <v>167</v>
      </c>
      <c r="B168" s="7">
        <f t="shared" si="4"/>
        <v>167</v>
      </c>
      <c r="C168" s="7">
        <f t="shared" si="5"/>
        <v>0</v>
      </c>
      <c r="D168" t="s">
        <v>603</v>
      </c>
      <c r="E168" t="s">
        <v>46</v>
      </c>
      <c r="F168" t="s">
        <v>21</v>
      </c>
      <c r="G168">
        <v>8</v>
      </c>
      <c r="H168">
        <v>23.5</v>
      </c>
      <c r="I168">
        <v>10.4</v>
      </c>
      <c r="J168">
        <v>0.50600000000000001</v>
      </c>
      <c r="K168">
        <v>1.8</v>
      </c>
      <c r="L168">
        <v>2.9</v>
      </c>
      <c r="M168">
        <v>0.87</v>
      </c>
      <c r="N168">
        <v>2.2999999999999998</v>
      </c>
      <c r="O168">
        <v>5</v>
      </c>
      <c r="P168">
        <v>0.6</v>
      </c>
      <c r="Q168">
        <v>0</v>
      </c>
      <c r="R168">
        <v>2.8</v>
      </c>
      <c r="S168">
        <v>14.8</v>
      </c>
      <c r="T168" s="14">
        <f>(J168 - AVERAGE(FG_Range))*I168</f>
        <v>0.4910119402985072</v>
      </c>
      <c r="U168" s="14">
        <f>(M168 - AVERAGE(FT_RANGE))*L168</f>
        <v>0.30991406844106317</v>
      </c>
      <c r="V168" s="14">
        <f>(K168 - AVERAGE(Three_Range))/STDEV(Three_Range)</f>
        <v>0.33351574474364315</v>
      </c>
      <c r="W168" s="14">
        <f>(S168 - AVERAGE(Pts_Range))/STDEV(Pts_Range)</f>
        <v>0.32780734679853685</v>
      </c>
      <c r="X168" s="14">
        <f>(N168 - AVERAGE(Reb_Range))/STDEV(Reb_Range)</f>
        <v>-0.98242494054163909</v>
      </c>
      <c r="Y168" s="14">
        <f>(O168 - AVERAGE(Ast_Range))/STDEV(Ast_Range)</f>
        <v>1.0676911122797357</v>
      </c>
      <c r="Z168" s="14">
        <f>(P168 - AVERAGE(Stl_Range))/STDEV(Stl_Range)</f>
        <v>-0.54531873349265758</v>
      </c>
      <c r="AA168" s="14">
        <f>(Q168 - AVERAGE(Blk_Range))/STDEV(Blk_Range)</f>
        <v>-0.99506680113183732</v>
      </c>
      <c r="AB168" s="14">
        <f>(R168 - AVERAGE(Tov_Range))/STDEV(Tov_Range)*-1</f>
        <v>-1.2776867090509234</v>
      </c>
      <c r="AC168" s="14">
        <f>SUM(T168:AB168)</f>
        <v>-1.2705569716555716</v>
      </c>
      <c r="AD168" s="14">
        <v>-1.2705569716555773</v>
      </c>
      <c r="AE168" s="14">
        <f>AD168-AC168</f>
        <v>-5.773159728050814E-15</v>
      </c>
      <c r="AF168"/>
      <c r="AG168"/>
      <c r="AH168"/>
      <c r="AI168"/>
      <c r="AJ168"/>
      <c r="AK168"/>
      <c r="AL168"/>
      <c r="AM168"/>
      <c r="AN168"/>
      <c r="AO168"/>
      <c r="AP168"/>
      <c r="AQ168"/>
    </row>
    <row r="169" spans="1:43" x14ac:dyDescent="0.55000000000000004">
      <c r="A169">
        <v>168</v>
      </c>
      <c r="B169" s="7">
        <f t="shared" si="4"/>
        <v>168</v>
      </c>
      <c r="C169" s="7">
        <f t="shared" si="5"/>
        <v>0</v>
      </c>
      <c r="D169" t="s">
        <v>184</v>
      </c>
      <c r="E169" t="s">
        <v>15</v>
      </c>
      <c r="F169" t="s">
        <v>59</v>
      </c>
      <c r="G169">
        <v>7</v>
      </c>
      <c r="H169">
        <v>20.6</v>
      </c>
      <c r="I169">
        <v>7.7</v>
      </c>
      <c r="J169">
        <v>0.51900000000000002</v>
      </c>
      <c r="K169">
        <v>2.2999999999999998</v>
      </c>
      <c r="L169">
        <v>1.7</v>
      </c>
      <c r="M169">
        <v>0.66700000000000004</v>
      </c>
      <c r="N169">
        <v>6.4</v>
      </c>
      <c r="O169">
        <v>1.3</v>
      </c>
      <c r="P169">
        <v>0.6</v>
      </c>
      <c r="Q169">
        <v>0</v>
      </c>
      <c r="R169">
        <v>2.1</v>
      </c>
      <c r="S169">
        <v>11.4</v>
      </c>
      <c r="T169" s="14">
        <f>(J169 - AVERAGE(FG_Range))*I169</f>
        <v>0.46363768656716409</v>
      </c>
      <c r="U169" s="14">
        <f>(M169 - AVERAGE(FT_RANGE))*L169</f>
        <v>-0.16342623574144563</v>
      </c>
      <c r="V169" s="14">
        <f>(K169 - AVERAGE(Three_Range))/STDEV(Three_Range)</f>
        <v>0.84720666193500305</v>
      </c>
      <c r="W169" s="14">
        <f>(S169 - AVERAGE(Pts_Range))/STDEV(Pts_Range)</f>
        <v>-0.21617016987024601</v>
      </c>
      <c r="X169" s="14">
        <f>(N169 - AVERAGE(Reb_Range))/STDEV(Reb_Range)</f>
        <v>0.61492416373056369</v>
      </c>
      <c r="Y169" s="14">
        <f>(O169 - AVERAGE(Ast_Range))/STDEV(Ast_Range)</f>
        <v>-0.73438975059104861</v>
      </c>
      <c r="Z169" s="14">
        <f>(P169 - AVERAGE(Stl_Range))/STDEV(Stl_Range)</f>
        <v>-0.54531873349265758</v>
      </c>
      <c r="AA169" s="14">
        <f>(Q169 - AVERAGE(Blk_Range))/STDEV(Blk_Range)</f>
        <v>-0.99506680113183732</v>
      </c>
      <c r="AB169" s="14">
        <f>(R169 - AVERAGE(Tov_Range))/STDEV(Tov_Range)*-1</f>
        <v>-0.54445322291463361</v>
      </c>
      <c r="AC169" s="14">
        <f>SUM(T169:AB169)</f>
        <v>-1.2730564015091381</v>
      </c>
      <c r="AD169" s="14">
        <v>-1.2730564015091388</v>
      </c>
      <c r="AE169" s="14">
        <f>AD169-AC169</f>
        <v>0</v>
      </c>
      <c r="AF169"/>
      <c r="AG169"/>
      <c r="AH169"/>
      <c r="AI169"/>
      <c r="AJ169"/>
      <c r="AK169"/>
      <c r="AL169"/>
      <c r="AM169"/>
      <c r="AN169"/>
      <c r="AO169"/>
      <c r="AP169"/>
      <c r="AQ169"/>
    </row>
    <row r="170" spans="1:43" x14ac:dyDescent="0.55000000000000004">
      <c r="A170">
        <v>169</v>
      </c>
      <c r="B170" s="7">
        <f t="shared" si="4"/>
        <v>169</v>
      </c>
      <c r="C170" s="7">
        <f t="shared" si="5"/>
        <v>0</v>
      </c>
      <c r="D170" t="s">
        <v>301</v>
      </c>
      <c r="E170" t="s">
        <v>18</v>
      </c>
      <c r="F170" t="s">
        <v>118</v>
      </c>
      <c r="G170">
        <v>12</v>
      </c>
      <c r="H170">
        <v>17.3</v>
      </c>
      <c r="I170">
        <v>7.5</v>
      </c>
      <c r="J170">
        <v>0.45600000000000002</v>
      </c>
      <c r="K170">
        <v>0.3</v>
      </c>
      <c r="L170">
        <v>2.2000000000000002</v>
      </c>
      <c r="M170">
        <v>0.61499999999999999</v>
      </c>
      <c r="N170">
        <v>6.7</v>
      </c>
      <c r="O170">
        <v>1.3</v>
      </c>
      <c r="P170">
        <v>0.6</v>
      </c>
      <c r="Q170">
        <v>1.1000000000000001</v>
      </c>
      <c r="R170">
        <v>1.2</v>
      </c>
      <c r="S170">
        <v>8.5</v>
      </c>
      <c r="T170" s="14">
        <f>(J170 - AVERAGE(FG_Range))*I170</f>
        <v>-2.0904850746268772E-2</v>
      </c>
      <c r="U170" s="14">
        <f>(M170 - AVERAGE(FT_RANGE))*L170</f>
        <v>-0.32589277566540037</v>
      </c>
      <c r="V170" s="14">
        <f>(K170 - AVERAGE(Three_Range))/STDEV(Three_Range)</f>
        <v>-1.2075570068304373</v>
      </c>
      <c r="W170" s="14">
        <f>(S170 - AVERAGE(Pts_Range))/STDEV(Pts_Range)</f>
        <v>-0.68015099291126668</v>
      </c>
      <c r="X170" s="14">
        <f>(N170 - AVERAGE(Reb_Range))/STDEV(Reb_Range)</f>
        <v>0.73180336648218824</v>
      </c>
      <c r="Y170" s="14">
        <f>(O170 - AVERAGE(Ast_Range))/STDEV(Ast_Range)</f>
        <v>-0.73438975059104861</v>
      </c>
      <c r="Z170" s="14">
        <f>(P170 - AVERAGE(Stl_Range))/STDEV(Stl_Range)</f>
        <v>-0.54531873349265758</v>
      </c>
      <c r="AA170" s="14">
        <f>(Q170 - AVERAGE(Blk_Range))/STDEV(Blk_Range)</f>
        <v>1.0336032747579684</v>
      </c>
      <c r="AB170" s="14">
        <f>(R170 - AVERAGE(Tov_Range))/STDEV(Tov_Range)*-1</f>
        <v>0.39827554497488243</v>
      </c>
      <c r="AC170" s="14">
        <f>SUM(T170:AB170)</f>
        <v>-1.3505319240220401</v>
      </c>
      <c r="AD170" s="14">
        <v>-1.3505319240220319</v>
      </c>
      <c r="AE170" s="14">
        <f>AD170-AC170</f>
        <v>8.2156503822261584E-15</v>
      </c>
      <c r="AF170"/>
      <c r="AG170"/>
      <c r="AH170"/>
      <c r="AI170"/>
      <c r="AJ170"/>
      <c r="AK170"/>
      <c r="AL170"/>
      <c r="AM170"/>
      <c r="AN170"/>
      <c r="AO170"/>
      <c r="AP170"/>
      <c r="AQ170"/>
    </row>
    <row r="171" spans="1:43" x14ac:dyDescent="0.55000000000000004">
      <c r="A171">
        <v>170</v>
      </c>
      <c r="B171" s="7">
        <f t="shared" si="4"/>
        <v>170</v>
      </c>
      <c r="C171" s="7">
        <f t="shared" si="5"/>
        <v>0</v>
      </c>
      <c r="D171" t="s">
        <v>366</v>
      </c>
      <c r="E171" t="s">
        <v>34</v>
      </c>
      <c r="F171" t="s">
        <v>70</v>
      </c>
      <c r="G171">
        <v>10</v>
      </c>
      <c r="H171">
        <v>28.5</v>
      </c>
      <c r="I171">
        <v>10.6</v>
      </c>
      <c r="J171">
        <v>0.34899999999999998</v>
      </c>
      <c r="K171">
        <v>1.5</v>
      </c>
      <c r="L171">
        <v>3</v>
      </c>
      <c r="M171">
        <v>0.83299999999999996</v>
      </c>
      <c r="N171">
        <v>4.5999999999999996</v>
      </c>
      <c r="O171">
        <v>1.2</v>
      </c>
      <c r="P171">
        <v>1.4</v>
      </c>
      <c r="Q171">
        <v>0.2</v>
      </c>
      <c r="R171">
        <v>1.5</v>
      </c>
      <c r="S171">
        <v>11.4</v>
      </c>
      <c r="T171" s="14">
        <f>(J171 - AVERAGE(FG_Range))*I171</f>
        <v>-1.1637455223880602</v>
      </c>
      <c r="U171" s="14">
        <f>(M171 - AVERAGE(FT_RANGE))*L171</f>
        <v>0.20960076045627218</v>
      </c>
      <c r="V171" s="14">
        <f>(K171 - AVERAGE(Three_Range))/STDEV(Three_Range)</f>
        <v>2.5301194428826994E-2</v>
      </c>
      <c r="W171" s="14">
        <f>(S171 - AVERAGE(Pts_Range))/STDEV(Pts_Range)</f>
        <v>-0.21617016987024601</v>
      </c>
      <c r="X171" s="14">
        <f>(N171 - AVERAGE(Reb_Range))/STDEV(Reb_Range)</f>
        <v>-8.635105277918402E-2</v>
      </c>
      <c r="Y171" s="14">
        <f>(O171 - AVERAGE(Ast_Range))/STDEV(Ast_Range)</f>
        <v>-0.78309463877674546</v>
      </c>
      <c r="Z171" s="14">
        <f>(P171 - AVERAGE(Stl_Range))/STDEV(Stl_Range)</f>
        <v>1.168997050390419</v>
      </c>
      <c r="AA171" s="14">
        <f>(Q171 - AVERAGE(Blk_Range))/STDEV(Blk_Range)</f>
        <v>-0.6262176964245999</v>
      </c>
      <c r="AB171" s="14">
        <f>(R171 - AVERAGE(Tov_Range))/STDEV(Tov_Range)*-1</f>
        <v>8.4032622345043773E-2</v>
      </c>
      <c r="AC171" s="14">
        <f>SUM(T171:AB171)</f>
        <v>-1.3876474526182732</v>
      </c>
      <c r="AD171" s="14">
        <v>-1.3876474526182663</v>
      </c>
      <c r="AE171" s="14">
        <f>AD171-AC171</f>
        <v>6.8833827526759706E-15</v>
      </c>
      <c r="AF171"/>
      <c r="AG171"/>
      <c r="AH171"/>
      <c r="AI171"/>
      <c r="AJ171"/>
      <c r="AK171"/>
      <c r="AL171"/>
      <c r="AM171"/>
      <c r="AN171"/>
      <c r="AO171"/>
      <c r="AP171"/>
      <c r="AQ171"/>
    </row>
    <row r="172" spans="1:43" x14ac:dyDescent="0.55000000000000004">
      <c r="A172">
        <v>171</v>
      </c>
      <c r="B172" s="7">
        <f t="shared" si="4"/>
        <v>171</v>
      </c>
      <c r="C172" s="7">
        <f t="shared" si="5"/>
        <v>0</v>
      </c>
      <c r="D172" t="s">
        <v>730</v>
      </c>
      <c r="E172" t="s">
        <v>15</v>
      </c>
      <c r="F172" t="s">
        <v>47</v>
      </c>
      <c r="G172">
        <v>11</v>
      </c>
      <c r="H172">
        <v>26.5</v>
      </c>
      <c r="I172">
        <v>8.1</v>
      </c>
      <c r="J172">
        <v>0.47199999999999998</v>
      </c>
      <c r="K172">
        <v>1</v>
      </c>
      <c r="L172">
        <v>1.9</v>
      </c>
      <c r="M172">
        <v>0.85699999999999998</v>
      </c>
      <c r="N172">
        <v>3.5</v>
      </c>
      <c r="O172">
        <v>1</v>
      </c>
      <c r="P172">
        <v>1</v>
      </c>
      <c r="Q172">
        <v>0.7</v>
      </c>
      <c r="R172">
        <v>1.6</v>
      </c>
      <c r="S172">
        <v>10.3</v>
      </c>
      <c r="T172" s="14">
        <f>(J172 - AVERAGE(FG_Range))*I172</f>
        <v>0.10702276119402938</v>
      </c>
      <c r="U172" s="14">
        <f>(M172 - AVERAGE(FT_RANGE))*L172</f>
        <v>0.17834714828897241</v>
      </c>
      <c r="V172" s="14">
        <f>(K172 - AVERAGE(Three_Range))/STDEV(Three_Range)</f>
        <v>-0.48838972276253317</v>
      </c>
      <c r="W172" s="14">
        <f>(S172 - AVERAGE(Pts_Range))/STDEV(Pts_Range)</f>
        <v>-0.39216289585132275</v>
      </c>
      <c r="X172" s="14">
        <f>(N172 - AVERAGE(Reb_Range))/STDEV(Reb_Range)</f>
        <v>-0.51490812953514065</v>
      </c>
      <c r="Y172" s="14">
        <f>(O172 - AVERAGE(Ast_Range))/STDEV(Ast_Range)</f>
        <v>-0.88050441514813926</v>
      </c>
      <c r="Z172" s="14">
        <f>(P172 - AVERAGE(Stl_Range))/STDEV(Stl_Range)</f>
        <v>0.31183915844888088</v>
      </c>
      <c r="AA172" s="14">
        <f>(Q172 - AVERAGE(Blk_Range))/STDEV(Blk_Range)</f>
        <v>0.29590506534349342</v>
      </c>
      <c r="AB172" s="14">
        <f>(R172 - AVERAGE(Tov_Range))/STDEV(Tov_Range)*-1</f>
        <v>-2.0715018531569193E-2</v>
      </c>
      <c r="AC172" s="14">
        <f>SUM(T172:AB172)</f>
        <v>-1.403566048553329</v>
      </c>
      <c r="AD172" s="14">
        <v>-1.4035660485533237</v>
      </c>
      <c r="AE172" s="14">
        <f>AD172-AC172</f>
        <v>5.3290705182007514E-15</v>
      </c>
      <c r="AF172"/>
      <c r="AG172"/>
      <c r="AH172"/>
      <c r="AI172"/>
      <c r="AJ172"/>
      <c r="AK172"/>
      <c r="AL172"/>
      <c r="AM172"/>
      <c r="AN172"/>
      <c r="AO172"/>
      <c r="AP172"/>
      <c r="AQ172"/>
    </row>
    <row r="173" spans="1:43" x14ac:dyDescent="0.55000000000000004">
      <c r="A173">
        <v>172</v>
      </c>
      <c r="B173" s="7">
        <f t="shared" si="4"/>
        <v>172</v>
      </c>
      <c r="C173" s="7">
        <f t="shared" si="5"/>
        <v>0</v>
      </c>
      <c r="D173" t="s">
        <v>685</v>
      </c>
      <c r="E173" t="s">
        <v>34</v>
      </c>
      <c r="F173" t="s">
        <v>82</v>
      </c>
      <c r="G173">
        <v>9</v>
      </c>
      <c r="H173">
        <v>23.3</v>
      </c>
      <c r="I173">
        <v>8.6999999999999993</v>
      </c>
      <c r="J173">
        <v>0.372</v>
      </c>
      <c r="K173">
        <v>2.6</v>
      </c>
      <c r="L173">
        <v>2</v>
      </c>
      <c r="M173">
        <v>0.77800000000000002</v>
      </c>
      <c r="N173">
        <v>4.7</v>
      </c>
      <c r="O173">
        <v>0.9</v>
      </c>
      <c r="P173">
        <v>0.6</v>
      </c>
      <c r="Q173">
        <v>0</v>
      </c>
      <c r="R173">
        <v>0.6</v>
      </c>
      <c r="S173">
        <v>10.6</v>
      </c>
      <c r="T173" s="14">
        <f>(J173 - AVERAGE(FG_Range))*I173</f>
        <v>-0.7550496268656719</v>
      </c>
      <c r="U173" s="14">
        <f>(M173 - AVERAGE(FT_RANGE))*L173</f>
        <v>2.973384030418158E-2</v>
      </c>
      <c r="V173" s="14">
        <f>(K173 - AVERAGE(Three_Range))/STDEV(Three_Range)</f>
        <v>1.1554212122498193</v>
      </c>
      <c r="W173" s="14">
        <f>(S173 - AVERAGE(Pts_Range))/STDEV(Pts_Range)</f>
        <v>-0.34416487967466564</v>
      </c>
      <c r="X173" s="14">
        <f>(N173 - AVERAGE(Reb_Range))/STDEV(Reb_Range)</f>
        <v>-4.7391318528642284E-2</v>
      </c>
      <c r="Y173" s="14">
        <f>(O173 - AVERAGE(Ast_Range))/STDEV(Ast_Range)</f>
        <v>-0.92920930333383611</v>
      </c>
      <c r="Z173" s="14">
        <f>(P173 - AVERAGE(Stl_Range))/STDEV(Stl_Range)</f>
        <v>-0.54531873349265758</v>
      </c>
      <c r="AA173" s="14">
        <f>(Q173 - AVERAGE(Blk_Range))/STDEV(Blk_Range)</f>
        <v>-0.99506680113183732</v>
      </c>
      <c r="AB173" s="14">
        <f>(R173 - AVERAGE(Tov_Range))/STDEV(Tov_Range)*-1</f>
        <v>1.0267613902345596</v>
      </c>
      <c r="AC173" s="14">
        <f>SUM(T173:AB173)</f>
        <v>-1.4042842202387502</v>
      </c>
      <c r="AD173" s="14">
        <v>-1.40428422023875</v>
      </c>
      <c r="AE173" s="14">
        <f>AD173-AC173</f>
        <v>0</v>
      </c>
      <c r="AF173"/>
      <c r="AG173"/>
      <c r="AH173"/>
      <c r="AI173"/>
      <c r="AJ173"/>
      <c r="AK173"/>
      <c r="AL173"/>
      <c r="AM173"/>
      <c r="AN173"/>
      <c r="AO173"/>
      <c r="AP173"/>
      <c r="AQ173"/>
    </row>
    <row r="174" spans="1:43" x14ac:dyDescent="0.55000000000000004">
      <c r="A174">
        <v>173</v>
      </c>
      <c r="B174" s="7">
        <f t="shared" si="4"/>
        <v>173</v>
      </c>
      <c r="C174" s="7">
        <f t="shared" si="5"/>
        <v>0</v>
      </c>
      <c r="D174" t="s">
        <v>641</v>
      </c>
      <c r="E174" t="s">
        <v>34</v>
      </c>
      <c r="F174" t="s">
        <v>87</v>
      </c>
      <c r="G174">
        <v>11</v>
      </c>
      <c r="H174">
        <v>26.8</v>
      </c>
      <c r="I174">
        <v>12.1</v>
      </c>
      <c r="J174">
        <v>0.35299999999999998</v>
      </c>
      <c r="K174">
        <v>0.9</v>
      </c>
      <c r="L174">
        <v>1.7</v>
      </c>
      <c r="M174">
        <v>0.78900000000000003</v>
      </c>
      <c r="N174">
        <v>5.5</v>
      </c>
      <c r="O174">
        <v>0.9</v>
      </c>
      <c r="P174">
        <v>1.3</v>
      </c>
      <c r="Q174">
        <v>0.9</v>
      </c>
      <c r="R174">
        <v>1.8</v>
      </c>
      <c r="S174">
        <v>10.8</v>
      </c>
      <c r="T174" s="14">
        <f>(J174 - AVERAGE(FG_Range))*I174</f>
        <v>-1.2800264925373139</v>
      </c>
      <c r="U174" s="14">
        <f>(M174 - AVERAGE(FT_RANGE))*L174</f>
        <v>4.3973764258554357E-2</v>
      </c>
      <c r="V174" s="14">
        <f>(K174 - AVERAGE(Three_Range))/STDEV(Three_Range)</f>
        <v>-0.59112790620080513</v>
      </c>
      <c r="W174" s="14">
        <f>(S174 - AVERAGE(Pts_Range))/STDEV(Pts_Range)</f>
        <v>-0.31216620222356056</v>
      </c>
      <c r="X174" s="14">
        <f>(N174 - AVERAGE(Reb_Range))/STDEV(Reb_Range)</f>
        <v>0.26428655547568985</v>
      </c>
      <c r="Y174" s="14">
        <f>(O174 - AVERAGE(Ast_Range))/STDEV(Ast_Range)</f>
        <v>-0.92920930333383611</v>
      </c>
      <c r="Z174" s="14">
        <f>(P174 - AVERAGE(Stl_Range))/STDEV(Stl_Range)</f>
        <v>0.95470757740503476</v>
      </c>
      <c r="AA174" s="14">
        <f>(Q174 - AVERAGE(Blk_Range))/STDEV(Blk_Range)</f>
        <v>0.6647541700507309</v>
      </c>
      <c r="AB174" s="14">
        <f>(R174 - AVERAGE(Tov_Range))/STDEV(Tov_Range)*-1</f>
        <v>-0.23021030028479489</v>
      </c>
      <c r="AC174" s="14">
        <f>SUM(T174:AB174)</f>
        <v>-1.4150181373903006</v>
      </c>
      <c r="AD174" s="14">
        <v>-1.4150181373902921</v>
      </c>
      <c r="AE174" s="14">
        <f>AD174-AC174</f>
        <v>8.4376949871511897E-15</v>
      </c>
      <c r="AF174"/>
      <c r="AG174"/>
      <c r="AH174"/>
      <c r="AI174"/>
      <c r="AJ174"/>
      <c r="AK174"/>
      <c r="AL174"/>
      <c r="AM174"/>
      <c r="AN174"/>
      <c r="AO174"/>
      <c r="AP174"/>
      <c r="AQ174"/>
    </row>
    <row r="175" spans="1:43" x14ac:dyDescent="0.55000000000000004">
      <c r="A175">
        <v>174</v>
      </c>
      <c r="B175" s="7">
        <f t="shared" si="4"/>
        <v>174</v>
      </c>
      <c r="C175" s="7">
        <f t="shared" si="5"/>
        <v>0</v>
      </c>
      <c r="D175" t="s">
        <v>169</v>
      </c>
      <c r="E175" t="s">
        <v>18</v>
      </c>
      <c r="F175" t="s">
        <v>40</v>
      </c>
      <c r="G175">
        <v>12</v>
      </c>
      <c r="H175">
        <v>19.399999999999999</v>
      </c>
      <c r="I175">
        <v>3.1</v>
      </c>
      <c r="J175">
        <v>0.45900000000000002</v>
      </c>
      <c r="K175">
        <v>0.5</v>
      </c>
      <c r="L175">
        <v>1.3</v>
      </c>
      <c r="M175">
        <v>0.875</v>
      </c>
      <c r="N175">
        <v>5.3</v>
      </c>
      <c r="O175">
        <v>2.2999999999999998</v>
      </c>
      <c r="P175">
        <v>0.4</v>
      </c>
      <c r="Q175">
        <v>1.4</v>
      </c>
      <c r="R175">
        <v>1.4</v>
      </c>
      <c r="S175">
        <v>4.5</v>
      </c>
      <c r="T175" s="14">
        <f>(J175 - AVERAGE(FG_Range))*I175</f>
        <v>6.5932835820891602E-4</v>
      </c>
      <c r="U175" s="14">
        <f>(M175 - AVERAGE(FT_RANGE))*L175</f>
        <v>0.14542699619771801</v>
      </c>
      <c r="V175" s="14">
        <f>(K175 - AVERAGE(Three_Range))/STDEV(Three_Range)</f>
        <v>-1.0020806399538933</v>
      </c>
      <c r="W175" s="14">
        <f>(S175 - AVERAGE(Pts_Range))/STDEV(Pts_Range)</f>
        <v>-1.3201245419333643</v>
      </c>
      <c r="X175" s="14">
        <f>(N175 - AVERAGE(Reb_Range))/STDEV(Reb_Range)</f>
        <v>0.18636708697460674</v>
      </c>
      <c r="Y175" s="14">
        <f>(O175 - AVERAGE(Ast_Range))/STDEV(Ast_Range)</f>
        <v>-0.24734086873407995</v>
      </c>
      <c r="Z175" s="14">
        <f>(P175 - AVERAGE(Stl_Range))/STDEV(Stl_Range)</f>
        <v>-0.97389767946342665</v>
      </c>
      <c r="AA175" s="14">
        <f>(Q175 - AVERAGE(Blk_Range))/STDEV(Blk_Range)</f>
        <v>1.5868769318188243</v>
      </c>
      <c r="AB175" s="14">
        <f>(R175 - AVERAGE(Tov_Range))/STDEV(Tov_Range)*-1</f>
        <v>0.18878026322165675</v>
      </c>
      <c r="AC175" s="14">
        <f>SUM(T175:AB175)</f>
        <v>-1.4353331235137499</v>
      </c>
      <c r="AD175" s="14">
        <v>-1.4353331235137452</v>
      </c>
      <c r="AE175" s="14">
        <f>AD175-AC175</f>
        <v>4.6629367034256575E-15</v>
      </c>
      <c r="AF175"/>
      <c r="AG175"/>
      <c r="AH175"/>
      <c r="AI175"/>
      <c r="AJ175"/>
      <c r="AK175"/>
      <c r="AL175"/>
      <c r="AM175"/>
      <c r="AN175"/>
      <c r="AO175"/>
      <c r="AP175"/>
      <c r="AQ175"/>
    </row>
    <row r="176" spans="1:43" x14ac:dyDescent="0.55000000000000004">
      <c r="A176">
        <v>175</v>
      </c>
      <c r="B176" s="7">
        <f t="shared" si="4"/>
        <v>175</v>
      </c>
      <c r="C176" s="7">
        <f t="shared" si="5"/>
        <v>0</v>
      </c>
      <c r="D176" t="s">
        <v>666</v>
      </c>
      <c r="E176" t="s">
        <v>18</v>
      </c>
      <c r="F176" t="s">
        <v>87</v>
      </c>
      <c r="G176">
        <v>11</v>
      </c>
      <c r="H176">
        <v>20.7</v>
      </c>
      <c r="I176">
        <v>9.3000000000000007</v>
      </c>
      <c r="J176">
        <v>0.47099999999999997</v>
      </c>
      <c r="K176">
        <v>0.5</v>
      </c>
      <c r="L176">
        <v>2.5</v>
      </c>
      <c r="M176">
        <v>0.55600000000000005</v>
      </c>
      <c r="N176">
        <v>6.4</v>
      </c>
      <c r="O176">
        <v>0.3</v>
      </c>
      <c r="P176">
        <v>0.4</v>
      </c>
      <c r="Q176">
        <v>1.5</v>
      </c>
      <c r="R176">
        <v>1.5</v>
      </c>
      <c r="S176">
        <v>10.6</v>
      </c>
      <c r="T176" s="14">
        <f>(J176 - AVERAGE(FG_Range))*I176</f>
        <v>0.11357798507462634</v>
      </c>
      <c r="U176" s="14">
        <f>(M176 - AVERAGE(FT_RANGE))*L176</f>
        <v>-0.51783269961977296</v>
      </c>
      <c r="V176" s="14">
        <f>(K176 - AVERAGE(Three_Range))/STDEV(Three_Range)</f>
        <v>-1.0020806399538933</v>
      </c>
      <c r="W176" s="14">
        <f>(S176 - AVERAGE(Pts_Range))/STDEV(Pts_Range)</f>
        <v>-0.34416487967466564</v>
      </c>
      <c r="X176" s="14">
        <f>(N176 - AVERAGE(Reb_Range))/STDEV(Reb_Range)</f>
        <v>0.61492416373056369</v>
      </c>
      <c r="Y176" s="14">
        <f>(O176 - AVERAGE(Ast_Range))/STDEV(Ast_Range)</f>
        <v>-1.2214386324480173</v>
      </c>
      <c r="Z176" s="14">
        <f>(P176 - AVERAGE(Stl_Range))/STDEV(Stl_Range)</f>
        <v>-0.97389767946342665</v>
      </c>
      <c r="AA176" s="14">
        <f>(Q176 - AVERAGE(Blk_Range))/STDEV(Blk_Range)</f>
        <v>1.771301484172443</v>
      </c>
      <c r="AB176" s="14">
        <f>(R176 - AVERAGE(Tov_Range))/STDEV(Tov_Range)*-1</f>
        <v>8.4032622345043773E-2</v>
      </c>
      <c r="AC176" s="14">
        <f>SUM(T176:AB176)</f>
        <v>-1.475578275837099</v>
      </c>
      <c r="AD176" s="14">
        <v>-1.4755782758370948</v>
      </c>
      <c r="AE176" s="14">
        <f>AD176-AC176</f>
        <v>4.2188474935755949E-15</v>
      </c>
      <c r="AF176"/>
      <c r="AG176"/>
      <c r="AH176"/>
      <c r="AI176"/>
      <c r="AJ176"/>
      <c r="AK176"/>
      <c r="AL176"/>
      <c r="AM176"/>
      <c r="AN176"/>
      <c r="AO176"/>
      <c r="AP176"/>
      <c r="AQ176"/>
    </row>
    <row r="177" spans="1:43" x14ac:dyDescent="0.55000000000000004">
      <c r="A177">
        <v>176</v>
      </c>
      <c r="B177" s="7">
        <f t="shared" si="4"/>
        <v>176</v>
      </c>
      <c r="C177" s="7">
        <f t="shared" si="5"/>
        <v>0</v>
      </c>
      <c r="D177" t="s">
        <v>274</v>
      </c>
      <c r="E177" t="s">
        <v>25</v>
      </c>
      <c r="F177" t="s">
        <v>87</v>
      </c>
      <c r="G177">
        <v>11</v>
      </c>
      <c r="H177">
        <v>19.100000000000001</v>
      </c>
      <c r="I177">
        <v>5.2</v>
      </c>
      <c r="J177">
        <v>0.47399999999999998</v>
      </c>
      <c r="K177">
        <v>1.9</v>
      </c>
      <c r="L177">
        <v>0.8</v>
      </c>
      <c r="M177">
        <v>0.88900000000000001</v>
      </c>
      <c r="N177">
        <v>3.5</v>
      </c>
      <c r="O177">
        <v>1.4</v>
      </c>
      <c r="P177">
        <v>0.7</v>
      </c>
      <c r="Q177">
        <v>0</v>
      </c>
      <c r="R177">
        <v>0.4</v>
      </c>
      <c r="S177">
        <v>7.5</v>
      </c>
      <c r="T177" s="14">
        <f>(J177 - AVERAGE(FG_Range))*I177</f>
        <v>7.9105970149253454E-2</v>
      </c>
      <c r="U177" s="14">
        <f>(M177 - AVERAGE(FT_RANGE))*L177</f>
        <v>0.10069353612167263</v>
      </c>
      <c r="V177" s="14">
        <f>(K177 - AVERAGE(Three_Range))/STDEV(Three_Range)</f>
        <v>0.436253928181915</v>
      </c>
      <c r="W177" s="14">
        <f>(S177 - AVERAGE(Pts_Range))/STDEV(Pts_Range)</f>
        <v>-0.84014438016679105</v>
      </c>
      <c r="X177" s="14">
        <f>(N177 - AVERAGE(Reb_Range))/STDEV(Reb_Range)</f>
        <v>-0.51490812953514065</v>
      </c>
      <c r="Y177" s="14">
        <f>(O177 - AVERAGE(Ast_Range))/STDEV(Ast_Range)</f>
        <v>-0.68568486240535176</v>
      </c>
      <c r="Z177" s="14">
        <f>(P177 - AVERAGE(Stl_Range))/STDEV(Stl_Range)</f>
        <v>-0.33102926050727299</v>
      </c>
      <c r="AA177" s="14">
        <f>(Q177 - AVERAGE(Blk_Range))/STDEV(Blk_Range)</f>
        <v>-0.99506680113183732</v>
      </c>
      <c r="AB177" s="14">
        <f>(R177 - AVERAGE(Tov_Range))/STDEV(Tov_Range)*-1</f>
        <v>1.2362566719877852</v>
      </c>
      <c r="AC177" s="14">
        <f>SUM(T177:AB177)</f>
        <v>-1.5145233273057677</v>
      </c>
      <c r="AD177" s="14">
        <v>-1.5145233273057634</v>
      </c>
      <c r="AE177" s="14">
        <f>AD177-AC177</f>
        <v>4.2188474935755949E-15</v>
      </c>
      <c r="AF177"/>
      <c r="AG177"/>
      <c r="AH177"/>
      <c r="AI177"/>
      <c r="AJ177"/>
      <c r="AK177"/>
      <c r="AL177"/>
      <c r="AM177"/>
      <c r="AN177"/>
      <c r="AO177"/>
      <c r="AP177"/>
      <c r="AQ177"/>
    </row>
    <row r="178" spans="1:43" x14ac:dyDescent="0.55000000000000004">
      <c r="A178">
        <v>177</v>
      </c>
      <c r="B178" s="7">
        <f t="shared" si="4"/>
        <v>177</v>
      </c>
      <c r="C178" s="7">
        <f t="shared" si="5"/>
        <v>0</v>
      </c>
      <c r="D178" t="s">
        <v>620</v>
      </c>
      <c r="E178" t="s">
        <v>25</v>
      </c>
      <c r="F178" t="s">
        <v>47</v>
      </c>
      <c r="G178">
        <v>3</v>
      </c>
      <c r="H178">
        <v>22.7</v>
      </c>
      <c r="I178">
        <v>5</v>
      </c>
      <c r="J178">
        <v>0.46700000000000003</v>
      </c>
      <c r="K178">
        <v>0.7</v>
      </c>
      <c r="L178">
        <v>1</v>
      </c>
      <c r="M178">
        <v>1</v>
      </c>
      <c r="N178">
        <v>2.2999999999999998</v>
      </c>
      <c r="O178">
        <v>6</v>
      </c>
      <c r="P178">
        <v>1.3</v>
      </c>
      <c r="Q178">
        <v>0.3</v>
      </c>
      <c r="R178">
        <v>2.7</v>
      </c>
      <c r="S178">
        <v>6.3</v>
      </c>
      <c r="T178" s="14">
        <f>(J178 - AVERAGE(FG_Range))*I178</f>
        <v>4.1063432835820868E-2</v>
      </c>
      <c r="U178" s="14">
        <f>(M178 - AVERAGE(FT_RANGE))*L178</f>
        <v>0.23686692015209077</v>
      </c>
      <c r="V178" s="14">
        <f>(K178 - AVERAGE(Three_Range))/STDEV(Three_Range)</f>
        <v>-0.79660427307734927</v>
      </c>
      <c r="W178" s="14">
        <f>(S178 - AVERAGE(Pts_Range))/STDEV(Pts_Range)</f>
        <v>-1.0321364448734203</v>
      </c>
      <c r="X178" s="14">
        <f>(N178 - AVERAGE(Reb_Range))/STDEV(Reb_Range)</f>
        <v>-0.98242494054163909</v>
      </c>
      <c r="Y178" s="14">
        <f>(O178 - AVERAGE(Ast_Range))/STDEV(Ast_Range)</f>
        <v>1.5547399941367044</v>
      </c>
      <c r="Z178" s="14">
        <f>(P178 - AVERAGE(Stl_Range))/STDEV(Stl_Range)</f>
        <v>0.95470757740503476</v>
      </c>
      <c r="AA178" s="14">
        <f>(Q178 - AVERAGE(Blk_Range))/STDEV(Blk_Range)</f>
        <v>-0.4417931440709813</v>
      </c>
      <c r="AB178" s="14">
        <f>(R178 - AVERAGE(Tov_Range))/STDEV(Tov_Range)*-1</f>
        <v>-1.1729390681743108</v>
      </c>
      <c r="AC178" s="14">
        <f>SUM(T178:AB178)</f>
        <v>-1.6385199462080502</v>
      </c>
      <c r="AD178" s="14">
        <v>-1.6385199462080462</v>
      </c>
      <c r="AE178" s="14">
        <f>AD178-AC178</f>
        <v>3.9968028886505635E-15</v>
      </c>
      <c r="AF178"/>
      <c r="AG178"/>
      <c r="AH178"/>
      <c r="AI178"/>
      <c r="AJ178"/>
      <c r="AK178"/>
      <c r="AL178"/>
      <c r="AM178"/>
      <c r="AN178"/>
      <c r="AO178"/>
      <c r="AP178"/>
      <c r="AQ178"/>
    </row>
    <row r="179" spans="1:43" x14ac:dyDescent="0.55000000000000004">
      <c r="A179">
        <v>178</v>
      </c>
      <c r="B179" s="7">
        <f t="shared" si="4"/>
        <v>178</v>
      </c>
      <c r="C179" s="7">
        <f t="shared" si="5"/>
        <v>0</v>
      </c>
      <c r="D179" t="s">
        <v>402</v>
      </c>
      <c r="E179" t="s">
        <v>25</v>
      </c>
      <c r="F179" t="s">
        <v>47</v>
      </c>
      <c r="G179">
        <v>10</v>
      </c>
      <c r="H179">
        <v>26.5</v>
      </c>
      <c r="I179">
        <v>6.6</v>
      </c>
      <c r="J179">
        <v>0.47</v>
      </c>
      <c r="K179">
        <v>1.8</v>
      </c>
      <c r="L179">
        <v>0.9</v>
      </c>
      <c r="M179">
        <v>0.77800000000000002</v>
      </c>
      <c r="N179">
        <v>2.5</v>
      </c>
      <c r="O179">
        <v>1.8</v>
      </c>
      <c r="P179">
        <v>1</v>
      </c>
      <c r="Q179">
        <v>0.2</v>
      </c>
      <c r="R179">
        <v>1.3</v>
      </c>
      <c r="S179">
        <v>8.6999999999999993</v>
      </c>
      <c r="T179" s="14">
        <f>(J179 - AVERAGE(FG_Range))*I179</f>
        <v>7.4003731343283197E-2</v>
      </c>
      <c r="U179" s="14">
        <f>(M179 - AVERAGE(FT_RANGE))*L179</f>
        <v>1.3380228136881712E-2</v>
      </c>
      <c r="V179" s="14">
        <f>(K179 - AVERAGE(Three_Range))/STDEV(Three_Range)</f>
        <v>0.33351574474364315</v>
      </c>
      <c r="W179" s="14">
        <f>(S179 - AVERAGE(Pts_Range))/STDEV(Pts_Range)</f>
        <v>-0.64815231546016194</v>
      </c>
      <c r="X179" s="14">
        <f>(N179 - AVERAGE(Reb_Range))/STDEV(Reb_Range)</f>
        <v>-0.90450547204055598</v>
      </c>
      <c r="Y179" s="14">
        <f>(O179 - AVERAGE(Ast_Range))/STDEV(Ast_Range)</f>
        <v>-0.4908653096625642</v>
      </c>
      <c r="Z179" s="14">
        <f>(P179 - AVERAGE(Stl_Range))/STDEV(Stl_Range)</f>
        <v>0.31183915844888088</v>
      </c>
      <c r="AA179" s="14">
        <f>(Q179 - AVERAGE(Blk_Range))/STDEV(Blk_Range)</f>
        <v>-0.6262176964245999</v>
      </c>
      <c r="AB179" s="14">
        <f>(R179 - AVERAGE(Tov_Range))/STDEV(Tov_Range)*-1</f>
        <v>0.29352790409826945</v>
      </c>
      <c r="AC179" s="14">
        <f>SUM(T179:AB179)</f>
        <v>-1.6434740268169235</v>
      </c>
      <c r="AD179" s="14">
        <v>-1.6434740268169208</v>
      </c>
      <c r="AE179" s="14">
        <f>AD179-AC179</f>
        <v>2.6645352591003757E-15</v>
      </c>
      <c r="AF179"/>
      <c r="AG179"/>
      <c r="AH179"/>
      <c r="AI179"/>
      <c r="AJ179"/>
      <c r="AK179"/>
      <c r="AL179"/>
      <c r="AM179"/>
      <c r="AN179"/>
      <c r="AO179"/>
      <c r="AP179"/>
      <c r="AQ179"/>
    </row>
    <row r="180" spans="1:43" x14ac:dyDescent="0.55000000000000004">
      <c r="A180">
        <v>179</v>
      </c>
      <c r="B180" s="7">
        <f t="shared" si="4"/>
        <v>179</v>
      </c>
      <c r="C180" s="7">
        <f t="shared" si="5"/>
        <v>0</v>
      </c>
      <c r="D180" t="s">
        <v>376</v>
      </c>
      <c r="E180" t="s">
        <v>46</v>
      </c>
      <c r="F180" t="s">
        <v>82</v>
      </c>
      <c r="G180">
        <v>8</v>
      </c>
      <c r="H180">
        <v>23.6</v>
      </c>
      <c r="I180">
        <v>12.8</v>
      </c>
      <c r="J180">
        <v>0.40200000000000002</v>
      </c>
      <c r="K180">
        <v>0.8</v>
      </c>
      <c r="L180">
        <v>3.5</v>
      </c>
      <c r="M180">
        <v>0.82099999999999995</v>
      </c>
      <c r="N180">
        <v>2</v>
      </c>
      <c r="O180">
        <v>5.4</v>
      </c>
      <c r="P180">
        <v>1</v>
      </c>
      <c r="Q180">
        <v>0.4</v>
      </c>
      <c r="R180">
        <v>2.4</v>
      </c>
      <c r="S180">
        <v>13.9</v>
      </c>
      <c r="T180" s="14">
        <f>(J180 - AVERAGE(FG_Range))*I180</f>
        <v>-0.72687761194029865</v>
      </c>
      <c r="U180" s="14">
        <f>(M180 - AVERAGE(FT_RANGE))*L180</f>
        <v>0.20253422053231751</v>
      </c>
      <c r="V180" s="14">
        <f>(K180 - AVERAGE(Three_Range))/STDEV(Three_Range)</f>
        <v>-0.69386608963907714</v>
      </c>
      <c r="W180" s="14">
        <f>(S180 - AVERAGE(Pts_Range))/STDEV(Pts_Range)</f>
        <v>0.18381329826856488</v>
      </c>
      <c r="X180" s="14">
        <f>(N180 - AVERAGE(Reb_Range))/STDEV(Reb_Range)</f>
        <v>-1.0993041432932635</v>
      </c>
      <c r="Y180" s="14">
        <f>(O180 - AVERAGE(Ast_Range))/STDEV(Ast_Range)</f>
        <v>1.2625106650225233</v>
      </c>
      <c r="Z180" s="14">
        <f>(P180 - AVERAGE(Stl_Range))/STDEV(Stl_Range)</f>
        <v>0.31183915844888088</v>
      </c>
      <c r="AA180" s="14">
        <f>(Q180 - AVERAGE(Blk_Range))/STDEV(Blk_Range)</f>
        <v>-0.25736859171736254</v>
      </c>
      <c r="AB180" s="14">
        <f>(R180 - AVERAGE(Tov_Range))/STDEV(Tov_Range)*-1</f>
        <v>-0.85869614554447204</v>
      </c>
      <c r="AC180" s="14">
        <f>SUM(T180:AB180)</f>
        <v>-1.6754152398621871</v>
      </c>
      <c r="AD180" s="14">
        <v>-1.6754152398621867</v>
      </c>
      <c r="AE180" s="14">
        <f>AD180-AC180</f>
        <v>0</v>
      </c>
      <c r="AF180"/>
      <c r="AG180"/>
      <c r="AH180"/>
      <c r="AI180"/>
      <c r="AJ180"/>
      <c r="AK180"/>
      <c r="AL180"/>
      <c r="AM180"/>
      <c r="AN180"/>
      <c r="AO180"/>
      <c r="AP180"/>
      <c r="AQ180"/>
    </row>
    <row r="181" spans="1:43" x14ac:dyDescent="0.55000000000000004">
      <c r="A181">
        <v>180</v>
      </c>
      <c r="B181" s="7">
        <f t="shared" si="4"/>
        <v>180</v>
      </c>
      <c r="C181" s="7">
        <f t="shared" si="5"/>
        <v>0</v>
      </c>
      <c r="D181" t="s">
        <v>401</v>
      </c>
      <c r="E181" t="s">
        <v>46</v>
      </c>
      <c r="F181" t="s">
        <v>98</v>
      </c>
      <c r="G181">
        <v>8</v>
      </c>
      <c r="H181">
        <v>19.899999999999999</v>
      </c>
      <c r="I181">
        <v>6.8</v>
      </c>
      <c r="J181">
        <v>0.33300000000000002</v>
      </c>
      <c r="K181">
        <v>0.9</v>
      </c>
      <c r="L181">
        <v>2</v>
      </c>
      <c r="M181">
        <v>0.81299999999999994</v>
      </c>
      <c r="N181">
        <v>2.6</v>
      </c>
      <c r="O181">
        <v>2.6</v>
      </c>
      <c r="P181">
        <v>1.5</v>
      </c>
      <c r="Q181">
        <v>0.3</v>
      </c>
      <c r="R181">
        <v>1</v>
      </c>
      <c r="S181">
        <v>7</v>
      </c>
      <c r="T181" s="14">
        <f>(J181 - AVERAGE(FG_Range))*I181</f>
        <v>-0.85535373134328363</v>
      </c>
      <c r="U181" s="14">
        <f>(M181 - AVERAGE(FT_RANGE))*L181</f>
        <v>9.973384030418142E-2</v>
      </c>
      <c r="V181" s="14">
        <f>(K181 - AVERAGE(Three_Range))/STDEV(Three_Range)</f>
        <v>-0.59112790620080513</v>
      </c>
      <c r="W181" s="14">
        <f>(S181 - AVERAGE(Pts_Range))/STDEV(Pts_Range)</f>
        <v>-0.92014107379455323</v>
      </c>
      <c r="X181" s="14">
        <f>(N181 - AVERAGE(Reb_Range))/STDEV(Reb_Range)</f>
        <v>-0.86554573779001431</v>
      </c>
      <c r="Y181" s="14">
        <f>(O181 - AVERAGE(Ast_Range))/STDEV(Ast_Range)</f>
        <v>-0.1012262041769892</v>
      </c>
      <c r="Z181" s="14">
        <f>(P181 - AVERAGE(Stl_Range))/STDEV(Stl_Range)</f>
        <v>1.3832865233758038</v>
      </c>
      <c r="AA181" s="14">
        <f>(Q181 - AVERAGE(Blk_Range))/STDEV(Blk_Range)</f>
        <v>-0.4417931440709813</v>
      </c>
      <c r="AB181" s="14">
        <f>(R181 - AVERAGE(Tov_Range))/STDEV(Tov_Range)*-1</f>
        <v>0.60777082672810812</v>
      </c>
      <c r="AC181" s="14">
        <f>SUM(T181:AB181)</f>
        <v>-1.6843966069685332</v>
      </c>
      <c r="AD181" s="14">
        <v>-1.6843966069685234</v>
      </c>
      <c r="AE181" s="14">
        <f>AD181-AC181</f>
        <v>9.7699626167013776E-15</v>
      </c>
      <c r="AF181"/>
      <c r="AG181"/>
      <c r="AH181"/>
      <c r="AI181"/>
      <c r="AJ181"/>
      <c r="AK181"/>
      <c r="AL181"/>
      <c r="AM181"/>
      <c r="AN181"/>
      <c r="AO181"/>
      <c r="AP181"/>
      <c r="AQ181"/>
    </row>
    <row r="182" spans="1:43" x14ac:dyDescent="0.55000000000000004">
      <c r="A182">
        <v>181</v>
      </c>
      <c r="B182" s="7">
        <f t="shared" si="4"/>
        <v>181</v>
      </c>
      <c r="C182" s="7">
        <f t="shared" si="5"/>
        <v>0</v>
      </c>
      <c r="D182" t="s">
        <v>443</v>
      </c>
      <c r="E182" t="s">
        <v>25</v>
      </c>
      <c r="F182" t="s">
        <v>82</v>
      </c>
      <c r="G182">
        <v>10</v>
      </c>
      <c r="H182">
        <v>25.6</v>
      </c>
      <c r="I182">
        <v>6.4</v>
      </c>
      <c r="J182">
        <v>0.42199999999999999</v>
      </c>
      <c r="K182">
        <v>0.6</v>
      </c>
      <c r="L182">
        <v>2.2999999999999998</v>
      </c>
      <c r="M182">
        <v>0.87</v>
      </c>
      <c r="N182">
        <v>3.2</v>
      </c>
      <c r="O182">
        <v>3.4</v>
      </c>
      <c r="P182">
        <v>0.7</v>
      </c>
      <c r="Q182">
        <v>0.6</v>
      </c>
      <c r="R182">
        <v>1.1000000000000001</v>
      </c>
      <c r="S182">
        <v>8</v>
      </c>
      <c r="T182" s="14">
        <f>(J182 - AVERAGE(FG_Range))*I182</f>
        <v>-0.23543880597014955</v>
      </c>
      <c r="U182" s="14">
        <f>(M182 - AVERAGE(FT_RANGE))*L182</f>
        <v>0.24579391634980874</v>
      </c>
      <c r="V182" s="14">
        <f>(K182 - AVERAGE(Three_Range))/STDEV(Three_Range)</f>
        <v>-0.89934245651562128</v>
      </c>
      <c r="W182" s="14">
        <f>(S182 - AVERAGE(Pts_Range))/STDEV(Pts_Range)</f>
        <v>-0.76014768653902887</v>
      </c>
      <c r="X182" s="14">
        <f>(N182 - AVERAGE(Reb_Range))/STDEV(Reb_Range)</f>
        <v>-0.6317873322867652</v>
      </c>
      <c r="Y182" s="14">
        <f>(O182 - AVERAGE(Ast_Range))/STDEV(Ast_Range)</f>
        <v>0.28841290130858571</v>
      </c>
      <c r="Z182" s="14">
        <f>(P182 - AVERAGE(Stl_Range))/STDEV(Stl_Range)</f>
        <v>-0.33102926050727299</v>
      </c>
      <c r="AA182" s="14">
        <f>(Q182 - AVERAGE(Blk_Range))/STDEV(Blk_Range)</f>
        <v>0.11148051298987478</v>
      </c>
      <c r="AB182" s="14">
        <f>(R182 - AVERAGE(Tov_Range))/STDEV(Tov_Range)*-1</f>
        <v>0.50302318585149519</v>
      </c>
      <c r="AC182" s="14">
        <f>SUM(T182:AB182)</f>
        <v>-1.7090350253190736</v>
      </c>
      <c r="AD182" s="14">
        <v>-1.7090350253190685</v>
      </c>
      <c r="AE182" s="14">
        <f>AD182-AC182</f>
        <v>5.1070259132757201E-15</v>
      </c>
      <c r="AF182"/>
      <c r="AG182"/>
      <c r="AH182"/>
      <c r="AI182"/>
      <c r="AJ182"/>
      <c r="AK182"/>
      <c r="AL182"/>
      <c r="AM182"/>
      <c r="AN182"/>
      <c r="AO182"/>
      <c r="AP182"/>
      <c r="AQ182"/>
    </row>
    <row r="183" spans="1:43" x14ac:dyDescent="0.55000000000000004">
      <c r="A183">
        <v>182</v>
      </c>
      <c r="B183" s="7">
        <f t="shared" si="4"/>
        <v>182</v>
      </c>
      <c r="C183" s="7">
        <f t="shared" si="5"/>
        <v>0</v>
      </c>
      <c r="D183" t="s">
        <v>196</v>
      </c>
      <c r="E183" t="s">
        <v>25</v>
      </c>
      <c r="F183" t="s">
        <v>59</v>
      </c>
      <c r="G183">
        <v>10</v>
      </c>
      <c r="H183">
        <v>31.7</v>
      </c>
      <c r="I183">
        <v>9.1</v>
      </c>
      <c r="J183">
        <v>0.46200000000000002</v>
      </c>
      <c r="K183">
        <v>1.1000000000000001</v>
      </c>
      <c r="L183">
        <v>1.5</v>
      </c>
      <c r="M183">
        <v>0.73299999999999998</v>
      </c>
      <c r="N183">
        <v>2.2999999999999998</v>
      </c>
      <c r="O183">
        <v>1.4</v>
      </c>
      <c r="P183">
        <v>1</v>
      </c>
      <c r="Q183">
        <v>0.3</v>
      </c>
      <c r="R183">
        <v>0.8</v>
      </c>
      <c r="S183">
        <v>10.6</v>
      </c>
      <c r="T183" s="14">
        <f>(J183 - AVERAGE(FG_Range))*I183</f>
        <v>2.9235447761193939E-2</v>
      </c>
      <c r="U183" s="14">
        <f>(M183 - AVERAGE(FT_RANGE))*L183</f>
        <v>-4.5199619771863875E-2</v>
      </c>
      <c r="V183" s="14">
        <f>(K183 - AVERAGE(Three_Range))/STDEV(Three_Range)</f>
        <v>-0.38565153932426105</v>
      </c>
      <c r="W183" s="14">
        <f>(S183 - AVERAGE(Pts_Range))/STDEV(Pts_Range)</f>
        <v>-0.34416487967466564</v>
      </c>
      <c r="X183" s="14">
        <f>(N183 - AVERAGE(Reb_Range))/STDEV(Reb_Range)</f>
        <v>-0.98242494054163909</v>
      </c>
      <c r="Y183" s="14">
        <f>(O183 - AVERAGE(Ast_Range))/STDEV(Ast_Range)</f>
        <v>-0.68568486240535176</v>
      </c>
      <c r="Z183" s="14">
        <f>(P183 - AVERAGE(Stl_Range))/STDEV(Stl_Range)</f>
        <v>0.31183915844888088</v>
      </c>
      <c r="AA183" s="14">
        <f>(Q183 - AVERAGE(Blk_Range))/STDEV(Blk_Range)</f>
        <v>-0.4417931440709813</v>
      </c>
      <c r="AB183" s="14">
        <f>(R183 - AVERAGE(Tov_Range))/STDEV(Tov_Range)*-1</f>
        <v>0.81726610848133385</v>
      </c>
      <c r="AC183" s="14">
        <f>SUM(T183:AB183)</f>
        <v>-1.7265782710973547</v>
      </c>
      <c r="AD183" s="14">
        <v>-1.7265782710973478</v>
      </c>
      <c r="AE183" s="14">
        <f>AD183-AC183</f>
        <v>6.8833827526759706E-15</v>
      </c>
      <c r="AF183"/>
      <c r="AG183"/>
      <c r="AH183"/>
      <c r="AI183"/>
      <c r="AJ183"/>
      <c r="AK183"/>
      <c r="AL183"/>
      <c r="AM183"/>
      <c r="AN183"/>
      <c r="AO183"/>
      <c r="AP183"/>
      <c r="AQ183"/>
    </row>
    <row r="184" spans="1:43" x14ac:dyDescent="0.55000000000000004">
      <c r="A184">
        <v>183</v>
      </c>
      <c r="B184" s="7">
        <f t="shared" si="4"/>
        <v>183</v>
      </c>
      <c r="C184" s="7">
        <f t="shared" si="5"/>
        <v>0</v>
      </c>
      <c r="D184" t="s">
        <v>706</v>
      </c>
      <c r="E184" t="s">
        <v>25</v>
      </c>
      <c r="F184" t="s">
        <v>80</v>
      </c>
      <c r="G184">
        <v>12</v>
      </c>
      <c r="H184">
        <v>21</v>
      </c>
      <c r="I184">
        <v>10.5</v>
      </c>
      <c r="J184">
        <v>0.47599999999999998</v>
      </c>
      <c r="K184">
        <v>0.8</v>
      </c>
      <c r="L184">
        <v>0.4</v>
      </c>
      <c r="M184">
        <v>0.6</v>
      </c>
      <c r="N184">
        <v>2.6</v>
      </c>
      <c r="O184">
        <v>2.7</v>
      </c>
      <c r="P184">
        <v>0.7</v>
      </c>
      <c r="Q184">
        <v>0.3</v>
      </c>
      <c r="R184">
        <v>0.8</v>
      </c>
      <c r="S184">
        <v>11</v>
      </c>
      <c r="T184" s="14">
        <f>(J184 - AVERAGE(FG_Range))*I184</f>
        <v>0.18073320895522332</v>
      </c>
      <c r="U184" s="14">
        <f>(M184 - AVERAGE(FT_RANGE))*L184</f>
        <v>-6.52532319391637E-2</v>
      </c>
      <c r="V184" s="14">
        <f>(K184 - AVERAGE(Three_Range))/STDEV(Three_Range)</f>
        <v>-0.69386608963907714</v>
      </c>
      <c r="W184" s="14">
        <f>(S184 - AVERAGE(Pts_Range))/STDEV(Pts_Range)</f>
        <v>-0.28016752477245582</v>
      </c>
      <c r="X184" s="14">
        <f>(N184 - AVERAGE(Reb_Range))/STDEV(Reb_Range)</f>
        <v>-0.86554573779001431</v>
      </c>
      <c r="Y184" s="14">
        <f>(O184 - AVERAGE(Ast_Range))/STDEV(Ast_Range)</f>
        <v>-5.252131599129229E-2</v>
      </c>
      <c r="Z184" s="14">
        <f>(P184 - AVERAGE(Stl_Range))/STDEV(Stl_Range)</f>
        <v>-0.33102926050727299</v>
      </c>
      <c r="AA184" s="14">
        <f>(Q184 - AVERAGE(Blk_Range))/STDEV(Blk_Range)</f>
        <v>-0.4417931440709813</v>
      </c>
      <c r="AB184" s="14">
        <f>(R184 - AVERAGE(Tov_Range))/STDEV(Tov_Range)*-1</f>
        <v>0.81726610848133385</v>
      </c>
      <c r="AC184" s="14">
        <f>SUM(T184:AB184)</f>
        <v>-1.732176987273701</v>
      </c>
      <c r="AD184" s="14">
        <v>-1.7321769872736954</v>
      </c>
      <c r="AE184" s="14">
        <f>AD184-AC184</f>
        <v>5.5511151231257827E-15</v>
      </c>
      <c r="AF184"/>
      <c r="AG184"/>
      <c r="AH184"/>
      <c r="AI184"/>
      <c r="AJ184"/>
      <c r="AK184"/>
      <c r="AL184"/>
      <c r="AM184"/>
      <c r="AN184"/>
      <c r="AO184"/>
      <c r="AP184"/>
      <c r="AQ184"/>
    </row>
    <row r="185" spans="1:43" x14ac:dyDescent="0.55000000000000004">
      <c r="A185">
        <v>184</v>
      </c>
      <c r="B185" s="7">
        <f t="shared" si="4"/>
        <v>184</v>
      </c>
      <c r="C185" s="7">
        <f t="shared" si="5"/>
        <v>0</v>
      </c>
      <c r="D185" t="s">
        <v>327</v>
      </c>
      <c r="E185" t="s">
        <v>18</v>
      </c>
      <c r="F185" t="s">
        <v>19</v>
      </c>
      <c r="G185">
        <v>9</v>
      </c>
      <c r="H185">
        <v>17.7</v>
      </c>
      <c r="I185">
        <v>6.9</v>
      </c>
      <c r="J185">
        <v>0.46800000000000003</v>
      </c>
      <c r="K185">
        <v>2.1</v>
      </c>
      <c r="L185">
        <v>1</v>
      </c>
      <c r="M185">
        <v>0.88900000000000001</v>
      </c>
      <c r="N185">
        <v>3.1</v>
      </c>
      <c r="O185">
        <v>0.8</v>
      </c>
      <c r="P185">
        <v>0.2</v>
      </c>
      <c r="Q185">
        <v>0.4</v>
      </c>
      <c r="R185">
        <v>0.4</v>
      </c>
      <c r="S185">
        <v>9.4</v>
      </c>
      <c r="T185" s="14">
        <f>(J185 - AVERAGE(FG_Range))*I185</f>
        <v>6.3567537313432801E-2</v>
      </c>
      <c r="U185" s="14">
        <f>(M185 - AVERAGE(FT_RANGE))*L185</f>
        <v>0.12586692015209078</v>
      </c>
      <c r="V185" s="14">
        <f>(K185 - AVERAGE(Three_Range))/STDEV(Three_Range)</f>
        <v>0.64173029505845924</v>
      </c>
      <c r="W185" s="14">
        <f>(S185 - AVERAGE(Pts_Range))/STDEV(Pts_Range)</f>
        <v>-0.53615694438129469</v>
      </c>
      <c r="X185" s="14">
        <f>(N185 - AVERAGE(Reb_Range))/STDEV(Reb_Range)</f>
        <v>-0.67074706653730676</v>
      </c>
      <c r="Y185" s="14">
        <f>(O185 - AVERAGE(Ast_Range))/STDEV(Ast_Range)</f>
        <v>-0.97791419151953307</v>
      </c>
      <c r="Z185" s="14">
        <f>(P185 - AVERAGE(Stl_Range))/STDEV(Stl_Range)</f>
        <v>-1.4024766254341958</v>
      </c>
      <c r="AA185" s="14">
        <f>(Q185 - AVERAGE(Blk_Range))/STDEV(Blk_Range)</f>
        <v>-0.25736859171736254</v>
      </c>
      <c r="AB185" s="14">
        <f>(R185 - AVERAGE(Tov_Range))/STDEV(Tov_Range)*-1</f>
        <v>1.2362566719877852</v>
      </c>
      <c r="AC185" s="14">
        <f>SUM(T185:AB185)</f>
        <v>-1.7772419950779252</v>
      </c>
      <c r="AD185" s="14">
        <v>-1.7772419950779255</v>
      </c>
      <c r="AE185" s="14">
        <f>AD185-AC185</f>
        <v>0</v>
      </c>
      <c r="AF185"/>
      <c r="AG185"/>
      <c r="AH185"/>
      <c r="AI185"/>
      <c r="AJ185"/>
      <c r="AK185"/>
      <c r="AL185"/>
      <c r="AM185"/>
      <c r="AN185"/>
      <c r="AO185"/>
      <c r="AP185"/>
      <c r="AQ185"/>
    </row>
    <row r="186" spans="1:43" x14ac:dyDescent="0.55000000000000004">
      <c r="A186">
        <v>185</v>
      </c>
      <c r="B186" s="7">
        <f t="shared" si="4"/>
        <v>185</v>
      </c>
      <c r="C186" s="7">
        <f t="shared" si="5"/>
        <v>0</v>
      </c>
      <c r="D186" t="s">
        <v>163</v>
      </c>
      <c r="E186" t="s">
        <v>46</v>
      </c>
      <c r="F186" t="s">
        <v>33</v>
      </c>
      <c r="G186">
        <v>8</v>
      </c>
      <c r="H186">
        <v>26.9</v>
      </c>
      <c r="I186">
        <v>13</v>
      </c>
      <c r="J186">
        <v>0.39400000000000002</v>
      </c>
      <c r="K186">
        <v>0.5</v>
      </c>
      <c r="L186">
        <v>2.4</v>
      </c>
      <c r="M186">
        <v>0.89500000000000002</v>
      </c>
      <c r="N186">
        <v>3.1</v>
      </c>
      <c r="O186">
        <v>5.4</v>
      </c>
      <c r="P186">
        <v>1</v>
      </c>
      <c r="Q186">
        <v>0.3</v>
      </c>
      <c r="R186">
        <v>2.2999999999999998</v>
      </c>
      <c r="S186">
        <v>12.9</v>
      </c>
      <c r="T186" s="14">
        <f>(J186 - AVERAGE(FG_Range))*I186</f>
        <v>-0.84223507462686586</v>
      </c>
      <c r="U186" s="14">
        <f>(M186 - AVERAGE(FT_RANGE))*L186</f>
        <v>0.31648060836501785</v>
      </c>
      <c r="V186" s="14">
        <f>(K186 - AVERAGE(Three_Range))/STDEV(Three_Range)</f>
        <v>-1.0020806399538933</v>
      </c>
      <c r="W186" s="14">
        <f>(S186 - AVERAGE(Pts_Range))/STDEV(Pts_Range)</f>
        <v>2.3819911013040526E-2</v>
      </c>
      <c r="X186" s="14">
        <f>(N186 - AVERAGE(Reb_Range))/STDEV(Reb_Range)</f>
        <v>-0.67074706653730676</v>
      </c>
      <c r="Y186" s="14">
        <f>(O186 - AVERAGE(Ast_Range))/STDEV(Ast_Range)</f>
        <v>1.2625106650225233</v>
      </c>
      <c r="Z186" s="14">
        <f>(P186 - AVERAGE(Stl_Range))/STDEV(Stl_Range)</f>
        <v>0.31183915844888088</v>
      </c>
      <c r="AA186" s="14">
        <f>(Q186 - AVERAGE(Blk_Range))/STDEV(Blk_Range)</f>
        <v>-0.4417931440709813</v>
      </c>
      <c r="AB186" s="14">
        <f>(R186 - AVERAGE(Tov_Range))/STDEV(Tov_Range)*-1</f>
        <v>-0.75394850466785901</v>
      </c>
      <c r="AC186" s="14">
        <f>SUM(T186:AB186)</f>
        <v>-1.7961540870074439</v>
      </c>
      <c r="AD186" s="14">
        <v>-1.7961540870074399</v>
      </c>
      <c r="AE186" s="14">
        <f>AD186-AC186</f>
        <v>3.9968028886505635E-15</v>
      </c>
      <c r="AF186"/>
      <c r="AG186"/>
      <c r="AH186"/>
      <c r="AI186"/>
      <c r="AJ186"/>
      <c r="AK186"/>
      <c r="AL186"/>
      <c r="AM186"/>
      <c r="AN186"/>
      <c r="AO186"/>
      <c r="AP186"/>
      <c r="AQ186"/>
    </row>
    <row r="187" spans="1:43" x14ac:dyDescent="0.55000000000000004">
      <c r="A187">
        <v>186</v>
      </c>
      <c r="B187" s="7">
        <f t="shared" si="4"/>
        <v>186</v>
      </c>
      <c r="C187" s="7">
        <f t="shared" si="5"/>
        <v>0</v>
      </c>
      <c r="D187" t="s">
        <v>100</v>
      </c>
      <c r="E187" t="s">
        <v>25</v>
      </c>
      <c r="F187" t="s">
        <v>36</v>
      </c>
      <c r="G187">
        <v>9</v>
      </c>
      <c r="H187">
        <v>18.7</v>
      </c>
      <c r="I187">
        <v>5</v>
      </c>
      <c r="J187">
        <v>0.51100000000000001</v>
      </c>
      <c r="K187">
        <v>1.6</v>
      </c>
      <c r="L187">
        <v>0.2</v>
      </c>
      <c r="M187">
        <v>1</v>
      </c>
      <c r="N187">
        <v>2.8</v>
      </c>
      <c r="O187">
        <v>0.8</v>
      </c>
      <c r="P187">
        <v>0.9</v>
      </c>
      <c r="Q187">
        <v>0</v>
      </c>
      <c r="R187">
        <v>0.3</v>
      </c>
      <c r="S187">
        <v>6.9</v>
      </c>
      <c r="T187" s="14">
        <f>(J187 - AVERAGE(FG_Range))*I187</f>
        <v>0.26106343283582079</v>
      </c>
      <c r="U187" s="14">
        <f>(M187 - AVERAGE(FT_RANGE))*L187</f>
        <v>4.7373384030418159E-2</v>
      </c>
      <c r="V187" s="14">
        <f>(K187 - AVERAGE(Three_Range))/STDEV(Three_Range)</f>
        <v>0.12803937786709912</v>
      </c>
      <c r="W187" s="14">
        <f>(S187 - AVERAGE(Pts_Range))/STDEV(Pts_Range)</f>
        <v>-0.9361404125201056</v>
      </c>
      <c r="X187" s="14">
        <f>(N187 - AVERAGE(Reb_Range))/STDEV(Reb_Range)</f>
        <v>-0.78762626928893142</v>
      </c>
      <c r="Y187" s="14">
        <f>(O187 - AVERAGE(Ast_Range))/STDEV(Ast_Range)</f>
        <v>-0.97791419151953307</v>
      </c>
      <c r="Z187" s="14">
        <f>(P187 - AVERAGE(Stl_Range))/STDEV(Stl_Range)</f>
        <v>9.7549685463496322E-2</v>
      </c>
      <c r="AA187" s="14">
        <f>(Q187 - AVERAGE(Blk_Range))/STDEV(Blk_Range)</f>
        <v>-0.99506680113183732</v>
      </c>
      <c r="AB187" s="14">
        <f>(R187 - AVERAGE(Tov_Range))/STDEV(Tov_Range)*-1</f>
        <v>1.3410043128643983</v>
      </c>
      <c r="AC187" s="14">
        <f>SUM(T187:AB187)</f>
        <v>-1.8217174813991748</v>
      </c>
      <c r="AD187" s="14">
        <v>-1.8217174813991679</v>
      </c>
      <c r="AE187" s="14">
        <f>AD187-AC187</f>
        <v>6.8833827526759706E-15</v>
      </c>
      <c r="AF187"/>
      <c r="AG187"/>
      <c r="AH187"/>
      <c r="AI187"/>
      <c r="AJ187"/>
      <c r="AK187"/>
      <c r="AL187"/>
      <c r="AM187"/>
      <c r="AN187"/>
      <c r="AO187"/>
      <c r="AP187"/>
      <c r="AQ187"/>
    </row>
    <row r="188" spans="1:43" x14ac:dyDescent="0.55000000000000004">
      <c r="A188">
        <v>187</v>
      </c>
      <c r="B188" s="7">
        <f t="shared" si="4"/>
        <v>187</v>
      </c>
      <c r="C188" s="7">
        <f t="shared" si="5"/>
        <v>0</v>
      </c>
      <c r="D188" t="s">
        <v>639</v>
      </c>
      <c r="E188" t="s">
        <v>34</v>
      </c>
      <c r="F188" t="s">
        <v>43</v>
      </c>
      <c r="G188">
        <v>10</v>
      </c>
      <c r="H188">
        <v>27.3</v>
      </c>
      <c r="I188">
        <v>5.7</v>
      </c>
      <c r="J188">
        <v>0.38600000000000001</v>
      </c>
      <c r="K188">
        <v>0.7</v>
      </c>
      <c r="L188">
        <v>2.2000000000000002</v>
      </c>
      <c r="M188">
        <v>0.59099999999999997</v>
      </c>
      <c r="N188">
        <v>3.5</v>
      </c>
      <c r="O188">
        <v>0.8</v>
      </c>
      <c r="P188">
        <v>1.3</v>
      </c>
      <c r="Q188">
        <v>0.7</v>
      </c>
      <c r="R188">
        <v>0.6</v>
      </c>
      <c r="S188">
        <v>6.4</v>
      </c>
      <c r="T188" s="14">
        <f>(J188 - AVERAGE(FG_Range))*I188</f>
        <v>-0.41488768656716429</v>
      </c>
      <c r="U188" s="14">
        <f>(M188 - AVERAGE(FT_RANGE))*L188</f>
        <v>-0.37869277566540044</v>
      </c>
      <c r="V188" s="14">
        <f>(K188 - AVERAGE(Three_Range))/STDEV(Three_Range)</f>
        <v>-0.79660427307734927</v>
      </c>
      <c r="W188" s="14">
        <f>(S188 - AVERAGE(Pts_Range))/STDEV(Pts_Range)</f>
        <v>-1.0161371061478679</v>
      </c>
      <c r="X188" s="14">
        <f>(N188 - AVERAGE(Reb_Range))/STDEV(Reb_Range)</f>
        <v>-0.51490812953514065</v>
      </c>
      <c r="Y188" s="14">
        <f>(O188 - AVERAGE(Ast_Range))/STDEV(Ast_Range)</f>
        <v>-0.97791419151953307</v>
      </c>
      <c r="Z188" s="14">
        <f>(P188 - AVERAGE(Stl_Range))/STDEV(Stl_Range)</f>
        <v>0.95470757740503476</v>
      </c>
      <c r="AA188" s="14">
        <f>(Q188 - AVERAGE(Blk_Range))/STDEV(Blk_Range)</f>
        <v>0.29590506534349342</v>
      </c>
      <c r="AB188" s="14">
        <f>(R188 - AVERAGE(Tov_Range))/STDEV(Tov_Range)*-1</f>
        <v>1.0267613902345596</v>
      </c>
      <c r="AC188" s="14">
        <f>SUM(T188:AB188)</f>
        <v>-1.8217701295293678</v>
      </c>
      <c r="AD188" s="14">
        <v>-1.8217701295293565</v>
      </c>
      <c r="AE188" s="14">
        <f>AD188-AC188</f>
        <v>1.1324274851176597E-14</v>
      </c>
      <c r="AF188"/>
      <c r="AG188"/>
      <c r="AH188"/>
      <c r="AI188"/>
      <c r="AJ188"/>
      <c r="AK188"/>
      <c r="AL188"/>
      <c r="AM188"/>
      <c r="AN188"/>
      <c r="AO188"/>
      <c r="AP188"/>
      <c r="AQ188"/>
    </row>
    <row r="189" spans="1:43" x14ac:dyDescent="0.55000000000000004">
      <c r="A189">
        <v>188</v>
      </c>
      <c r="B189" s="7">
        <f t="shared" si="4"/>
        <v>188</v>
      </c>
      <c r="C189" s="7">
        <f t="shared" si="5"/>
        <v>0</v>
      </c>
      <c r="D189" t="s">
        <v>311</v>
      </c>
      <c r="E189" t="s">
        <v>15</v>
      </c>
      <c r="F189" t="s">
        <v>59</v>
      </c>
      <c r="G189">
        <v>11</v>
      </c>
      <c r="H189">
        <v>24</v>
      </c>
      <c r="I189">
        <v>7.4</v>
      </c>
      <c r="J189">
        <v>0.51900000000000002</v>
      </c>
      <c r="K189">
        <v>1.5</v>
      </c>
      <c r="L189">
        <v>2.5</v>
      </c>
      <c r="M189">
        <v>0.70399999999999996</v>
      </c>
      <c r="N189">
        <v>4.2</v>
      </c>
      <c r="O189">
        <v>1.3</v>
      </c>
      <c r="P189">
        <v>0.6</v>
      </c>
      <c r="Q189">
        <v>0.2</v>
      </c>
      <c r="R189">
        <v>1.4</v>
      </c>
      <c r="S189">
        <v>10.8</v>
      </c>
      <c r="T189" s="14">
        <f>(J189 - AVERAGE(FG_Range))*I189</f>
        <v>0.44557388059701486</v>
      </c>
      <c r="U189" s="14">
        <f>(M189 - AVERAGE(FT_RANGE))*L189</f>
        <v>-0.14783269961977319</v>
      </c>
      <c r="V189" s="14">
        <f>(K189 - AVERAGE(Three_Range))/STDEV(Three_Range)</f>
        <v>2.5301194428826994E-2</v>
      </c>
      <c r="W189" s="14">
        <f>(S189 - AVERAGE(Pts_Range))/STDEV(Pts_Range)</f>
        <v>-0.31216620222356056</v>
      </c>
      <c r="X189" s="14">
        <f>(N189 - AVERAGE(Reb_Range))/STDEV(Reb_Range)</f>
        <v>-0.24218998978134992</v>
      </c>
      <c r="Y189" s="14">
        <f>(O189 - AVERAGE(Ast_Range))/STDEV(Ast_Range)</f>
        <v>-0.73438975059104861</v>
      </c>
      <c r="Z189" s="14">
        <f>(P189 - AVERAGE(Stl_Range))/STDEV(Stl_Range)</f>
        <v>-0.54531873349265758</v>
      </c>
      <c r="AA189" s="14">
        <f>(Q189 - AVERAGE(Blk_Range))/STDEV(Blk_Range)</f>
        <v>-0.6262176964245999</v>
      </c>
      <c r="AB189" s="14">
        <f>(R189 - AVERAGE(Tov_Range))/STDEV(Tov_Range)*-1</f>
        <v>0.18878026322165675</v>
      </c>
      <c r="AC189" s="14">
        <f>SUM(T189:AB189)</f>
        <v>-1.9484597338854908</v>
      </c>
      <c r="AD189" s="14">
        <v>-1.948459733885489</v>
      </c>
      <c r="AE189" s="14">
        <f>AD189-AC189</f>
        <v>1.7763568394002505E-15</v>
      </c>
      <c r="AF189"/>
      <c r="AG189"/>
      <c r="AH189"/>
      <c r="AI189"/>
      <c r="AJ189"/>
      <c r="AK189"/>
      <c r="AL189"/>
      <c r="AM189"/>
      <c r="AN189"/>
      <c r="AO189"/>
      <c r="AP189"/>
      <c r="AQ189"/>
    </row>
    <row r="190" spans="1:43" x14ac:dyDescent="0.55000000000000004">
      <c r="A190">
        <v>189</v>
      </c>
      <c r="B190" s="7">
        <f t="shared" si="4"/>
        <v>189</v>
      </c>
      <c r="C190" s="7">
        <f t="shared" si="5"/>
        <v>0</v>
      </c>
      <c r="D190" t="s">
        <v>348</v>
      </c>
      <c r="E190" t="s">
        <v>15</v>
      </c>
      <c r="F190" t="s">
        <v>87</v>
      </c>
      <c r="G190">
        <v>10</v>
      </c>
      <c r="H190">
        <v>19.3</v>
      </c>
      <c r="I190">
        <v>8.3000000000000007</v>
      </c>
      <c r="J190">
        <v>0.54200000000000004</v>
      </c>
      <c r="K190">
        <v>0.7</v>
      </c>
      <c r="L190">
        <v>2.9</v>
      </c>
      <c r="M190">
        <v>0.82799999999999996</v>
      </c>
      <c r="N190">
        <v>3.2</v>
      </c>
      <c r="O190">
        <v>1.3</v>
      </c>
      <c r="P190">
        <v>0.3</v>
      </c>
      <c r="Q190">
        <v>0.2</v>
      </c>
      <c r="R190">
        <v>0.4</v>
      </c>
      <c r="S190">
        <v>12.1</v>
      </c>
      <c r="T190" s="14">
        <f>(J190 - AVERAGE(FG_Range))*I190</f>
        <v>0.69066529850746283</v>
      </c>
      <c r="U190" s="14">
        <f>(M190 - AVERAGE(FT_RANGE))*L190</f>
        <v>0.1881140684410631</v>
      </c>
      <c r="V190" s="14">
        <f>(K190 - AVERAGE(Three_Range))/STDEV(Three_Range)</f>
        <v>-0.79660427307734927</v>
      </c>
      <c r="W190" s="14">
        <f>(S190 - AVERAGE(Pts_Range))/STDEV(Pts_Range)</f>
        <v>-0.10417479879137907</v>
      </c>
      <c r="X190" s="14">
        <f>(N190 - AVERAGE(Reb_Range))/STDEV(Reb_Range)</f>
        <v>-0.6317873322867652</v>
      </c>
      <c r="Y190" s="14">
        <f>(O190 - AVERAGE(Ast_Range))/STDEV(Ast_Range)</f>
        <v>-0.73438975059104861</v>
      </c>
      <c r="Z190" s="14">
        <f>(P190 - AVERAGE(Stl_Range))/STDEV(Stl_Range)</f>
        <v>-1.1881871524488112</v>
      </c>
      <c r="AA190" s="14">
        <f>(Q190 - AVERAGE(Blk_Range))/STDEV(Blk_Range)</f>
        <v>-0.6262176964245999</v>
      </c>
      <c r="AB190" s="14">
        <f>(R190 - AVERAGE(Tov_Range))/STDEV(Tov_Range)*-1</f>
        <v>1.2362566719877852</v>
      </c>
      <c r="AC190" s="14">
        <f>SUM(T190:AB190)</f>
        <v>-1.9663249646836423</v>
      </c>
      <c r="AD190" s="14">
        <v>-1.9663249646836372</v>
      </c>
      <c r="AE190" s="14">
        <f>AD190-AC190</f>
        <v>5.1070259132757201E-15</v>
      </c>
      <c r="AF190"/>
      <c r="AG190"/>
      <c r="AH190"/>
      <c r="AI190"/>
      <c r="AJ190"/>
      <c r="AK190"/>
      <c r="AL190"/>
      <c r="AM190"/>
      <c r="AN190"/>
      <c r="AO190"/>
      <c r="AP190"/>
      <c r="AQ190"/>
    </row>
    <row r="191" spans="1:43" x14ac:dyDescent="0.55000000000000004">
      <c r="A191">
        <v>190</v>
      </c>
      <c r="B191" s="7">
        <f t="shared" si="4"/>
        <v>190</v>
      </c>
      <c r="C191" s="7">
        <f t="shared" si="5"/>
        <v>0</v>
      </c>
      <c r="D191" t="s">
        <v>406</v>
      </c>
      <c r="E191" t="s">
        <v>15</v>
      </c>
      <c r="F191" t="s">
        <v>98</v>
      </c>
      <c r="G191">
        <v>8</v>
      </c>
      <c r="H191">
        <v>23.1</v>
      </c>
      <c r="I191">
        <v>6.4</v>
      </c>
      <c r="J191">
        <v>0.52900000000000003</v>
      </c>
      <c r="K191">
        <v>0</v>
      </c>
      <c r="L191">
        <v>2.5</v>
      </c>
      <c r="M191">
        <v>0.65</v>
      </c>
      <c r="N191">
        <v>8.5</v>
      </c>
      <c r="O191">
        <v>0.8</v>
      </c>
      <c r="P191">
        <v>0.3</v>
      </c>
      <c r="Q191">
        <v>0.8</v>
      </c>
      <c r="R191">
        <v>1.3</v>
      </c>
      <c r="S191">
        <v>8.4</v>
      </c>
      <c r="T191" s="14">
        <f>(J191 - AVERAGE(FG_Range))*I191</f>
        <v>0.44936119402985075</v>
      </c>
      <c r="U191" s="14">
        <f>(M191 - AVERAGE(FT_RANGE))*L191</f>
        <v>-0.28283269961977303</v>
      </c>
      <c r="V191" s="14">
        <f>(K191 - AVERAGE(Three_Range))/STDEV(Three_Range)</f>
        <v>-1.5157715571452535</v>
      </c>
      <c r="W191" s="14">
        <f>(S191 - AVERAGE(Pts_Range))/STDEV(Pts_Range)</f>
        <v>-0.69615033163681905</v>
      </c>
      <c r="X191" s="14">
        <f>(N191 - AVERAGE(Reb_Range))/STDEV(Reb_Range)</f>
        <v>1.4330785829919357</v>
      </c>
      <c r="Y191" s="14">
        <f>(O191 - AVERAGE(Ast_Range))/STDEV(Ast_Range)</f>
        <v>-0.97791419151953307</v>
      </c>
      <c r="Z191" s="14">
        <f>(P191 - AVERAGE(Stl_Range))/STDEV(Stl_Range)</f>
        <v>-1.1881871524488112</v>
      </c>
      <c r="AA191" s="14">
        <f>(Q191 - AVERAGE(Blk_Range))/STDEV(Blk_Range)</f>
        <v>0.4803296176971123</v>
      </c>
      <c r="AB191" s="14">
        <f>(R191 - AVERAGE(Tov_Range))/STDEV(Tov_Range)*-1</f>
        <v>0.29352790409826945</v>
      </c>
      <c r="AC191" s="14">
        <f>SUM(T191:AB191)</f>
        <v>-2.0045586335530219</v>
      </c>
      <c r="AD191" s="14">
        <v>-2.004558633553013</v>
      </c>
      <c r="AE191" s="14">
        <f>AD191-AC191</f>
        <v>8.8817841970012523E-15</v>
      </c>
      <c r="AF191"/>
      <c r="AG191"/>
      <c r="AH191"/>
      <c r="AI191"/>
      <c r="AJ191"/>
      <c r="AK191"/>
      <c r="AL191"/>
      <c r="AM191"/>
      <c r="AN191"/>
      <c r="AO191"/>
      <c r="AP191"/>
      <c r="AQ191"/>
    </row>
    <row r="192" spans="1:43" x14ac:dyDescent="0.55000000000000004">
      <c r="A192">
        <v>191</v>
      </c>
      <c r="B192" s="7">
        <f t="shared" si="4"/>
        <v>191</v>
      </c>
      <c r="C192" s="7">
        <f t="shared" si="5"/>
        <v>0</v>
      </c>
      <c r="D192" t="s">
        <v>647</v>
      </c>
      <c r="E192" t="s">
        <v>46</v>
      </c>
      <c r="F192" t="s">
        <v>52</v>
      </c>
      <c r="G192">
        <v>9</v>
      </c>
      <c r="H192">
        <v>17.8</v>
      </c>
      <c r="I192">
        <v>6.2</v>
      </c>
      <c r="J192">
        <v>0.5</v>
      </c>
      <c r="K192">
        <v>1</v>
      </c>
      <c r="L192">
        <v>0.4</v>
      </c>
      <c r="M192">
        <v>1</v>
      </c>
      <c r="N192">
        <v>2.4</v>
      </c>
      <c r="O192">
        <v>4.3</v>
      </c>
      <c r="P192">
        <v>0.7</v>
      </c>
      <c r="Q192">
        <v>0.1</v>
      </c>
      <c r="R192">
        <v>1.3</v>
      </c>
      <c r="S192">
        <v>7.7</v>
      </c>
      <c r="T192" s="14">
        <f>(J192 - AVERAGE(FG_Range))*I192</f>
        <v>0.25551865671641771</v>
      </c>
      <c r="U192" s="14">
        <f>(M192 - AVERAGE(FT_RANGE))*L192</f>
        <v>9.4746768060836317E-2</v>
      </c>
      <c r="V192" s="14">
        <f>(K192 - AVERAGE(Three_Range))/STDEV(Three_Range)</f>
        <v>-0.48838972276253317</v>
      </c>
      <c r="W192" s="14">
        <f>(S192 - AVERAGE(Pts_Range))/STDEV(Pts_Range)</f>
        <v>-0.8081457027156862</v>
      </c>
      <c r="X192" s="14">
        <f>(N192 - AVERAGE(Reb_Range))/STDEV(Reb_Range)</f>
        <v>-0.94346520629109754</v>
      </c>
      <c r="Y192" s="14">
        <f>(O192 - AVERAGE(Ast_Range))/STDEV(Ast_Range)</f>
        <v>0.72675689497985752</v>
      </c>
      <c r="Z192" s="14">
        <f>(P192 - AVERAGE(Stl_Range))/STDEV(Stl_Range)</f>
        <v>-0.33102926050727299</v>
      </c>
      <c r="AA192" s="14">
        <f>(Q192 - AVERAGE(Blk_Range))/STDEV(Blk_Range)</f>
        <v>-0.81064224877821867</v>
      </c>
      <c r="AB192" s="14">
        <f>(R192 - AVERAGE(Tov_Range))/STDEV(Tov_Range)*-1</f>
        <v>0.29352790409826945</v>
      </c>
      <c r="AC192" s="14">
        <f>SUM(T192:AB192)</f>
        <v>-2.0111219171994277</v>
      </c>
      <c r="AD192" s="14">
        <v>-2.0111219171994246</v>
      </c>
      <c r="AE192" s="14">
        <f>AD192-AC192</f>
        <v>0</v>
      </c>
      <c r="AF192"/>
      <c r="AG192"/>
      <c r="AH192"/>
      <c r="AI192"/>
      <c r="AJ192"/>
      <c r="AK192"/>
      <c r="AL192"/>
      <c r="AM192"/>
      <c r="AN192"/>
      <c r="AO192"/>
      <c r="AP192"/>
      <c r="AQ192"/>
    </row>
    <row r="193" spans="1:43" x14ac:dyDescent="0.55000000000000004">
      <c r="A193">
        <v>192</v>
      </c>
      <c r="B193" s="7">
        <f t="shared" si="4"/>
        <v>192</v>
      </c>
      <c r="C193" s="7">
        <f t="shared" si="5"/>
        <v>0</v>
      </c>
      <c r="D193" t="s">
        <v>444</v>
      </c>
      <c r="E193" t="s">
        <v>15</v>
      </c>
      <c r="F193" t="s">
        <v>47</v>
      </c>
      <c r="G193">
        <v>7</v>
      </c>
      <c r="H193">
        <v>25.3</v>
      </c>
      <c r="I193">
        <v>7.9</v>
      </c>
      <c r="J193">
        <v>0.6</v>
      </c>
      <c r="K193">
        <v>0.4</v>
      </c>
      <c r="L193">
        <v>1</v>
      </c>
      <c r="M193">
        <v>0.85699999999999998</v>
      </c>
      <c r="N193">
        <v>4.3</v>
      </c>
      <c r="O193">
        <v>2.9</v>
      </c>
      <c r="P193">
        <v>0.7</v>
      </c>
      <c r="Q193">
        <v>0.3</v>
      </c>
      <c r="R193">
        <v>2.4</v>
      </c>
      <c r="S193">
        <v>10.7</v>
      </c>
      <c r="T193" s="14">
        <f>(J193 - AVERAGE(FG_Range))*I193</f>
        <v>1.1155802238805967</v>
      </c>
      <c r="U193" s="14">
        <f>(M193 - AVERAGE(FT_RANGE))*L193</f>
        <v>9.3866920152090749E-2</v>
      </c>
      <c r="V193" s="14">
        <f>(K193 - AVERAGE(Three_Range))/STDEV(Three_Range)</f>
        <v>-1.1048188233921654</v>
      </c>
      <c r="W193" s="14">
        <f>(S193 - AVERAGE(Pts_Range))/STDEV(Pts_Range)</f>
        <v>-0.32816554094911327</v>
      </c>
      <c r="X193" s="14">
        <f>(N193 - AVERAGE(Reb_Range))/STDEV(Reb_Range)</f>
        <v>-0.20323025553080853</v>
      </c>
      <c r="Y193" s="14">
        <f>(O193 - AVERAGE(Ast_Range))/STDEV(Ast_Range)</f>
        <v>4.488846038010133E-2</v>
      </c>
      <c r="Z193" s="14">
        <f>(P193 - AVERAGE(Stl_Range))/STDEV(Stl_Range)</f>
        <v>-0.33102926050727299</v>
      </c>
      <c r="AA193" s="14">
        <f>(Q193 - AVERAGE(Blk_Range))/STDEV(Blk_Range)</f>
        <v>-0.4417931440709813</v>
      </c>
      <c r="AB193" s="14">
        <f>(R193 - AVERAGE(Tov_Range))/STDEV(Tov_Range)*-1</f>
        <v>-0.85869614554447204</v>
      </c>
      <c r="AC193" s="14">
        <f>SUM(T193:AB193)</f>
        <v>-2.0133975655820247</v>
      </c>
      <c r="AD193" s="14">
        <v>-2.0133975655820198</v>
      </c>
      <c r="AE193" s="14">
        <f>AD193-AC193</f>
        <v>4.8849813083506888E-15</v>
      </c>
      <c r="AF193"/>
      <c r="AG193"/>
      <c r="AH193"/>
      <c r="AI193"/>
      <c r="AJ193"/>
      <c r="AK193"/>
      <c r="AL193"/>
      <c r="AM193"/>
      <c r="AN193"/>
      <c r="AO193"/>
      <c r="AP193"/>
      <c r="AQ193"/>
    </row>
    <row r="194" spans="1:43" x14ac:dyDescent="0.55000000000000004">
      <c r="A194">
        <v>193</v>
      </c>
      <c r="B194" s="7">
        <f t="shared" si="4"/>
        <v>193</v>
      </c>
      <c r="C194" s="7">
        <f t="shared" si="5"/>
        <v>0</v>
      </c>
      <c r="D194" t="s">
        <v>76</v>
      </c>
      <c r="E194" t="s">
        <v>18</v>
      </c>
      <c r="F194" t="s">
        <v>54</v>
      </c>
      <c r="G194">
        <v>11</v>
      </c>
      <c r="H194">
        <v>26.7</v>
      </c>
      <c r="I194">
        <v>5.8</v>
      </c>
      <c r="J194">
        <v>0.54700000000000004</v>
      </c>
      <c r="K194">
        <v>0</v>
      </c>
      <c r="L194">
        <v>2.7</v>
      </c>
      <c r="M194">
        <v>0.5</v>
      </c>
      <c r="N194">
        <v>6.7</v>
      </c>
      <c r="O194">
        <v>2.1</v>
      </c>
      <c r="P194">
        <v>0.1</v>
      </c>
      <c r="Q194">
        <v>1.3</v>
      </c>
      <c r="R194">
        <v>1.3</v>
      </c>
      <c r="S194">
        <v>7.7</v>
      </c>
      <c r="T194" s="14">
        <f>(J194 - AVERAGE(FG_Range))*I194</f>
        <v>0.51163358208955223</v>
      </c>
      <c r="U194" s="14">
        <f>(M194 - AVERAGE(FT_RANGE))*L194</f>
        <v>-0.71045931558935493</v>
      </c>
      <c r="V194" s="14">
        <f>(K194 - AVERAGE(Three_Range))/STDEV(Three_Range)</f>
        <v>-1.5157715571452535</v>
      </c>
      <c r="W194" s="14">
        <f>(S194 - AVERAGE(Pts_Range))/STDEV(Pts_Range)</f>
        <v>-0.8081457027156862</v>
      </c>
      <c r="X194" s="14">
        <f>(N194 - AVERAGE(Reb_Range))/STDEV(Reb_Range)</f>
        <v>0.73180336648218824</v>
      </c>
      <c r="Y194" s="14">
        <f>(O194 - AVERAGE(Ast_Range))/STDEV(Ast_Range)</f>
        <v>-0.3447506451054736</v>
      </c>
      <c r="Z194" s="14">
        <f>(P194 - AVERAGE(Stl_Range))/STDEV(Stl_Range)</f>
        <v>-1.6167660984195804</v>
      </c>
      <c r="AA194" s="14">
        <f>(Q194 - AVERAGE(Blk_Range))/STDEV(Blk_Range)</f>
        <v>1.4024523794652057</v>
      </c>
      <c r="AB194" s="14">
        <f>(R194 - AVERAGE(Tov_Range))/STDEV(Tov_Range)*-1</f>
        <v>0.29352790409826945</v>
      </c>
      <c r="AC194" s="14">
        <f>SUM(T194:AB194)</f>
        <v>-2.0564760868401324</v>
      </c>
      <c r="AD194" s="14">
        <v>-2.0564760868401279</v>
      </c>
      <c r="AE194" s="14">
        <f>AD194-AC194</f>
        <v>4.4408920985006262E-15</v>
      </c>
      <c r="AF194"/>
      <c r="AG194"/>
      <c r="AH194"/>
      <c r="AI194"/>
      <c r="AJ194"/>
      <c r="AK194"/>
      <c r="AL194"/>
      <c r="AM194"/>
      <c r="AN194"/>
      <c r="AO194"/>
      <c r="AP194"/>
      <c r="AQ194"/>
    </row>
    <row r="195" spans="1:43" x14ac:dyDescent="0.55000000000000004">
      <c r="A195">
        <v>194</v>
      </c>
      <c r="B195" s="7">
        <f t="shared" ref="B195:B258" si="6">ROW()-1</f>
        <v>194</v>
      </c>
      <c r="C195" s="7">
        <f t="shared" ref="C195:C258" si="7">A195-B195</f>
        <v>0</v>
      </c>
      <c r="D195" t="s">
        <v>403</v>
      </c>
      <c r="E195" t="s">
        <v>18</v>
      </c>
      <c r="F195" t="s">
        <v>98</v>
      </c>
      <c r="G195">
        <v>10</v>
      </c>
      <c r="H195">
        <v>22.5</v>
      </c>
      <c r="I195">
        <v>6</v>
      </c>
      <c r="J195">
        <v>0.55000000000000004</v>
      </c>
      <c r="K195">
        <v>0.5</v>
      </c>
      <c r="L195">
        <v>0.9</v>
      </c>
      <c r="M195">
        <v>0.33300000000000002</v>
      </c>
      <c r="N195">
        <v>4.5</v>
      </c>
      <c r="O195">
        <v>1.4</v>
      </c>
      <c r="P195">
        <v>0.4</v>
      </c>
      <c r="Q195">
        <v>1</v>
      </c>
      <c r="R195">
        <v>1.1000000000000001</v>
      </c>
      <c r="S195">
        <v>7.4</v>
      </c>
      <c r="T195" s="14">
        <f>(J195 - AVERAGE(FG_Range))*I195</f>
        <v>0.54727611940298515</v>
      </c>
      <c r="U195" s="14">
        <f>(M195 - AVERAGE(FT_RANGE))*L195</f>
        <v>-0.3871197718631183</v>
      </c>
      <c r="V195" s="14">
        <f>(K195 - AVERAGE(Three_Range))/STDEV(Three_Range)</f>
        <v>-1.0020806399538933</v>
      </c>
      <c r="W195" s="14">
        <f>(S195 - AVERAGE(Pts_Range))/STDEV(Pts_Range)</f>
        <v>-0.85614371889234342</v>
      </c>
      <c r="X195" s="14">
        <f>(N195 - AVERAGE(Reb_Range))/STDEV(Reb_Range)</f>
        <v>-0.1253107870297254</v>
      </c>
      <c r="Y195" s="14">
        <f>(O195 - AVERAGE(Ast_Range))/STDEV(Ast_Range)</f>
        <v>-0.68568486240535176</v>
      </c>
      <c r="Z195" s="14">
        <f>(P195 - AVERAGE(Stl_Range))/STDEV(Stl_Range)</f>
        <v>-0.97389767946342665</v>
      </c>
      <c r="AA195" s="14">
        <f>(Q195 - AVERAGE(Blk_Range))/STDEV(Blk_Range)</f>
        <v>0.84917872240434955</v>
      </c>
      <c r="AB195" s="14">
        <f>(R195 - AVERAGE(Tov_Range))/STDEV(Tov_Range)*-1</f>
        <v>0.50302318585149519</v>
      </c>
      <c r="AC195" s="14">
        <f>SUM(T195:AB195)</f>
        <v>-2.1307594319490288</v>
      </c>
      <c r="AD195" s="14">
        <v>-2.1307594319490235</v>
      </c>
      <c r="AE195" s="14">
        <f>AD195-AC195</f>
        <v>5.3290705182007514E-15</v>
      </c>
      <c r="AF195"/>
      <c r="AG195"/>
      <c r="AH195"/>
      <c r="AI195"/>
      <c r="AJ195"/>
      <c r="AK195"/>
      <c r="AL195"/>
      <c r="AM195"/>
      <c r="AN195"/>
      <c r="AO195"/>
      <c r="AP195"/>
      <c r="AQ195"/>
    </row>
    <row r="196" spans="1:43" x14ac:dyDescent="0.55000000000000004">
      <c r="A196">
        <v>195</v>
      </c>
      <c r="B196" s="7">
        <f t="shared" si="6"/>
        <v>195</v>
      </c>
      <c r="C196" s="7">
        <f t="shared" si="7"/>
        <v>0</v>
      </c>
      <c r="D196" t="s">
        <v>266</v>
      </c>
      <c r="E196" t="s">
        <v>34</v>
      </c>
      <c r="F196" t="s">
        <v>40</v>
      </c>
      <c r="G196">
        <v>12</v>
      </c>
      <c r="H196">
        <v>25.6</v>
      </c>
      <c r="I196">
        <v>9.5</v>
      </c>
      <c r="J196">
        <v>0.44700000000000001</v>
      </c>
      <c r="K196">
        <v>1.8</v>
      </c>
      <c r="L196">
        <v>0.8</v>
      </c>
      <c r="M196">
        <v>0.66700000000000004</v>
      </c>
      <c r="N196">
        <v>4.4000000000000004</v>
      </c>
      <c r="O196">
        <v>1.2</v>
      </c>
      <c r="P196">
        <v>0.2</v>
      </c>
      <c r="Q196">
        <v>0.8</v>
      </c>
      <c r="R196">
        <v>1.7</v>
      </c>
      <c r="S196">
        <v>10.8</v>
      </c>
      <c r="T196" s="14">
        <f>(J196 - AVERAGE(FG_Range))*I196</f>
        <v>-0.11197947761194052</v>
      </c>
      <c r="U196" s="14">
        <f>(M196 - AVERAGE(FT_RANGE))*L196</f>
        <v>-7.6906463878327364E-2</v>
      </c>
      <c r="V196" s="14">
        <f>(K196 - AVERAGE(Three_Range))/STDEV(Three_Range)</f>
        <v>0.33351574474364315</v>
      </c>
      <c r="W196" s="14">
        <f>(S196 - AVERAGE(Pts_Range))/STDEV(Pts_Range)</f>
        <v>-0.31216620222356056</v>
      </c>
      <c r="X196" s="14">
        <f>(N196 - AVERAGE(Reb_Range))/STDEV(Reb_Range)</f>
        <v>-0.16427052128026678</v>
      </c>
      <c r="Y196" s="14">
        <f>(O196 - AVERAGE(Ast_Range))/STDEV(Ast_Range)</f>
        <v>-0.78309463877674546</v>
      </c>
      <c r="Z196" s="14">
        <f>(P196 - AVERAGE(Stl_Range))/STDEV(Stl_Range)</f>
        <v>-1.4024766254341958</v>
      </c>
      <c r="AA196" s="14">
        <f>(Q196 - AVERAGE(Blk_Range))/STDEV(Blk_Range)</f>
        <v>0.4803296176971123</v>
      </c>
      <c r="AB196" s="14">
        <f>(R196 - AVERAGE(Tov_Range))/STDEV(Tov_Range)*-1</f>
        <v>-0.12546265940818194</v>
      </c>
      <c r="AC196" s="14">
        <f>SUM(T196:AB196)</f>
        <v>-2.1625112261724633</v>
      </c>
      <c r="AD196" s="14">
        <v>-2.1625112261724664</v>
      </c>
      <c r="AE196" s="14">
        <f>AD196-AC196</f>
        <v>0</v>
      </c>
      <c r="AF196"/>
      <c r="AG196"/>
      <c r="AH196"/>
      <c r="AI196"/>
      <c r="AJ196"/>
      <c r="AK196"/>
      <c r="AL196"/>
      <c r="AM196"/>
      <c r="AN196"/>
      <c r="AO196"/>
      <c r="AP196"/>
      <c r="AQ196"/>
    </row>
    <row r="197" spans="1:43" x14ac:dyDescent="0.55000000000000004">
      <c r="A197">
        <v>196</v>
      </c>
      <c r="B197" s="7">
        <f t="shared" si="6"/>
        <v>196</v>
      </c>
      <c r="C197" s="7">
        <f t="shared" si="7"/>
        <v>0</v>
      </c>
      <c r="D197" t="s">
        <v>544</v>
      </c>
      <c r="E197" t="s">
        <v>46</v>
      </c>
      <c r="F197" t="s">
        <v>56</v>
      </c>
      <c r="G197">
        <v>8</v>
      </c>
      <c r="H197">
        <v>18.3</v>
      </c>
      <c r="I197">
        <v>7.5</v>
      </c>
      <c r="J197">
        <v>0.46700000000000003</v>
      </c>
      <c r="K197">
        <v>1.9</v>
      </c>
      <c r="L197">
        <v>1.1000000000000001</v>
      </c>
      <c r="M197">
        <v>0.88900000000000001</v>
      </c>
      <c r="N197">
        <v>1.3</v>
      </c>
      <c r="O197">
        <v>1.8</v>
      </c>
      <c r="P197">
        <v>0.5</v>
      </c>
      <c r="Q197">
        <v>0.3</v>
      </c>
      <c r="R197">
        <v>0.9</v>
      </c>
      <c r="S197">
        <v>9.9</v>
      </c>
      <c r="T197" s="14">
        <f>(J197 - AVERAGE(FG_Range))*I197</f>
        <v>6.1595149253731302E-2</v>
      </c>
      <c r="U197" s="14">
        <f>(M197 - AVERAGE(FT_RANGE))*L197</f>
        <v>0.13845361216729987</v>
      </c>
      <c r="V197" s="14">
        <f>(K197 - AVERAGE(Three_Range))/STDEV(Three_Range)</f>
        <v>0.436253928181915</v>
      </c>
      <c r="W197" s="14">
        <f>(S197 - AVERAGE(Pts_Range))/STDEV(Pts_Range)</f>
        <v>-0.45616025075353256</v>
      </c>
      <c r="X197" s="14">
        <f>(N197 - AVERAGE(Reb_Range))/STDEV(Reb_Range)</f>
        <v>-1.3720222830470543</v>
      </c>
      <c r="Y197" s="14">
        <f>(O197 - AVERAGE(Ast_Range))/STDEV(Ast_Range)</f>
        <v>-0.4908653096625642</v>
      </c>
      <c r="Z197" s="14">
        <f>(P197 - AVERAGE(Stl_Range))/STDEV(Stl_Range)</f>
        <v>-0.75960820647804206</v>
      </c>
      <c r="AA197" s="14">
        <f>(Q197 - AVERAGE(Blk_Range))/STDEV(Blk_Range)</f>
        <v>-0.4417931440709813</v>
      </c>
      <c r="AB197" s="14">
        <f>(R197 - AVERAGE(Tov_Range))/STDEV(Tov_Range)*-1</f>
        <v>0.71251846760472104</v>
      </c>
      <c r="AC197" s="14">
        <f>SUM(T197:AB197)</f>
        <v>-2.1716280368045076</v>
      </c>
      <c r="AD197" s="14">
        <v>-2.1716280368045084</v>
      </c>
      <c r="AE197" s="14">
        <f>AD197-AC197</f>
        <v>0</v>
      </c>
      <c r="AF197"/>
      <c r="AG197"/>
      <c r="AH197"/>
      <c r="AI197"/>
      <c r="AJ197"/>
      <c r="AK197"/>
      <c r="AL197"/>
      <c r="AM197"/>
      <c r="AN197"/>
      <c r="AO197"/>
      <c r="AP197"/>
      <c r="AQ197"/>
    </row>
    <row r="198" spans="1:43" x14ac:dyDescent="0.55000000000000004">
      <c r="A198">
        <v>197</v>
      </c>
      <c r="B198" s="7">
        <f t="shared" si="6"/>
        <v>197</v>
      </c>
      <c r="C198" s="7">
        <f t="shared" si="7"/>
        <v>0</v>
      </c>
      <c r="D198" t="s">
        <v>447</v>
      </c>
      <c r="E198" t="s">
        <v>18</v>
      </c>
      <c r="F198" t="s">
        <v>72</v>
      </c>
      <c r="G198">
        <v>11</v>
      </c>
      <c r="H198">
        <v>17.600000000000001</v>
      </c>
      <c r="I198">
        <v>4</v>
      </c>
      <c r="J198">
        <v>0.65900000000000003</v>
      </c>
      <c r="K198">
        <v>0</v>
      </c>
      <c r="L198">
        <v>2.6</v>
      </c>
      <c r="M198">
        <v>0.79300000000000004</v>
      </c>
      <c r="N198">
        <v>4.0999999999999996</v>
      </c>
      <c r="O198">
        <v>0.9</v>
      </c>
      <c r="P198">
        <v>0.5</v>
      </c>
      <c r="Q198">
        <v>0.9</v>
      </c>
      <c r="R198">
        <v>1</v>
      </c>
      <c r="S198">
        <v>7.4</v>
      </c>
      <c r="T198" s="14">
        <f>(J198 - AVERAGE(FG_Range))*I198</f>
        <v>0.80085074626865671</v>
      </c>
      <c r="U198" s="14">
        <f>(M198 - AVERAGE(FT_RANGE))*L198</f>
        <v>7.7653992395436092E-2</v>
      </c>
      <c r="V198" s="14">
        <f>(K198 - AVERAGE(Three_Range))/STDEV(Three_Range)</f>
        <v>-1.5157715571452535</v>
      </c>
      <c r="W198" s="14">
        <f>(S198 - AVERAGE(Pts_Range))/STDEV(Pts_Range)</f>
        <v>-0.85614371889234342</v>
      </c>
      <c r="X198" s="14">
        <f>(N198 - AVERAGE(Reb_Range))/STDEV(Reb_Range)</f>
        <v>-0.28114972403189165</v>
      </c>
      <c r="Y198" s="14">
        <f>(O198 - AVERAGE(Ast_Range))/STDEV(Ast_Range)</f>
        <v>-0.92920930333383611</v>
      </c>
      <c r="Z198" s="14">
        <f>(P198 - AVERAGE(Stl_Range))/STDEV(Stl_Range)</f>
        <v>-0.75960820647804206</v>
      </c>
      <c r="AA198" s="14">
        <f>(Q198 - AVERAGE(Blk_Range))/STDEV(Blk_Range)</f>
        <v>0.6647541700507309</v>
      </c>
      <c r="AB198" s="14">
        <f>(R198 - AVERAGE(Tov_Range))/STDEV(Tov_Range)*-1</f>
        <v>0.60777082672810812</v>
      </c>
      <c r="AC198" s="14">
        <f>SUM(T198:AB198)</f>
        <v>-2.1908527744384343</v>
      </c>
      <c r="AD198" s="14">
        <v>-2.1908527744384272</v>
      </c>
      <c r="AE198" s="14">
        <f>AD198-AC198</f>
        <v>7.1054273576010019E-15</v>
      </c>
      <c r="AF198"/>
      <c r="AG198"/>
      <c r="AH198"/>
      <c r="AI198"/>
      <c r="AJ198"/>
      <c r="AK198"/>
      <c r="AL198"/>
      <c r="AM198"/>
      <c r="AN198"/>
      <c r="AO198"/>
      <c r="AP198"/>
      <c r="AQ198"/>
    </row>
    <row r="199" spans="1:43" x14ac:dyDescent="0.55000000000000004">
      <c r="A199">
        <v>198</v>
      </c>
      <c r="B199" s="7">
        <f t="shared" si="6"/>
        <v>198</v>
      </c>
      <c r="C199" s="7">
        <f t="shared" si="7"/>
        <v>0</v>
      </c>
      <c r="D199" t="s">
        <v>298</v>
      </c>
      <c r="E199" t="s">
        <v>46</v>
      </c>
      <c r="F199" t="s">
        <v>75</v>
      </c>
      <c r="G199">
        <v>8</v>
      </c>
      <c r="H199">
        <v>17</v>
      </c>
      <c r="I199">
        <v>3.3</v>
      </c>
      <c r="J199">
        <v>0.53800000000000003</v>
      </c>
      <c r="K199">
        <v>0</v>
      </c>
      <c r="L199">
        <v>0.3</v>
      </c>
      <c r="M199">
        <v>0.5</v>
      </c>
      <c r="N199">
        <v>2.9</v>
      </c>
      <c r="O199">
        <v>4.4000000000000004</v>
      </c>
      <c r="P199">
        <v>1.5</v>
      </c>
      <c r="Q199">
        <v>0</v>
      </c>
      <c r="R199">
        <v>1.4</v>
      </c>
      <c r="S199">
        <v>3.6</v>
      </c>
      <c r="T199" s="14">
        <f>(J199 - AVERAGE(FG_Range))*I199</f>
        <v>0.26140186567164181</v>
      </c>
      <c r="U199" s="14">
        <f>(M199 - AVERAGE(FT_RANGE))*L199</f>
        <v>-7.893992395437277E-2</v>
      </c>
      <c r="V199" s="14">
        <f>(K199 - AVERAGE(Three_Range))/STDEV(Three_Range)</f>
        <v>-1.5157715571452535</v>
      </c>
      <c r="W199" s="14">
        <f>(S199 - AVERAGE(Pts_Range))/STDEV(Pts_Range)</f>
        <v>-1.4641185904633363</v>
      </c>
      <c r="X199" s="14">
        <f>(N199 - AVERAGE(Reb_Range))/STDEV(Reb_Range)</f>
        <v>-0.74866653503838987</v>
      </c>
      <c r="Y199" s="14">
        <f>(O199 - AVERAGE(Ast_Range))/STDEV(Ast_Range)</f>
        <v>0.7754617831655547</v>
      </c>
      <c r="Z199" s="14">
        <f>(P199 - AVERAGE(Stl_Range))/STDEV(Stl_Range)</f>
        <v>1.3832865233758038</v>
      </c>
      <c r="AA199" s="14">
        <f>(Q199 - AVERAGE(Blk_Range))/STDEV(Blk_Range)</f>
        <v>-0.99506680113183732</v>
      </c>
      <c r="AB199" s="14">
        <f>(R199 - AVERAGE(Tov_Range))/STDEV(Tov_Range)*-1</f>
        <v>0.18878026322165675</v>
      </c>
      <c r="AC199" s="14">
        <f>SUM(T199:AB199)</f>
        <v>-2.1936329722985328</v>
      </c>
      <c r="AD199" s="14">
        <v>-2.1936329722985195</v>
      </c>
      <c r="AE199" s="14">
        <f>AD199-AC199</f>
        <v>1.3322676295501878E-14</v>
      </c>
      <c r="AF199"/>
      <c r="AG199"/>
      <c r="AH199"/>
      <c r="AI199"/>
      <c r="AJ199"/>
      <c r="AK199"/>
      <c r="AL199"/>
      <c r="AM199"/>
      <c r="AN199"/>
      <c r="AO199"/>
      <c r="AP199"/>
      <c r="AQ199"/>
    </row>
    <row r="200" spans="1:43" x14ac:dyDescent="0.55000000000000004">
      <c r="A200">
        <v>199</v>
      </c>
      <c r="B200" s="7">
        <f t="shared" si="6"/>
        <v>199</v>
      </c>
      <c r="C200" s="7">
        <f t="shared" si="7"/>
        <v>0</v>
      </c>
      <c r="D200" t="s">
        <v>228</v>
      </c>
      <c r="E200" t="s">
        <v>34</v>
      </c>
      <c r="F200" t="s">
        <v>79</v>
      </c>
      <c r="G200">
        <v>9</v>
      </c>
      <c r="H200">
        <v>25.9</v>
      </c>
      <c r="I200">
        <v>7.8</v>
      </c>
      <c r="J200">
        <v>0.47099999999999997</v>
      </c>
      <c r="K200">
        <v>1.8</v>
      </c>
      <c r="L200">
        <v>1</v>
      </c>
      <c r="M200">
        <v>0.77800000000000002</v>
      </c>
      <c r="N200">
        <v>4.0999999999999996</v>
      </c>
      <c r="O200">
        <v>3.2</v>
      </c>
      <c r="P200">
        <v>0.3</v>
      </c>
      <c r="Q200">
        <v>0.1</v>
      </c>
      <c r="R200">
        <v>1.7</v>
      </c>
      <c r="S200">
        <v>9.9</v>
      </c>
      <c r="T200" s="14">
        <f>(J200 - AVERAGE(FG_Range))*I200</f>
        <v>9.5258955223880143E-2</v>
      </c>
      <c r="U200" s="14">
        <f>(M200 - AVERAGE(FT_RANGE))*L200</f>
        <v>1.486692015209079E-2</v>
      </c>
      <c r="V200" s="14">
        <f>(K200 - AVERAGE(Three_Range))/STDEV(Three_Range)</f>
        <v>0.33351574474364315</v>
      </c>
      <c r="W200" s="14">
        <f>(S200 - AVERAGE(Pts_Range))/STDEV(Pts_Range)</f>
        <v>-0.45616025075353256</v>
      </c>
      <c r="X200" s="14">
        <f>(N200 - AVERAGE(Reb_Range))/STDEV(Reb_Range)</f>
        <v>-0.28114972403189165</v>
      </c>
      <c r="Y200" s="14">
        <f>(O200 - AVERAGE(Ast_Range))/STDEV(Ast_Range)</f>
        <v>0.19100312493719207</v>
      </c>
      <c r="Z200" s="14">
        <f>(P200 - AVERAGE(Stl_Range))/STDEV(Stl_Range)</f>
        <v>-1.1881871524488112</v>
      </c>
      <c r="AA200" s="14">
        <f>(Q200 - AVERAGE(Blk_Range))/STDEV(Blk_Range)</f>
        <v>-0.81064224877821867</v>
      </c>
      <c r="AB200" s="14">
        <f>(R200 - AVERAGE(Tov_Range))/STDEV(Tov_Range)*-1</f>
        <v>-0.12546265940818194</v>
      </c>
      <c r="AC200" s="14">
        <f>SUM(T200:AB200)</f>
        <v>-2.2269572903638299</v>
      </c>
      <c r="AD200" s="14">
        <v>-2.2269572903638326</v>
      </c>
      <c r="AE200" s="14">
        <f>AD200-AC200</f>
        <v>0</v>
      </c>
      <c r="AF200"/>
      <c r="AG200"/>
      <c r="AH200"/>
      <c r="AI200"/>
      <c r="AJ200"/>
      <c r="AK200"/>
      <c r="AL200"/>
      <c r="AM200"/>
      <c r="AN200"/>
      <c r="AO200"/>
      <c r="AP200"/>
      <c r="AQ200"/>
    </row>
    <row r="201" spans="1:43" x14ac:dyDescent="0.55000000000000004">
      <c r="A201">
        <v>200</v>
      </c>
      <c r="B201" s="7">
        <f t="shared" si="6"/>
        <v>200</v>
      </c>
      <c r="C201" s="7">
        <f t="shared" si="7"/>
        <v>0</v>
      </c>
      <c r="D201" t="s">
        <v>598</v>
      </c>
      <c r="E201" t="s">
        <v>25</v>
      </c>
      <c r="F201" t="s">
        <v>70</v>
      </c>
      <c r="G201">
        <v>9</v>
      </c>
      <c r="H201">
        <v>23.7</v>
      </c>
      <c r="I201">
        <v>8.6999999999999993</v>
      </c>
      <c r="J201">
        <v>0.38500000000000001</v>
      </c>
      <c r="K201">
        <v>2.2999999999999998</v>
      </c>
      <c r="L201">
        <v>1</v>
      </c>
      <c r="M201">
        <v>0.88900000000000001</v>
      </c>
      <c r="N201">
        <v>3.8</v>
      </c>
      <c r="O201">
        <v>2.1</v>
      </c>
      <c r="P201">
        <v>0.4</v>
      </c>
      <c r="Q201">
        <v>0.1</v>
      </c>
      <c r="R201">
        <v>1.2</v>
      </c>
      <c r="S201">
        <v>9.9</v>
      </c>
      <c r="T201" s="14">
        <f>(J201 - AVERAGE(FG_Range))*I201</f>
        <v>-0.64194962686567181</v>
      </c>
      <c r="U201" s="14">
        <f>(M201 - AVERAGE(FT_RANGE))*L201</f>
        <v>0.12586692015209078</v>
      </c>
      <c r="V201" s="14">
        <f>(K201 - AVERAGE(Three_Range))/STDEV(Three_Range)</f>
        <v>0.84720666193500305</v>
      </c>
      <c r="W201" s="14">
        <f>(S201 - AVERAGE(Pts_Range))/STDEV(Pts_Range)</f>
        <v>-0.45616025075353256</v>
      </c>
      <c r="X201" s="14">
        <f>(N201 - AVERAGE(Reb_Range))/STDEV(Reb_Range)</f>
        <v>-0.39802892678351615</v>
      </c>
      <c r="Y201" s="14">
        <f>(O201 - AVERAGE(Ast_Range))/STDEV(Ast_Range)</f>
        <v>-0.3447506451054736</v>
      </c>
      <c r="Z201" s="14">
        <f>(P201 - AVERAGE(Stl_Range))/STDEV(Stl_Range)</f>
        <v>-0.97389767946342665</v>
      </c>
      <c r="AA201" s="14">
        <f>(Q201 - AVERAGE(Blk_Range))/STDEV(Blk_Range)</f>
        <v>-0.81064224877821867</v>
      </c>
      <c r="AB201" s="14">
        <f>(R201 - AVERAGE(Tov_Range))/STDEV(Tov_Range)*-1</f>
        <v>0.39827554497488243</v>
      </c>
      <c r="AC201" s="14">
        <f>SUM(T201:AB201)</f>
        <v>-2.254080250687863</v>
      </c>
      <c r="AD201" s="14">
        <v>-2.2540802506878657</v>
      </c>
      <c r="AE201" s="14">
        <f>AD201-AC201</f>
        <v>0</v>
      </c>
      <c r="AF201"/>
      <c r="AG201"/>
      <c r="AH201"/>
      <c r="AI201"/>
      <c r="AJ201"/>
      <c r="AK201"/>
      <c r="AL201"/>
      <c r="AM201"/>
      <c r="AN201"/>
      <c r="AO201"/>
      <c r="AP201"/>
      <c r="AQ201"/>
    </row>
    <row r="202" spans="1:43" x14ac:dyDescent="0.55000000000000004">
      <c r="A202">
        <v>201</v>
      </c>
      <c r="B202" s="7">
        <f t="shared" si="6"/>
        <v>201</v>
      </c>
      <c r="C202" s="7">
        <f t="shared" si="7"/>
        <v>0</v>
      </c>
      <c r="D202" t="s">
        <v>351</v>
      </c>
      <c r="E202" t="s">
        <v>46</v>
      </c>
      <c r="F202" t="s">
        <v>31</v>
      </c>
      <c r="G202">
        <v>11</v>
      </c>
      <c r="H202">
        <v>29.7</v>
      </c>
      <c r="I202">
        <v>13.4</v>
      </c>
      <c r="J202">
        <v>0.45600000000000002</v>
      </c>
      <c r="K202">
        <v>0.7</v>
      </c>
      <c r="L202">
        <v>2.5</v>
      </c>
      <c r="M202">
        <v>0.64300000000000002</v>
      </c>
      <c r="N202">
        <v>4.3</v>
      </c>
      <c r="O202">
        <v>4.5</v>
      </c>
      <c r="P202">
        <v>0.6</v>
      </c>
      <c r="Q202">
        <v>0.2</v>
      </c>
      <c r="R202">
        <v>2.4</v>
      </c>
      <c r="S202">
        <v>14.5</v>
      </c>
      <c r="T202" s="14">
        <f>(J202 - AVERAGE(FG_Range))*I202</f>
        <v>-3.7350000000000209E-2</v>
      </c>
      <c r="U202" s="14">
        <f>(M202 - AVERAGE(FT_RANGE))*L202</f>
        <v>-0.30033269961977305</v>
      </c>
      <c r="V202" s="14">
        <f>(K202 - AVERAGE(Three_Range))/STDEV(Three_Range)</f>
        <v>-0.79660427307734927</v>
      </c>
      <c r="W202" s="14">
        <f>(S202 - AVERAGE(Pts_Range))/STDEV(Pts_Range)</f>
        <v>0.27980933062187946</v>
      </c>
      <c r="X202" s="14">
        <f>(N202 - AVERAGE(Reb_Range))/STDEV(Reb_Range)</f>
        <v>-0.20323025553080853</v>
      </c>
      <c r="Y202" s="14">
        <f>(O202 - AVERAGE(Ast_Range))/STDEV(Ast_Range)</f>
        <v>0.82416667135125132</v>
      </c>
      <c r="Z202" s="14">
        <f>(P202 - AVERAGE(Stl_Range))/STDEV(Stl_Range)</f>
        <v>-0.54531873349265758</v>
      </c>
      <c r="AA202" s="14">
        <f>(Q202 - AVERAGE(Blk_Range))/STDEV(Blk_Range)</f>
        <v>-0.6262176964245999</v>
      </c>
      <c r="AB202" s="14">
        <f>(R202 - AVERAGE(Tov_Range))/STDEV(Tov_Range)*-1</f>
        <v>-0.85869614554447204</v>
      </c>
      <c r="AC202" s="14">
        <f>SUM(T202:AB202)</f>
        <v>-2.2637738017165301</v>
      </c>
      <c r="AD202" s="14">
        <v>-2.2637738017165283</v>
      </c>
      <c r="AE202" s="14">
        <f>AD202-AC202</f>
        <v>0</v>
      </c>
      <c r="AF202"/>
      <c r="AG202"/>
      <c r="AH202"/>
      <c r="AI202"/>
      <c r="AJ202"/>
      <c r="AK202"/>
      <c r="AL202"/>
      <c r="AM202"/>
      <c r="AN202"/>
      <c r="AO202"/>
      <c r="AP202"/>
      <c r="AQ202"/>
    </row>
    <row r="203" spans="1:43" x14ac:dyDescent="0.55000000000000004">
      <c r="A203">
        <v>202</v>
      </c>
      <c r="B203" s="7">
        <f t="shared" si="6"/>
        <v>202</v>
      </c>
      <c r="C203" s="7">
        <f t="shared" si="7"/>
        <v>0</v>
      </c>
      <c r="D203" t="s">
        <v>684</v>
      </c>
      <c r="E203" t="s">
        <v>25</v>
      </c>
      <c r="F203" t="s">
        <v>28</v>
      </c>
      <c r="G203">
        <v>10</v>
      </c>
      <c r="H203">
        <v>22.8</v>
      </c>
      <c r="I203">
        <v>6.9</v>
      </c>
      <c r="J203">
        <v>0.46400000000000002</v>
      </c>
      <c r="K203">
        <v>1.9</v>
      </c>
      <c r="L203">
        <v>0.7</v>
      </c>
      <c r="M203">
        <v>0.85699999999999998</v>
      </c>
      <c r="N203">
        <v>3</v>
      </c>
      <c r="O203">
        <v>1.1000000000000001</v>
      </c>
      <c r="P203">
        <v>0.8</v>
      </c>
      <c r="Q203">
        <v>0</v>
      </c>
      <c r="R203">
        <v>1.2</v>
      </c>
      <c r="S203">
        <v>8.9</v>
      </c>
      <c r="T203" s="14">
        <f>(J203 - AVERAGE(FG_Range))*I203</f>
        <v>3.5967537313432781E-2</v>
      </c>
      <c r="U203" s="14">
        <f>(M203 - AVERAGE(FT_RANGE))*L203</f>
        <v>6.5706844106463519E-2</v>
      </c>
      <c r="V203" s="14">
        <f>(K203 - AVERAGE(Three_Range))/STDEV(Three_Range)</f>
        <v>0.436253928181915</v>
      </c>
      <c r="W203" s="14">
        <f>(S203 - AVERAGE(Pts_Range))/STDEV(Pts_Range)</f>
        <v>-0.61615363800905687</v>
      </c>
      <c r="X203" s="14">
        <f>(N203 - AVERAGE(Reb_Range))/STDEV(Reb_Range)</f>
        <v>-0.70970680078784831</v>
      </c>
      <c r="Y203" s="14">
        <f>(O203 - AVERAGE(Ast_Range))/STDEV(Ast_Range)</f>
        <v>-0.8317995269624423</v>
      </c>
      <c r="Z203" s="14">
        <f>(P203 - AVERAGE(Stl_Range))/STDEV(Stl_Range)</f>
        <v>-0.11673978752188821</v>
      </c>
      <c r="AA203" s="14">
        <f>(Q203 - AVERAGE(Blk_Range))/STDEV(Blk_Range)</f>
        <v>-0.99506680113183732</v>
      </c>
      <c r="AB203" s="14">
        <f>(R203 - AVERAGE(Tov_Range))/STDEV(Tov_Range)*-1</f>
        <v>0.39827554497488243</v>
      </c>
      <c r="AC203" s="14">
        <f>SUM(T203:AB203)</f>
        <v>-2.333262699836379</v>
      </c>
      <c r="AD203" s="14">
        <v>-2.3332626998363768</v>
      </c>
      <c r="AE203" s="14">
        <f>AD203-AC203</f>
        <v>0</v>
      </c>
      <c r="AF203"/>
      <c r="AG203"/>
      <c r="AH203"/>
      <c r="AI203"/>
      <c r="AJ203"/>
      <c r="AK203"/>
      <c r="AL203"/>
      <c r="AM203"/>
      <c r="AN203"/>
      <c r="AO203"/>
      <c r="AP203"/>
      <c r="AQ203"/>
    </row>
    <row r="204" spans="1:43" x14ac:dyDescent="0.55000000000000004">
      <c r="A204">
        <v>203</v>
      </c>
      <c r="B204" s="7">
        <f t="shared" si="6"/>
        <v>203</v>
      </c>
      <c r="C204" s="7">
        <f t="shared" si="7"/>
        <v>0</v>
      </c>
      <c r="D204" t="s">
        <v>363</v>
      </c>
      <c r="E204" t="s">
        <v>25</v>
      </c>
      <c r="F204" t="s">
        <v>44</v>
      </c>
      <c r="G204">
        <v>10</v>
      </c>
      <c r="H204">
        <v>22.9</v>
      </c>
      <c r="I204">
        <v>8.4</v>
      </c>
      <c r="J204">
        <v>0.36899999999999999</v>
      </c>
      <c r="K204">
        <v>1.8</v>
      </c>
      <c r="L204">
        <v>2.9</v>
      </c>
      <c r="M204">
        <v>0.86199999999999999</v>
      </c>
      <c r="N204">
        <v>1.8</v>
      </c>
      <c r="O204">
        <v>0.6</v>
      </c>
      <c r="P204">
        <v>1.1000000000000001</v>
      </c>
      <c r="Q204">
        <v>0.2</v>
      </c>
      <c r="R204">
        <v>1.1000000000000001</v>
      </c>
      <c r="S204">
        <v>10.5</v>
      </c>
      <c r="T204" s="14">
        <f>(J204 - AVERAGE(FG_Range))*I204</f>
        <v>-0.75421343283582121</v>
      </c>
      <c r="U204" s="14">
        <f>(M204 - AVERAGE(FT_RANGE))*L204</f>
        <v>0.28671406844106317</v>
      </c>
      <c r="V204" s="14">
        <f>(K204 - AVERAGE(Three_Range))/STDEV(Three_Range)</f>
        <v>0.33351574474364315</v>
      </c>
      <c r="W204" s="14">
        <f>(S204 - AVERAGE(Pts_Range))/STDEV(Pts_Range)</f>
        <v>-0.36016421840021801</v>
      </c>
      <c r="X204" s="14">
        <f>(N204 - AVERAGE(Reb_Range))/STDEV(Reb_Range)</f>
        <v>-1.1772236117943466</v>
      </c>
      <c r="Y204" s="14">
        <f>(O204 - AVERAGE(Ast_Range))/STDEV(Ast_Range)</f>
        <v>-1.0753239678909268</v>
      </c>
      <c r="Z204" s="14">
        <f>(P204 - AVERAGE(Stl_Range))/STDEV(Stl_Range)</f>
        <v>0.52612863143426558</v>
      </c>
      <c r="AA204" s="14">
        <f>(Q204 - AVERAGE(Blk_Range))/STDEV(Blk_Range)</f>
        <v>-0.6262176964245999</v>
      </c>
      <c r="AB204" s="14">
        <f>(R204 - AVERAGE(Tov_Range))/STDEV(Tov_Range)*-1</f>
        <v>0.50302318585149519</v>
      </c>
      <c r="AC204" s="14">
        <f>SUM(T204:AB204)</f>
        <v>-2.3437612968754449</v>
      </c>
      <c r="AD204" s="14">
        <v>-2.3437612968754422</v>
      </c>
      <c r="AE204" s="14">
        <f>AD204-AC204</f>
        <v>0</v>
      </c>
      <c r="AF204"/>
      <c r="AG204"/>
      <c r="AH204"/>
      <c r="AI204"/>
      <c r="AJ204"/>
      <c r="AK204"/>
      <c r="AL204"/>
      <c r="AM204"/>
      <c r="AN204"/>
      <c r="AO204"/>
      <c r="AP204"/>
      <c r="AQ204"/>
    </row>
    <row r="205" spans="1:43" x14ac:dyDescent="0.55000000000000004">
      <c r="A205">
        <v>204</v>
      </c>
      <c r="B205" s="7">
        <f t="shared" si="6"/>
        <v>204</v>
      </c>
      <c r="C205" s="7">
        <f t="shared" si="7"/>
        <v>0</v>
      </c>
      <c r="D205" t="s">
        <v>522</v>
      </c>
      <c r="E205" t="s">
        <v>15</v>
      </c>
      <c r="F205" t="s">
        <v>30</v>
      </c>
      <c r="G205">
        <v>12</v>
      </c>
      <c r="H205">
        <v>18.2</v>
      </c>
      <c r="I205">
        <v>6.2</v>
      </c>
      <c r="J205">
        <v>0.40500000000000003</v>
      </c>
      <c r="K205">
        <v>1.1000000000000001</v>
      </c>
      <c r="L205">
        <v>2.2999999999999998</v>
      </c>
      <c r="M205">
        <v>0.88900000000000001</v>
      </c>
      <c r="N205">
        <v>2.8</v>
      </c>
      <c r="O205">
        <v>0.6</v>
      </c>
      <c r="P205">
        <v>0.7</v>
      </c>
      <c r="Q205">
        <v>0.7</v>
      </c>
      <c r="R205">
        <v>0.9</v>
      </c>
      <c r="S205">
        <v>8.1</v>
      </c>
      <c r="T205" s="14">
        <f>(J205 - AVERAGE(FG_Range))*I205</f>
        <v>-0.33348134328358214</v>
      </c>
      <c r="U205" s="14">
        <f>(M205 - AVERAGE(FT_RANGE))*L205</f>
        <v>0.28949391634980876</v>
      </c>
      <c r="V205" s="14">
        <f>(K205 - AVERAGE(Three_Range))/STDEV(Three_Range)</f>
        <v>-0.38565153932426105</v>
      </c>
      <c r="W205" s="14">
        <f>(S205 - AVERAGE(Pts_Range))/STDEV(Pts_Range)</f>
        <v>-0.7441483478134765</v>
      </c>
      <c r="X205" s="14">
        <f>(N205 - AVERAGE(Reb_Range))/STDEV(Reb_Range)</f>
        <v>-0.78762626928893142</v>
      </c>
      <c r="Y205" s="14">
        <f>(O205 - AVERAGE(Ast_Range))/STDEV(Ast_Range)</f>
        <v>-1.0753239678909268</v>
      </c>
      <c r="Z205" s="14">
        <f>(P205 - AVERAGE(Stl_Range))/STDEV(Stl_Range)</f>
        <v>-0.33102926050727299</v>
      </c>
      <c r="AA205" s="14">
        <f>(Q205 - AVERAGE(Blk_Range))/STDEV(Blk_Range)</f>
        <v>0.29590506534349342</v>
      </c>
      <c r="AB205" s="14">
        <f>(R205 - AVERAGE(Tov_Range))/STDEV(Tov_Range)*-1</f>
        <v>0.71251846760472104</v>
      </c>
      <c r="AC205" s="14">
        <f>SUM(T205:AB205)</f>
        <v>-2.359343278810428</v>
      </c>
      <c r="AD205" s="14">
        <v>-2.3593432788104232</v>
      </c>
      <c r="AE205" s="14">
        <f>AD205-AC205</f>
        <v>4.8849813083506888E-15</v>
      </c>
      <c r="AF205"/>
      <c r="AG205"/>
      <c r="AH205"/>
      <c r="AI205"/>
      <c r="AJ205"/>
      <c r="AK205"/>
      <c r="AL205"/>
      <c r="AM205"/>
      <c r="AN205"/>
      <c r="AO205"/>
      <c r="AP205"/>
      <c r="AQ205"/>
    </row>
    <row r="206" spans="1:43" x14ac:dyDescent="0.55000000000000004">
      <c r="A206">
        <v>205</v>
      </c>
      <c r="B206" s="7">
        <f t="shared" si="6"/>
        <v>205</v>
      </c>
      <c r="C206" s="7">
        <f t="shared" si="7"/>
        <v>0</v>
      </c>
      <c r="D206" t="s">
        <v>362</v>
      </c>
      <c r="E206" t="s">
        <v>18</v>
      </c>
      <c r="F206" t="s">
        <v>56</v>
      </c>
      <c r="G206">
        <v>9</v>
      </c>
      <c r="H206">
        <v>19.8</v>
      </c>
      <c r="I206">
        <v>3.3</v>
      </c>
      <c r="J206">
        <v>0.46700000000000003</v>
      </c>
      <c r="K206">
        <v>0.1</v>
      </c>
      <c r="L206">
        <v>2.4</v>
      </c>
      <c r="M206">
        <v>0.72699999999999998</v>
      </c>
      <c r="N206">
        <v>3.6</v>
      </c>
      <c r="O206">
        <v>1.2</v>
      </c>
      <c r="P206">
        <v>1.2</v>
      </c>
      <c r="Q206">
        <v>0.6</v>
      </c>
      <c r="R206">
        <v>0.9</v>
      </c>
      <c r="S206">
        <v>5</v>
      </c>
      <c r="T206" s="14">
        <f>(J206 - AVERAGE(FG_Range))*I206</f>
        <v>2.7101865671641773E-2</v>
      </c>
      <c r="U206" s="14">
        <f>(M206 - AVERAGE(FT_RANGE))*L206</f>
        <v>-8.6719391634982212E-2</v>
      </c>
      <c r="V206" s="14">
        <f>(K206 - AVERAGE(Three_Range))/STDEV(Three_Range)</f>
        <v>-1.4130333737069813</v>
      </c>
      <c r="W206" s="14">
        <f>(S206 - AVERAGE(Pts_Range))/STDEV(Pts_Range)</f>
        <v>-1.240127848305602</v>
      </c>
      <c r="X206" s="14">
        <f>(N206 - AVERAGE(Reb_Range))/STDEV(Reb_Range)</f>
        <v>-0.47594839528459909</v>
      </c>
      <c r="Y206" s="14">
        <f>(O206 - AVERAGE(Ast_Range))/STDEV(Ast_Range)</f>
        <v>-0.78309463877674546</v>
      </c>
      <c r="Z206" s="14">
        <f>(P206 - AVERAGE(Stl_Range))/STDEV(Stl_Range)</f>
        <v>0.74041810441964995</v>
      </c>
      <c r="AA206" s="14">
        <f>(Q206 - AVERAGE(Blk_Range))/STDEV(Blk_Range)</f>
        <v>0.11148051298987478</v>
      </c>
      <c r="AB206" s="14">
        <f>(R206 - AVERAGE(Tov_Range))/STDEV(Tov_Range)*-1</f>
        <v>0.71251846760472104</v>
      </c>
      <c r="AC206" s="14">
        <f>SUM(T206:AB206)</f>
        <v>-2.407404697023023</v>
      </c>
      <c r="AD206" s="14">
        <v>-2.4074046970230092</v>
      </c>
      <c r="AE206" s="14">
        <f>AD206-AC206</f>
        <v>1.3766765505351941E-14</v>
      </c>
      <c r="AF206"/>
      <c r="AG206"/>
      <c r="AH206"/>
      <c r="AI206"/>
      <c r="AJ206"/>
      <c r="AK206"/>
      <c r="AL206"/>
      <c r="AM206"/>
      <c r="AN206"/>
      <c r="AO206"/>
      <c r="AP206"/>
      <c r="AQ206"/>
    </row>
    <row r="207" spans="1:43" x14ac:dyDescent="0.55000000000000004">
      <c r="A207">
        <v>206</v>
      </c>
      <c r="B207" s="7">
        <f t="shared" si="6"/>
        <v>206</v>
      </c>
      <c r="C207" s="7">
        <f t="shared" si="7"/>
        <v>0</v>
      </c>
      <c r="D207" t="s">
        <v>726</v>
      </c>
      <c r="E207" t="s">
        <v>34</v>
      </c>
      <c r="F207" t="s">
        <v>36</v>
      </c>
      <c r="G207">
        <v>9</v>
      </c>
      <c r="H207">
        <v>23.7</v>
      </c>
      <c r="I207">
        <v>5.7</v>
      </c>
      <c r="J207">
        <v>0.54900000000000004</v>
      </c>
      <c r="K207">
        <v>0.4</v>
      </c>
      <c r="L207">
        <v>1.8</v>
      </c>
      <c r="M207">
        <v>0.68799999999999994</v>
      </c>
      <c r="N207">
        <v>4.0999999999999996</v>
      </c>
      <c r="O207">
        <v>1.2</v>
      </c>
      <c r="P207">
        <v>0.9</v>
      </c>
      <c r="Q207">
        <v>0.3</v>
      </c>
      <c r="R207">
        <v>1.1000000000000001</v>
      </c>
      <c r="S207">
        <v>7.9</v>
      </c>
      <c r="T207" s="14">
        <f>(J207 - AVERAGE(FG_Range))*I207</f>
        <v>0.51421231343283591</v>
      </c>
      <c r="U207" s="14">
        <f>(M207 - AVERAGE(FT_RANGE))*L207</f>
        <v>-0.13523954372623673</v>
      </c>
      <c r="V207" s="14">
        <f>(K207 - AVERAGE(Three_Range))/STDEV(Three_Range)</f>
        <v>-1.1048188233921654</v>
      </c>
      <c r="W207" s="14">
        <f>(S207 - AVERAGE(Pts_Range))/STDEV(Pts_Range)</f>
        <v>-0.77614702526458124</v>
      </c>
      <c r="X207" s="14">
        <f>(N207 - AVERAGE(Reb_Range))/STDEV(Reb_Range)</f>
        <v>-0.28114972403189165</v>
      </c>
      <c r="Y207" s="14">
        <f>(O207 - AVERAGE(Ast_Range))/STDEV(Ast_Range)</f>
        <v>-0.78309463877674546</v>
      </c>
      <c r="Z207" s="14">
        <f>(P207 - AVERAGE(Stl_Range))/STDEV(Stl_Range)</f>
        <v>9.7549685463496322E-2</v>
      </c>
      <c r="AA207" s="14">
        <f>(Q207 - AVERAGE(Blk_Range))/STDEV(Blk_Range)</f>
        <v>-0.4417931440709813</v>
      </c>
      <c r="AB207" s="14">
        <f>(R207 - AVERAGE(Tov_Range))/STDEV(Tov_Range)*-1</f>
        <v>0.50302318585149519</v>
      </c>
      <c r="AC207" s="14">
        <f>SUM(T207:AB207)</f>
        <v>-2.407457714514774</v>
      </c>
      <c r="AD207" s="14">
        <v>-2.4074577145147646</v>
      </c>
      <c r="AE207" s="14">
        <f>AD207-AC207</f>
        <v>9.3258734068513149E-15</v>
      </c>
      <c r="AF207"/>
      <c r="AG207"/>
      <c r="AH207"/>
      <c r="AI207"/>
      <c r="AJ207"/>
      <c r="AK207"/>
      <c r="AL207"/>
      <c r="AM207"/>
      <c r="AN207"/>
      <c r="AO207"/>
      <c r="AP207"/>
      <c r="AQ207"/>
    </row>
    <row r="208" spans="1:43" x14ac:dyDescent="0.55000000000000004">
      <c r="A208">
        <v>207</v>
      </c>
      <c r="B208" s="7">
        <f t="shared" si="6"/>
        <v>207</v>
      </c>
      <c r="C208" s="7">
        <f t="shared" si="7"/>
        <v>0</v>
      </c>
      <c r="D208" t="s">
        <v>300</v>
      </c>
      <c r="E208" t="s">
        <v>15</v>
      </c>
      <c r="F208" t="s">
        <v>75</v>
      </c>
      <c r="G208">
        <v>11</v>
      </c>
      <c r="H208">
        <v>23.5</v>
      </c>
      <c r="I208">
        <v>8.3000000000000007</v>
      </c>
      <c r="J208">
        <v>0.495</v>
      </c>
      <c r="K208">
        <v>1.7</v>
      </c>
      <c r="L208">
        <v>1.9</v>
      </c>
      <c r="M208">
        <v>0.76200000000000001</v>
      </c>
      <c r="N208">
        <v>3.6</v>
      </c>
      <c r="O208">
        <v>0.9</v>
      </c>
      <c r="P208">
        <v>0.3</v>
      </c>
      <c r="Q208">
        <v>0</v>
      </c>
      <c r="R208">
        <v>0.8</v>
      </c>
      <c r="S208">
        <v>11.4</v>
      </c>
      <c r="T208" s="14">
        <f>(J208 - AVERAGE(FG_Range))*I208</f>
        <v>0.30056529850746239</v>
      </c>
      <c r="U208" s="14">
        <f>(M208 - AVERAGE(FT_RANGE))*L208</f>
        <v>-2.1528517110275258E-3</v>
      </c>
      <c r="V208" s="14">
        <f>(K208 - AVERAGE(Three_Range))/STDEV(Three_Range)</f>
        <v>0.230777561305371</v>
      </c>
      <c r="W208" s="14">
        <f>(S208 - AVERAGE(Pts_Range))/STDEV(Pts_Range)</f>
        <v>-0.21617016987024601</v>
      </c>
      <c r="X208" s="14">
        <f>(N208 - AVERAGE(Reb_Range))/STDEV(Reb_Range)</f>
        <v>-0.47594839528459909</v>
      </c>
      <c r="Y208" s="14">
        <f>(O208 - AVERAGE(Ast_Range))/STDEV(Ast_Range)</f>
        <v>-0.92920930333383611</v>
      </c>
      <c r="Z208" s="14">
        <f>(P208 - AVERAGE(Stl_Range))/STDEV(Stl_Range)</f>
        <v>-1.1881871524488112</v>
      </c>
      <c r="AA208" s="14">
        <f>(Q208 - AVERAGE(Blk_Range))/STDEV(Blk_Range)</f>
        <v>-0.99506680113183732</v>
      </c>
      <c r="AB208" s="14">
        <f>(R208 - AVERAGE(Tov_Range))/STDEV(Tov_Range)*-1</f>
        <v>0.81726610848133385</v>
      </c>
      <c r="AC208" s="14">
        <f>SUM(T208:AB208)</f>
        <v>-2.4581257054861902</v>
      </c>
      <c r="AD208" s="14">
        <v>-2.4581257054861894</v>
      </c>
      <c r="AE208" s="14">
        <f>AD208-AC208</f>
        <v>0</v>
      </c>
      <c r="AF208"/>
      <c r="AG208"/>
      <c r="AH208"/>
      <c r="AI208"/>
      <c r="AJ208"/>
      <c r="AK208"/>
      <c r="AL208"/>
      <c r="AM208"/>
      <c r="AN208"/>
      <c r="AO208"/>
      <c r="AP208"/>
      <c r="AQ208"/>
    </row>
    <row r="209" spans="1:43" x14ac:dyDescent="0.55000000000000004">
      <c r="A209">
        <v>208</v>
      </c>
      <c r="B209" s="7">
        <f t="shared" si="6"/>
        <v>208</v>
      </c>
      <c r="C209" s="7">
        <f t="shared" si="7"/>
        <v>0</v>
      </c>
      <c r="D209" t="s">
        <v>423</v>
      </c>
      <c r="E209" t="s">
        <v>34</v>
      </c>
      <c r="F209" t="s">
        <v>75</v>
      </c>
      <c r="G209">
        <v>4</v>
      </c>
      <c r="H209">
        <v>29.3</v>
      </c>
      <c r="I209">
        <v>12.8</v>
      </c>
      <c r="J209">
        <v>0.52900000000000003</v>
      </c>
      <c r="K209">
        <v>0</v>
      </c>
      <c r="L209">
        <v>2.5</v>
      </c>
      <c r="M209">
        <v>0.8</v>
      </c>
      <c r="N209">
        <v>3.5</v>
      </c>
      <c r="O209">
        <v>1.3</v>
      </c>
      <c r="P209">
        <v>0.5</v>
      </c>
      <c r="Q209">
        <v>0</v>
      </c>
      <c r="R209">
        <v>1</v>
      </c>
      <c r="S209">
        <v>15.5</v>
      </c>
      <c r="T209" s="14">
        <f>(J209 - AVERAGE(FG_Range))*I209</f>
        <v>0.8987223880597015</v>
      </c>
      <c r="U209" s="14">
        <f>(M209 - AVERAGE(FT_RANGE))*L209</f>
        <v>9.2167300380227024E-2</v>
      </c>
      <c r="V209" s="14">
        <f>(K209 - AVERAGE(Three_Range))/STDEV(Three_Range)</f>
        <v>-1.5157715571452535</v>
      </c>
      <c r="W209" s="14">
        <f>(S209 - AVERAGE(Pts_Range))/STDEV(Pts_Range)</f>
        <v>0.43980271787740383</v>
      </c>
      <c r="X209" s="14">
        <f>(N209 - AVERAGE(Reb_Range))/STDEV(Reb_Range)</f>
        <v>-0.51490812953514065</v>
      </c>
      <c r="Y209" s="14">
        <f>(O209 - AVERAGE(Ast_Range))/STDEV(Ast_Range)</f>
        <v>-0.73438975059104861</v>
      </c>
      <c r="Z209" s="14">
        <f>(P209 - AVERAGE(Stl_Range))/STDEV(Stl_Range)</f>
        <v>-0.75960820647804206</v>
      </c>
      <c r="AA209" s="14">
        <f>(Q209 - AVERAGE(Blk_Range))/STDEV(Blk_Range)</f>
        <v>-0.99506680113183732</v>
      </c>
      <c r="AB209" s="14">
        <f>(R209 - AVERAGE(Tov_Range))/STDEV(Tov_Range)*-1</f>
        <v>0.60777082672810812</v>
      </c>
      <c r="AC209" s="14">
        <f>SUM(T209:AB209)</f>
        <v>-2.4812812118358814</v>
      </c>
      <c r="AD209" s="14">
        <v>-2.4812812118358738</v>
      </c>
      <c r="AE209" s="14">
        <f>AD209-AC209</f>
        <v>7.5495165674510645E-15</v>
      </c>
      <c r="AF209"/>
      <c r="AG209"/>
      <c r="AH209"/>
      <c r="AI209"/>
      <c r="AJ209"/>
      <c r="AK209"/>
      <c r="AL209"/>
      <c r="AM209"/>
      <c r="AN209"/>
      <c r="AO209"/>
      <c r="AP209"/>
      <c r="AQ209"/>
    </row>
    <row r="210" spans="1:43" x14ac:dyDescent="0.55000000000000004">
      <c r="A210">
        <v>209</v>
      </c>
      <c r="B210" s="7">
        <f t="shared" si="6"/>
        <v>209</v>
      </c>
      <c r="C210" s="7">
        <f t="shared" si="7"/>
        <v>0</v>
      </c>
      <c r="D210" t="s">
        <v>610</v>
      </c>
      <c r="E210" t="s">
        <v>34</v>
      </c>
      <c r="F210" t="s">
        <v>30</v>
      </c>
      <c r="G210">
        <v>12</v>
      </c>
      <c r="H210">
        <v>20.3</v>
      </c>
      <c r="I210">
        <v>7</v>
      </c>
      <c r="J210">
        <v>0.44</v>
      </c>
      <c r="K210">
        <v>1.8</v>
      </c>
      <c r="L210">
        <v>1.2</v>
      </c>
      <c r="M210">
        <v>0.78600000000000003</v>
      </c>
      <c r="N210">
        <v>2.2999999999999998</v>
      </c>
      <c r="O210">
        <v>1.2</v>
      </c>
      <c r="P210">
        <v>0.6</v>
      </c>
      <c r="Q210">
        <v>0.2</v>
      </c>
      <c r="R210">
        <v>0.8</v>
      </c>
      <c r="S210">
        <v>8.8000000000000007</v>
      </c>
      <c r="T210" s="14">
        <f>(J210 - AVERAGE(FG_Range))*I210</f>
        <v>-0.13151119402985095</v>
      </c>
      <c r="U210" s="14">
        <f>(M210 - AVERAGE(FT_RANGE))*L210</f>
        <v>2.7440304182508955E-2</v>
      </c>
      <c r="V210" s="14">
        <f>(K210 - AVERAGE(Three_Range))/STDEV(Three_Range)</f>
        <v>0.33351574474364315</v>
      </c>
      <c r="W210" s="14">
        <f>(S210 - AVERAGE(Pts_Range))/STDEV(Pts_Range)</f>
        <v>-0.63215297673460935</v>
      </c>
      <c r="X210" s="14">
        <f>(N210 - AVERAGE(Reb_Range))/STDEV(Reb_Range)</f>
        <v>-0.98242494054163909</v>
      </c>
      <c r="Y210" s="14">
        <f>(O210 - AVERAGE(Ast_Range))/STDEV(Ast_Range)</f>
        <v>-0.78309463877674546</v>
      </c>
      <c r="Z210" s="14">
        <f>(P210 - AVERAGE(Stl_Range))/STDEV(Stl_Range)</f>
        <v>-0.54531873349265758</v>
      </c>
      <c r="AA210" s="14">
        <f>(Q210 - AVERAGE(Blk_Range))/STDEV(Blk_Range)</f>
        <v>-0.6262176964245999</v>
      </c>
      <c r="AB210" s="14">
        <f>(R210 - AVERAGE(Tov_Range))/STDEV(Tov_Range)*-1</f>
        <v>0.81726610848133385</v>
      </c>
      <c r="AC210" s="14">
        <f>SUM(T210:AB210)</f>
        <v>-2.5224980225926164</v>
      </c>
      <c r="AD210" s="14">
        <v>-2.5224980225926146</v>
      </c>
      <c r="AE210" s="14">
        <f>AD210-AC210</f>
        <v>0</v>
      </c>
      <c r="AF210"/>
      <c r="AG210"/>
      <c r="AH210"/>
      <c r="AI210"/>
      <c r="AJ210"/>
      <c r="AK210"/>
      <c r="AL210"/>
      <c r="AM210"/>
      <c r="AN210"/>
      <c r="AO210"/>
      <c r="AP210"/>
      <c r="AQ210"/>
    </row>
    <row r="211" spans="1:43" x14ac:dyDescent="0.55000000000000004">
      <c r="A211">
        <v>210</v>
      </c>
      <c r="B211" s="7">
        <f t="shared" si="6"/>
        <v>210</v>
      </c>
      <c r="C211" s="7">
        <f t="shared" si="7"/>
        <v>0</v>
      </c>
      <c r="D211" t="s">
        <v>619</v>
      </c>
      <c r="E211" t="s">
        <v>15</v>
      </c>
      <c r="F211" t="s">
        <v>52</v>
      </c>
      <c r="G211">
        <v>7</v>
      </c>
      <c r="H211">
        <v>18.899999999999999</v>
      </c>
      <c r="I211">
        <v>8.3000000000000007</v>
      </c>
      <c r="J211">
        <v>0.44800000000000001</v>
      </c>
      <c r="K211">
        <v>1.4</v>
      </c>
      <c r="L211">
        <v>1.9</v>
      </c>
      <c r="M211">
        <v>0.92300000000000004</v>
      </c>
      <c r="N211">
        <v>4.5999999999999996</v>
      </c>
      <c r="O211">
        <v>1</v>
      </c>
      <c r="P211">
        <v>0.6</v>
      </c>
      <c r="Q211">
        <v>0.1</v>
      </c>
      <c r="R211">
        <v>1.6</v>
      </c>
      <c r="S211">
        <v>10.6</v>
      </c>
      <c r="T211" s="14">
        <f>(J211 - AVERAGE(FG_Range))*I211</f>
        <v>-8.9534701492537505E-2</v>
      </c>
      <c r="U211" s="14">
        <f>(M211 - AVERAGE(FT_RANGE))*L211</f>
        <v>0.30374714828897253</v>
      </c>
      <c r="V211" s="14">
        <f>(K211 - AVERAGE(Three_Range))/STDEV(Three_Range)</f>
        <v>-7.7436989009445123E-2</v>
      </c>
      <c r="W211" s="14">
        <f>(S211 - AVERAGE(Pts_Range))/STDEV(Pts_Range)</f>
        <v>-0.34416487967466564</v>
      </c>
      <c r="X211" s="14">
        <f>(N211 - AVERAGE(Reb_Range))/STDEV(Reb_Range)</f>
        <v>-8.635105277918402E-2</v>
      </c>
      <c r="Y211" s="14">
        <f>(O211 - AVERAGE(Ast_Range))/STDEV(Ast_Range)</f>
        <v>-0.88050441514813926</v>
      </c>
      <c r="Z211" s="14">
        <f>(P211 - AVERAGE(Stl_Range))/STDEV(Stl_Range)</f>
        <v>-0.54531873349265758</v>
      </c>
      <c r="AA211" s="14">
        <f>(Q211 - AVERAGE(Blk_Range))/STDEV(Blk_Range)</f>
        <v>-0.81064224877821867</v>
      </c>
      <c r="AB211" s="14">
        <f>(R211 - AVERAGE(Tov_Range))/STDEV(Tov_Range)*-1</f>
        <v>-2.0715018531569193E-2</v>
      </c>
      <c r="AC211" s="14">
        <f>SUM(T211:AB211)</f>
        <v>-2.5509208906174443</v>
      </c>
      <c r="AD211" s="14">
        <v>-2.5509208906174408</v>
      </c>
      <c r="AE211" s="14">
        <f>AD211-AC211</f>
        <v>3.5527136788005009E-15</v>
      </c>
      <c r="AF211"/>
      <c r="AG211"/>
      <c r="AH211"/>
      <c r="AI211"/>
      <c r="AJ211"/>
      <c r="AK211"/>
      <c r="AL211"/>
      <c r="AM211"/>
      <c r="AN211"/>
      <c r="AO211"/>
      <c r="AP211"/>
      <c r="AQ211"/>
    </row>
    <row r="212" spans="1:43" x14ac:dyDescent="0.55000000000000004">
      <c r="A212">
        <v>211</v>
      </c>
      <c r="B212" s="7">
        <f t="shared" si="6"/>
        <v>211</v>
      </c>
      <c r="C212" s="7">
        <f t="shared" si="7"/>
        <v>0</v>
      </c>
      <c r="D212" t="s">
        <v>699</v>
      </c>
      <c r="E212" t="s">
        <v>25</v>
      </c>
      <c r="F212" t="s">
        <v>80</v>
      </c>
      <c r="G212">
        <v>7</v>
      </c>
      <c r="H212">
        <v>19.600000000000001</v>
      </c>
      <c r="I212">
        <v>6.3</v>
      </c>
      <c r="J212">
        <v>0.34100000000000003</v>
      </c>
      <c r="K212">
        <v>1.6</v>
      </c>
      <c r="L212">
        <v>0.7</v>
      </c>
      <c r="M212">
        <v>1</v>
      </c>
      <c r="N212">
        <v>2.2999999999999998</v>
      </c>
      <c r="O212">
        <v>1.6</v>
      </c>
      <c r="P212">
        <v>0.6</v>
      </c>
      <c r="Q212">
        <v>0.4</v>
      </c>
      <c r="R212">
        <v>0.4</v>
      </c>
      <c r="S212">
        <v>6.6</v>
      </c>
      <c r="T212" s="14">
        <f>(J212 - AVERAGE(FG_Range))*I212</f>
        <v>-0.74206007462686574</v>
      </c>
      <c r="U212" s="14">
        <f>(M212 - AVERAGE(FT_RANGE))*L212</f>
        <v>0.16580684410646351</v>
      </c>
      <c r="V212" s="14">
        <f>(K212 - AVERAGE(Three_Range))/STDEV(Three_Range)</f>
        <v>0.12803937786709912</v>
      </c>
      <c r="W212" s="14">
        <f>(S212 - AVERAGE(Pts_Range))/STDEV(Pts_Range)</f>
        <v>-0.98413842869676305</v>
      </c>
      <c r="X212" s="14">
        <f>(N212 - AVERAGE(Reb_Range))/STDEV(Reb_Range)</f>
        <v>-0.98242494054163909</v>
      </c>
      <c r="Y212" s="14">
        <f>(O212 - AVERAGE(Ast_Range))/STDEV(Ast_Range)</f>
        <v>-0.58827508603395795</v>
      </c>
      <c r="Z212" s="14">
        <f>(P212 - AVERAGE(Stl_Range))/STDEV(Stl_Range)</f>
        <v>-0.54531873349265758</v>
      </c>
      <c r="AA212" s="14">
        <f>(Q212 - AVERAGE(Blk_Range))/STDEV(Blk_Range)</f>
        <v>-0.25736859171736254</v>
      </c>
      <c r="AB212" s="14">
        <f>(R212 - AVERAGE(Tov_Range))/STDEV(Tov_Range)*-1</f>
        <v>1.2362566719877852</v>
      </c>
      <c r="AC212" s="14">
        <f>SUM(T212:AB212)</f>
        <v>-2.5694829611478989</v>
      </c>
      <c r="AD212" s="14">
        <v>-2.5694829611478949</v>
      </c>
      <c r="AE212" s="14">
        <f>AD212-AC212</f>
        <v>3.9968028886505635E-15</v>
      </c>
      <c r="AF212"/>
      <c r="AG212"/>
      <c r="AH212"/>
      <c r="AI212"/>
      <c r="AJ212"/>
      <c r="AK212"/>
      <c r="AL212"/>
      <c r="AM212"/>
      <c r="AN212"/>
      <c r="AO212"/>
      <c r="AP212"/>
      <c r="AQ212"/>
    </row>
    <row r="213" spans="1:43" x14ac:dyDescent="0.55000000000000004">
      <c r="A213">
        <v>212</v>
      </c>
      <c r="B213" s="7">
        <f t="shared" si="6"/>
        <v>212</v>
      </c>
      <c r="C213" s="7">
        <f t="shared" si="7"/>
        <v>0</v>
      </c>
      <c r="D213" t="s">
        <v>560</v>
      </c>
      <c r="E213" t="s">
        <v>34</v>
      </c>
      <c r="F213" t="s">
        <v>82</v>
      </c>
      <c r="G213">
        <v>10</v>
      </c>
      <c r="H213">
        <v>17.399999999999999</v>
      </c>
      <c r="I213">
        <v>7.4</v>
      </c>
      <c r="J213">
        <v>0.33800000000000002</v>
      </c>
      <c r="K213">
        <v>1.8</v>
      </c>
      <c r="L213">
        <v>1.1000000000000001</v>
      </c>
      <c r="M213">
        <v>1</v>
      </c>
      <c r="N213">
        <v>1.6</v>
      </c>
      <c r="O213">
        <v>1.2</v>
      </c>
      <c r="P213">
        <v>0.8</v>
      </c>
      <c r="Q213">
        <v>0.2</v>
      </c>
      <c r="R213">
        <v>0.4</v>
      </c>
      <c r="S213">
        <v>7.9</v>
      </c>
      <c r="T213" s="14">
        <f>(J213 - AVERAGE(FG_Range))*I213</f>
        <v>-0.89382611940298518</v>
      </c>
      <c r="U213" s="14">
        <f>(M213 - AVERAGE(FT_RANGE))*L213</f>
        <v>0.26055361216729989</v>
      </c>
      <c r="V213" s="14">
        <f>(K213 - AVERAGE(Three_Range))/STDEV(Three_Range)</f>
        <v>0.33351574474364315</v>
      </c>
      <c r="W213" s="14">
        <f>(S213 - AVERAGE(Pts_Range))/STDEV(Pts_Range)</f>
        <v>-0.77614702526458124</v>
      </c>
      <c r="X213" s="14">
        <f>(N213 - AVERAGE(Reb_Range))/STDEV(Reb_Range)</f>
        <v>-1.2551430802954295</v>
      </c>
      <c r="Y213" s="14">
        <f>(O213 - AVERAGE(Ast_Range))/STDEV(Ast_Range)</f>
        <v>-0.78309463877674546</v>
      </c>
      <c r="Z213" s="14">
        <f>(P213 - AVERAGE(Stl_Range))/STDEV(Stl_Range)</f>
        <v>-0.11673978752188821</v>
      </c>
      <c r="AA213" s="14">
        <f>(Q213 - AVERAGE(Blk_Range))/STDEV(Blk_Range)</f>
        <v>-0.6262176964245999</v>
      </c>
      <c r="AB213" s="14">
        <f>(R213 - AVERAGE(Tov_Range))/STDEV(Tov_Range)*-1</f>
        <v>1.2362566719877852</v>
      </c>
      <c r="AC213" s="14">
        <f>SUM(T213:AB213)</f>
        <v>-2.620842318787501</v>
      </c>
      <c r="AD213" s="14">
        <v>-2.6208423187874983</v>
      </c>
      <c r="AE213" s="14">
        <f>AD213-AC213</f>
        <v>0</v>
      </c>
      <c r="AF213"/>
      <c r="AG213"/>
      <c r="AH213"/>
      <c r="AI213"/>
      <c r="AJ213"/>
      <c r="AK213"/>
      <c r="AL213"/>
      <c r="AM213"/>
      <c r="AN213"/>
      <c r="AO213"/>
      <c r="AP213"/>
      <c r="AQ213"/>
    </row>
    <row r="214" spans="1:43" x14ac:dyDescent="0.55000000000000004">
      <c r="A214">
        <v>213</v>
      </c>
      <c r="B214" s="7">
        <f t="shared" si="6"/>
        <v>213</v>
      </c>
      <c r="C214" s="7">
        <f t="shared" si="7"/>
        <v>0</v>
      </c>
      <c r="D214" t="s">
        <v>151</v>
      </c>
      <c r="E214" t="s">
        <v>15</v>
      </c>
      <c r="F214" t="s">
        <v>23</v>
      </c>
      <c r="G214">
        <v>3</v>
      </c>
      <c r="H214">
        <v>19.3</v>
      </c>
      <c r="I214">
        <v>4.3</v>
      </c>
      <c r="J214">
        <v>0.23100000000000001</v>
      </c>
      <c r="K214">
        <v>0</v>
      </c>
      <c r="L214">
        <v>1.3</v>
      </c>
      <c r="M214">
        <v>0.75</v>
      </c>
      <c r="N214">
        <v>4.3</v>
      </c>
      <c r="O214">
        <v>0.3</v>
      </c>
      <c r="P214">
        <v>0.3</v>
      </c>
      <c r="Q214">
        <v>2</v>
      </c>
      <c r="R214">
        <v>0.3</v>
      </c>
      <c r="S214">
        <v>3</v>
      </c>
      <c r="T214" s="14">
        <f>(J214 - AVERAGE(FG_Range))*I214</f>
        <v>-0.97948544776119406</v>
      </c>
      <c r="U214" s="14">
        <f>(M214 - AVERAGE(FT_RANGE))*L214</f>
        <v>-1.7073003802282005E-2</v>
      </c>
      <c r="V214" s="14">
        <f>(K214 - AVERAGE(Three_Range))/STDEV(Three_Range)</f>
        <v>-1.5157715571452535</v>
      </c>
      <c r="W214" s="14">
        <f>(S214 - AVERAGE(Pts_Range))/STDEV(Pts_Range)</f>
        <v>-1.5601146228166507</v>
      </c>
      <c r="X214" s="14">
        <f>(N214 - AVERAGE(Reb_Range))/STDEV(Reb_Range)</f>
        <v>-0.20323025553080853</v>
      </c>
      <c r="Y214" s="14">
        <f>(O214 - AVERAGE(Ast_Range))/STDEV(Ast_Range)</f>
        <v>-1.2214386324480173</v>
      </c>
      <c r="Z214" s="14">
        <f>(P214 - AVERAGE(Stl_Range))/STDEV(Stl_Range)</f>
        <v>-1.1881871524488112</v>
      </c>
      <c r="AA214" s="14">
        <f>(Q214 - AVERAGE(Blk_Range))/STDEV(Blk_Range)</f>
        <v>2.6934242459405366</v>
      </c>
      <c r="AB214" s="14">
        <f>(R214 - AVERAGE(Tov_Range))/STDEV(Tov_Range)*-1</f>
        <v>1.3410043128643983</v>
      </c>
      <c r="AC214" s="14">
        <f>SUM(T214:AB214)</f>
        <v>-2.6508721131480826</v>
      </c>
      <c r="AD214" s="14">
        <v>-2.6508721131480764</v>
      </c>
      <c r="AE214" s="14">
        <f>AD214-AC214</f>
        <v>6.2172489379008766E-15</v>
      </c>
      <c r="AF214"/>
      <c r="AG214"/>
      <c r="AH214"/>
      <c r="AI214"/>
      <c r="AJ214"/>
      <c r="AK214"/>
      <c r="AL214"/>
      <c r="AM214"/>
      <c r="AN214"/>
      <c r="AO214"/>
      <c r="AP214"/>
      <c r="AQ214"/>
    </row>
    <row r="215" spans="1:43" x14ac:dyDescent="0.55000000000000004">
      <c r="A215">
        <v>214</v>
      </c>
      <c r="B215" s="7">
        <f t="shared" si="6"/>
        <v>214</v>
      </c>
      <c r="C215" s="7">
        <f t="shared" si="7"/>
        <v>0</v>
      </c>
      <c r="D215" t="s">
        <v>435</v>
      </c>
      <c r="E215" t="s">
        <v>46</v>
      </c>
      <c r="F215" t="s">
        <v>72</v>
      </c>
      <c r="G215">
        <v>11</v>
      </c>
      <c r="H215">
        <v>20.6</v>
      </c>
      <c r="I215">
        <v>8.3000000000000007</v>
      </c>
      <c r="J215">
        <v>0.45100000000000001</v>
      </c>
      <c r="K215">
        <v>0.9</v>
      </c>
      <c r="L215">
        <v>2.1</v>
      </c>
      <c r="M215">
        <v>0.78300000000000003</v>
      </c>
      <c r="N215">
        <v>1.9</v>
      </c>
      <c r="O215">
        <v>2.7</v>
      </c>
      <c r="P215">
        <v>0.7</v>
      </c>
      <c r="Q215">
        <v>0.1</v>
      </c>
      <c r="R215">
        <v>0.9</v>
      </c>
      <c r="S215">
        <v>10</v>
      </c>
      <c r="T215" s="14">
        <f>(J215 - AVERAGE(FG_Range))*I215</f>
        <v>-6.4634701492537486E-2</v>
      </c>
      <c r="U215" s="14">
        <f>(M215 - AVERAGE(FT_RANGE))*L215</f>
        <v>4.1720532319390671E-2</v>
      </c>
      <c r="V215" s="14">
        <f>(K215 - AVERAGE(Three_Range))/STDEV(Three_Range)</f>
        <v>-0.59112790620080513</v>
      </c>
      <c r="W215" s="14">
        <f>(S215 - AVERAGE(Pts_Range))/STDEV(Pts_Range)</f>
        <v>-0.44016091202798019</v>
      </c>
      <c r="X215" s="14">
        <f>(N215 - AVERAGE(Reb_Range))/STDEV(Reb_Range)</f>
        <v>-1.1382638775438052</v>
      </c>
      <c r="Y215" s="14">
        <f>(O215 - AVERAGE(Ast_Range))/STDEV(Ast_Range)</f>
        <v>-5.252131599129229E-2</v>
      </c>
      <c r="Z215" s="14">
        <f>(P215 - AVERAGE(Stl_Range))/STDEV(Stl_Range)</f>
        <v>-0.33102926050727299</v>
      </c>
      <c r="AA215" s="14">
        <f>(Q215 - AVERAGE(Blk_Range))/STDEV(Blk_Range)</f>
        <v>-0.81064224877821867</v>
      </c>
      <c r="AB215" s="14">
        <f>(R215 - AVERAGE(Tov_Range))/STDEV(Tov_Range)*-1</f>
        <v>0.71251846760472104</v>
      </c>
      <c r="AC215" s="14">
        <f>SUM(T215:AB215)</f>
        <v>-2.6741412226178003</v>
      </c>
      <c r="AD215" s="14">
        <v>-2.674141222617795</v>
      </c>
      <c r="AE215" s="14">
        <f>AD215-AC215</f>
        <v>5.3290705182007514E-15</v>
      </c>
      <c r="AF215"/>
      <c r="AG215"/>
      <c r="AH215"/>
      <c r="AI215"/>
      <c r="AJ215"/>
      <c r="AK215"/>
      <c r="AL215"/>
      <c r="AM215"/>
      <c r="AN215"/>
      <c r="AO215"/>
      <c r="AP215"/>
      <c r="AQ215"/>
    </row>
    <row r="216" spans="1:43" x14ac:dyDescent="0.55000000000000004">
      <c r="A216">
        <v>215</v>
      </c>
      <c r="B216" s="7">
        <f t="shared" si="6"/>
        <v>215</v>
      </c>
      <c r="C216" s="7">
        <f t="shared" si="7"/>
        <v>0</v>
      </c>
      <c r="D216" t="s">
        <v>103</v>
      </c>
      <c r="E216" t="s">
        <v>34</v>
      </c>
      <c r="F216" t="s">
        <v>31</v>
      </c>
      <c r="G216">
        <v>10</v>
      </c>
      <c r="H216">
        <v>28.7</v>
      </c>
      <c r="I216">
        <v>8.6</v>
      </c>
      <c r="J216">
        <v>0.38400000000000001</v>
      </c>
      <c r="K216">
        <v>1.5</v>
      </c>
      <c r="L216">
        <v>0.7</v>
      </c>
      <c r="M216">
        <v>0.57099999999999995</v>
      </c>
      <c r="N216">
        <v>4.5999999999999996</v>
      </c>
      <c r="O216">
        <v>1.3</v>
      </c>
      <c r="P216">
        <v>0.6</v>
      </c>
      <c r="Q216">
        <v>0.2</v>
      </c>
      <c r="R216">
        <v>0.9</v>
      </c>
      <c r="S216">
        <v>8.5</v>
      </c>
      <c r="T216" s="14">
        <f>(J216 - AVERAGE(FG_Range))*I216</f>
        <v>-0.64317089552238826</v>
      </c>
      <c r="U216" s="14">
        <f>(M216 - AVERAGE(FT_RANGE))*L216</f>
        <v>-0.1344931558935365</v>
      </c>
      <c r="V216" s="14">
        <f>(K216 - AVERAGE(Three_Range))/STDEV(Three_Range)</f>
        <v>2.5301194428826994E-2</v>
      </c>
      <c r="W216" s="14">
        <f>(S216 - AVERAGE(Pts_Range))/STDEV(Pts_Range)</f>
        <v>-0.68015099291126668</v>
      </c>
      <c r="X216" s="14">
        <f>(N216 - AVERAGE(Reb_Range))/STDEV(Reb_Range)</f>
        <v>-8.635105277918402E-2</v>
      </c>
      <c r="Y216" s="14">
        <f>(O216 - AVERAGE(Ast_Range))/STDEV(Ast_Range)</f>
        <v>-0.73438975059104861</v>
      </c>
      <c r="Z216" s="14">
        <f>(P216 - AVERAGE(Stl_Range))/STDEV(Stl_Range)</f>
        <v>-0.54531873349265758</v>
      </c>
      <c r="AA216" s="14">
        <f>(Q216 - AVERAGE(Blk_Range))/STDEV(Blk_Range)</f>
        <v>-0.6262176964245999</v>
      </c>
      <c r="AB216" s="14">
        <f>(R216 - AVERAGE(Tov_Range))/STDEV(Tov_Range)*-1</f>
        <v>0.71251846760472104</v>
      </c>
      <c r="AC216" s="14">
        <f>SUM(T216:AB216)</f>
        <v>-2.7122726155811336</v>
      </c>
      <c r="AD216" s="14">
        <v>-2.7122726155811292</v>
      </c>
      <c r="AE216" s="14">
        <f>AD216-AC216</f>
        <v>4.4408920985006262E-15</v>
      </c>
      <c r="AF216"/>
      <c r="AG216"/>
      <c r="AH216"/>
      <c r="AI216"/>
      <c r="AJ216"/>
      <c r="AK216"/>
      <c r="AL216"/>
      <c r="AM216"/>
      <c r="AN216"/>
      <c r="AO216"/>
      <c r="AP216"/>
      <c r="AQ216"/>
    </row>
    <row r="217" spans="1:43" x14ac:dyDescent="0.55000000000000004">
      <c r="A217">
        <v>216</v>
      </c>
      <c r="B217" s="7">
        <f t="shared" si="6"/>
        <v>216</v>
      </c>
      <c r="C217" s="7">
        <f t="shared" si="7"/>
        <v>0</v>
      </c>
      <c r="D217" t="s">
        <v>139</v>
      </c>
      <c r="E217" t="s">
        <v>25</v>
      </c>
      <c r="F217" t="s">
        <v>30</v>
      </c>
      <c r="G217">
        <v>3</v>
      </c>
      <c r="H217">
        <v>21.3</v>
      </c>
      <c r="I217">
        <v>5.3</v>
      </c>
      <c r="J217">
        <v>0.375</v>
      </c>
      <c r="K217">
        <v>0.7</v>
      </c>
      <c r="L217">
        <v>2</v>
      </c>
      <c r="M217">
        <v>1</v>
      </c>
      <c r="N217">
        <v>4.3</v>
      </c>
      <c r="O217">
        <v>3</v>
      </c>
      <c r="P217">
        <v>0.7</v>
      </c>
      <c r="Q217">
        <v>0.3</v>
      </c>
      <c r="R217">
        <v>1.7</v>
      </c>
      <c r="S217">
        <v>6.7</v>
      </c>
      <c r="T217" s="14">
        <f>(J217 - AVERAGE(FG_Range))*I217</f>
        <v>-0.44407276119403</v>
      </c>
      <c r="U217" s="14">
        <f>(M217 - AVERAGE(FT_RANGE))*L217</f>
        <v>0.47373384030418153</v>
      </c>
      <c r="V217" s="14">
        <f>(K217 - AVERAGE(Three_Range))/STDEV(Three_Range)</f>
        <v>-0.79660427307734927</v>
      </c>
      <c r="W217" s="14">
        <f>(S217 - AVERAGE(Pts_Range))/STDEV(Pts_Range)</f>
        <v>-0.96813908997121056</v>
      </c>
      <c r="X217" s="14">
        <f>(N217 - AVERAGE(Reb_Range))/STDEV(Reb_Range)</f>
        <v>-0.20323025553080853</v>
      </c>
      <c r="Y217" s="14">
        <f>(O217 - AVERAGE(Ast_Range))/STDEV(Ast_Range)</f>
        <v>9.3593348565798248E-2</v>
      </c>
      <c r="Z217" s="14">
        <f>(P217 - AVERAGE(Stl_Range))/STDEV(Stl_Range)</f>
        <v>-0.33102926050727299</v>
      </c>
      <c r="AA217" s="14">
        <f>(Q217 - AVERAGE(Blk_Range))/STDEV(Blk_Range)</f>
        <v>-0.4417931440709813</v>
      </c>
      <c r="AB217" s="14">
        <f>(R217 - AVERAGE(Tov_Range))/STDEV(Tov_Range)*-1</f>
        <v>-0.12546265940818194</v>
      </c>
      <c r="AC217" s="14">
        <f>SUM(T217:AB217)</f>
        <v>-2.743004254889855</v>
      </c>
      <c r="AD217" s="14">
        <v>-2.7430042548898501</v>
      </c>
      <c r="AE217" s="14">
        <f>AD217-AC217</f>
        <v>4.8849813083506888E-15</v>
      </c>
      <c r="AF217"/>
      <c r="AG217"/>
      <c r="AH217"/>
      <c r="AI217"/>
      <c r="AJ217"/>
      <c r="AK217"/>
      <c r="AL217"/>
      <c r="AM217"/>
      <c r="AN217"/>
      <c r="AO217"/>
      <c r="AP217"/>
      <c r="AQ217"/>
    </row>
    <row r="218" spans="1:43" x14ac:dyDescent="0.55000000000000004">
      <c r="A218">
        <v>217</v>
      </c>
      <c r="B218" s="7">
        <f t="shared" si="6"/>
        <v>217</v>
      </c>
      <c r="C218" s="7">
        <f t="shared" si="7"/>
        <v>0</v>
      </c>
      <c r="D218" t="s">
        <v>296</v>
      </c>
      <c r="E218" t="s">
        <v>25</v>
      </c>
      <c r="F218" t="s">
        <v>40</v>
      </c>
      <c r="G218">
        <v>10</v>
      </c>
      <c r="H218">
        <v>22.1</v>
      </c>
      <c r="I218">
        <v>4.5</v>
      </c>
      <c r="J218">
        <v>0.46700000000000003</v>
      </c>
      <c r="K218">
        <v>1.6</v>
      </c>
      <c r="L218">
        <v>0.4</v>
      </c>
      <c r="M218">
        <v>0.75</v>
      </c>
      <c r="N218">
        <v>1.4</v>
      </c>
      <c r="O218">
        <v>1.1000000000000001</v>
      </c>
      <c r="P218">
        <v>0.4</v>
      </c>
      <c r="Q218">
        <v>0.4</v>
      </c>
      <c r="R218">
        <v>0.1</v>
      </c>
      <c r="S218">
        <v>6.1</v>
      </c>
      <c r="T218" s="14">
        <f>(J218 - AVERAGE(FG_Range))*I218</f>
        <v>3.6957089552238781E-2</v>
      </c>
      <c r="U218" s="14">
        <f>(M218 - AVERAGE(FT_RANGE))*L218</f>
        <v>-5.2532319391636944E-3</v>
      </c>
      <c r="V218" s="14">
        <f>(K218 - AVERAGE(Three_Range))/STDEV(Three_Range)</f>
        <v>0.12803937786709912</v>
      </c>
      <c r="W218" s="14">
        <f>(S218 - AVERAGE(Pts_Range))/STDEV(Pts_Range)</f>
        <v>-1.0641351223245252</v>
      </c>
      <c r="X218" s="14">
        <f>(N218 - AVERAGE(Reb_Range))/STDEV(Reb_Range)</f>
        <v>-1.3330625487965126</v>
      </c>
      <c r="Y218" s="14">
        <f>(O218 - AVERAGE(Ast_Range))/STDEV(Ast_Range)</f>
        <v>-0.8317995269624423</v>
      </c>
      <c r="Z218" s="14">
        <f>(P218 - AVERAGE(Stl_Range))/STDEV(Stl_Range)</f>
        <v>-0.97389767946342665</v>
      </c>
      <c r="AA218" s="14">
        <f>(Q218 - AVERAGE(Blk_Range))/STDEV(Blk_Range)</f>
        <v>-0.25736859171736254</v>
      </c>
      <c r="AB218" s="14">
        <f>(R218 - AVERAGE(Tov_Range))/STDEV(Tov_Range)*-1</f>
        <v>1.5504995946176239</v>
      </c>
      <c r="AC218" s="14">
        <f>SUM(T218:AB218)</f>
        <v>-2.750020639166471</v>
      </c>
      <c r="AD218" s="14">
        <v>-2.7500206391664692</v>
      </c>
      <c r="AE218" s="14">
        <f>AD218-AC218</f>
        <v>0</v>
      </c>
      <c r="AF218"/>
      <c r="AG218"/>
      <c r="AH218"/>
      <c r="AI218"/>
      <c r="AJ218"/>
      <c r="AK218"/>
      <c r="AL218"/>
      <c r="AM218"/>
      <c r="AN218"/>
      <c r="AO218"/>
      <c r="AP218"/>
      <c r="AQ218"/>
    </row>
    <row r="219" spans="1:43" x14ac:dyDescent="0.55000000000000004">
      <c r="A219">
        <v>218</v>
      </c>
      <c r="B219" s="7">
        <f t="shared" si="6"/>
        <v>218</v>
      </c>
      <c r="C219" s="7">
        <f t="shared" si="7"/>
        <v>0</v>
      </c>
      <c r="D219" t="s">
        <v>101</v>
      </c>
      <c r="E219" t="s">
        <v>46</v>
      </c>
      <c r="F219" t="s">
        <v>56</v>
      </c>
      <c r="G219">
        <v>8</v>
      </c>
      <c r="H219">
        <v>19.100000000000001</v>
      </c>
      <c r="I219">
        <v>8.1</v>
      </c>
      <c r="J219">
        <v>0.49199999999999999</v>
      </c>
      <c r="K219">
        <v>0.9</v>
      </c>
      <c r="L219">
        <v>2.5</v>
      </c>
      <c r="M219">
        <v>0.9</v>
      </c>
      <c r="N219">
        <v>2.5</v>
      </c>
      <c r="O219">
        <v>3.5</v>
      </c>
      <c r="P219">
        <v>0.5</v>
      </c>
      <c r="Q219">
        <v>0</v>
      </c>
      <c r="R219">
        <v>1.8</v>
      </c>
      <c r="S219">
        <v>11.1</v>
      </c>
      <c r="T219" s="14">
        <f>(J219 - AVERAGE(FG_Range))*I219</f>
        <v>0.26902276119402951</v>
      </c>
      <c r="U219" s="14">
        <f>(M219 - AVERAGE(FT_RANGE))*L219</f>
        <v>0.34216730038022697</v>
      </c>
      <c r="V219" s="14">
        <f>(K219 - AVERAGE(Three_Range))/STDEV(Three_Range)</f>
        <v>-0.59112790620080513</v>
      </c>
      <c r="W219" s="14">
        <f>(S219 - AVERAGE(Pts_Range))/STDEV(Pts_Range)</f>
        <v>-0.26416818604690345</v>
      </c>
      <c r="X219" s="14">
        <f>(N219 - AVERAGE(Reb_Range))/STDEV(Reb_Range)</f>
        <v>-0.90450547204055598</v>
      </c>
      <c r="Y219" s="14">
        <f>(O219 - AVERAGE(Ast_Range))/STDEV(Ast_Range)</f>
        <v>0.33711778949428262</v>
      </c>
      <c r="Z219" s="14">
        <f>(P219 - AVERAGE(Stl_Range))/STDEV(Stl_Range)</f>
        <v>-0.75960820647804206</v>
      </c>
      <c r="AA219" s="14">
        <f>(Q219 - AVERAGE(Blk_Range))/STDEV(Blk_Range)</f>
        <v>-0.99506680113183732</v>
      </c>
      <c r="AB219" s="14">
        <f>(R219 - AVERAGE(Tov_Range))/STDEV(Tov_Range)*-1</f>
        <v>-0.23021030028479489</v>
      </c>
      <c r="AC219" s="14">
        <f>SUM(T219:AB219)</f>
        <v>-2.7963790211143995</v>
      </c>
      <c r="AD219" s="14">
        <v>-2.7963790211143986</v>
      </c>
      <c r="AE219" s="14">
        <f>AD219-AC219</f>
        <v>0</v>
      </c>
      <c r="AF219"/>
      <c r="AG219"/>
      <c r="AH219"/>
      <c r="AI219"/>
      <c r="AJ219"/>
      <c r="AK219"/>
      <c r="AL219"/>
      <c r="AM219"/>
      <c r="AN219"/>
      <c r="AO219"/>
      <c r="AP219"/>
      <c r="AQ219"/>
    </row>
    <row r="220" spans="1:43" x14ac:dyDescent="0.55000000000000004">
      <c r="A220">
        <v>219</v>
      </c>
      <c r="B220" s="7">
        <f t="shared" si="6"/>
        <v>219</v>
      </c>
      <c r="C220" s="7">
        <f t="shared" si="7"/>
        <v>0</v>
      </c>
      <c r="D220" t="s">
        <v>578</v>
      </c>
      <c r="E220" t="s">
        <v>15</v>
      </c>
      <c r="F220" t="s">
        <v>49</v>
      </c>
      <c r="G220">
        <v>11</v>
      </c>
      <c r="H220">
        <v>25.5</v>
      </c>
      <c r="I220">
        <v>11.4</v>
      </c>
      <c r="J220">
        <v>0.41599999999999998</v>
      </c>
      <c r="K220">
        <v>0.8</v>
      </c>
      <c r="L220">
        <v>3.4</v>
      </c>
      <c r="M220">
        <v>0.59499999999999997</v>
      </c>
      <c r="N220">
        <v>8</v>
      </c>
      <c r="O220">
        <v>0.9</v>
      </c>
      <c r="P220">
        <v>0.4</v>
      </c>
      <c r="Q220">
        <v>0.6</v>
      </c>
      <c r="R220">
        <v>2</v>
      </c>
      <c r="S220">
        <v>12.3</v>
      </c>
      <c r="T220" s="14">
        <f>(J220 - AVERAGE(FG_Range))*I220</f>
        <v>-0.48777537313432895</v>
      </c>
      <c r="U220" s="14">
        <f>(M220 - AVERAGE(FT_RANGE))*L220</f>
        <v>-0.57165247148289144</v>
      </c>
      <c r="V220" s="14">
        <f>(K220 - AVERAGE(Three_Range))/STDEV(Three_Range)</f>
        <v>-0.69386608963907714</v>
      </c>
      <c r="W220" s="14">
        <f>(S220 - AVERAGE(Pts_Range))/STDEV(Pts_Range)</f>
        <v>-7.2176121340274027E-2</v>
      </c>
      <c r="X220" s="14">
        <f>(N220 - AVERAGE(Reb_Range))/STDEV(Reb_Range)</f>
        <v>1.238279911739228</v>
      </c>
      <c r="Y220" s="14">
        <f>(O220 - AVERAGE(Ast_Range))/STDEV(Ast_Range)</f>
        <v>-0.92920930333383611</v>
      </c>
      <c r="Z220" s="14">
        <f>(P220 - AVERAGE(Stl_Range))/STDEV(Stl_Range)</f>
        <v>-0.97389767946342665</v>
      </c>
      <c r="AA220" s="14">
        <f>(Q220 - AVERAGE(Blk_Range))/STDEV(Blk_Range)</f>
        <v>0.11148051298987478</v>
      </c>
      <c r="AB220" s="14">
        <f>(R220 - AVERAGE(Tov_Range))/STDEV(Tov_Range)*-1</f>
        <v>-0.43970558203802057</v>
      </c>
      <c r="AC220" s="14">
        <f>SUM(T220:AB220)</f>
        <v>-2.8185221957027524</v>
      </c>
      <c r="AD220" s="14">
        <v>-2.818522195702748</v>
      </c>
      <c r="AE220" s="14">
        <f>AD220-AC220</f>
        <v>4.4408920985006262E-15</v>
      </c>
      <c r="AF220"/>
      <c r="AG220"/>
      <c r="AH220"/>
      <c r="AI220"/>
      <c r="AJ220"/>
      <c r="AK220"/>
      <c r="AL220"/>
      <c r="AM220"/>
      <c r="AN220"/>
      <c r="AO220"/>
      <c r="AP220"/>
      <c r="AQ220"/>
    </row>
    <row r="221" spans="1:43" x14ac:dyDescent="0.55000000000000004">
      <c r="A221">
        <v>220</v>
      </c>
      <c r="B221" s="7">
        <f t="shared" si="6"/>
        <v>220</v>
      </c>
      <c r="C221" s="7">
        <f t="shared" si="7"/>
        <v>0</v>
      </c>
      <c r="D221" t="s">
        <v>605</v>
      </c>
      <c r="E221" t="s">
        <v>15</v>
      </c>
      <c r="F221" t="s">
        <v>61</v>
      </c>
      <c r="G221">
        <v>10</v>
      </c>
      <c r="H221">
        <v>19.5</v>
      </c>
      <c r="I221">
        <v>6.1</v>
      </c>
      <c r="J221">
        <v>0.41</v>
      </c>
      <c r="K221">
        <v>1.1000000000000001</v>
      </c>
      <c r="L221">
        <v>1</v>
      </c>
      <c r="M221">
        <v>0.7</v>
      </c>
      <c r="N221">
        <v>5</v>
      </c>
      <c r="O221">
        <v>0.6</v>
      </c>
      <c r="P221">
        <v>0.5</v>
      </c>
      <c r="Q221">
        <v>0.2</v>
      </c>
      <c r="R221">
        <v>0.4</v>
      </c>
      <c r="S221">
        <v>6.8</v>
      </c>
      <c r="T221" s="14">
        <f>(J221 - AVERAGE(FG_Range))*I221</f>
        <v>-0.29760261194029886</v>
      </c>
      <c r="U221" s="14">
        <f>(M221 - AVERAGE(FT_RANGE))*L221</f>
        <v>-6.3133079847909279E-2</v>
      </c>
      <c r="V221" s="14">
        <f>(K221 - AVERAGE(Three_Range))/STDEV(Three_Range)</f>
        <v>-0.38565153932426105</v>
      </c>
      <c r="W221" s="14">
        <f>(S221 - AVERAGE(Pts_Range))/STDEV(Pts_Range)</f>
        <v>-0.95213975124565819</v>
      </c>
      <c r="X221" s="14">
        <f>(N221 - AVERAGE(Reb_Range))/STDEV(Reb_Range)</f>
        <v>6.948788422298223E-2</v>
      </c>
      <c r="Y221" s="14">
        <f>(O221 - AVERAGE(Ast_Range))/STDEV(Ast_Range)</f>
        <v>-1.0753239678909268</v>
      </c>
      <c r="Z221" s="14">
        <f>(P221 - AVERAGE(Stl_Range))/STDEV(Stl_Range)</f>
        <v>-0.75960820647804206</v>
      </c>
      <c r="AA221" s="14">
        <f>(Q221 - AVERAGE(Blk_Range))/STDEV(Blk_Range)</f>
        <v>-0.6262176964245999</v>
      </c>
      <c r="AB221" s="14">
        <f>(R221 - AVERAGE(Tov_Range))/STDEV(Tov_Range)*-1</f>
        <v>1.2362566719877852</v>
      </c>
      <c r="AC221" s="14">
        <f>SUM(T221:AB221)</f>
        <v>-2.8539322969409291</v>
      </c>
      <c r="AD221" s="14">
        <v>-2.8539322969409207</v>
      </c>
      <c r="AE221" s="14">
        <f>AD221-AC221</f>
        <v>8.4376949871511897E-15</v>
      </c>
      <c r="AF221"/>
      <c r="AG221"/>
      <c r="AH221"/>
      <c r="AI221"/>
      <c r="AJ221"/>
      <c r="AK221"/>
      <c r="AL221"/>
      <c r="AM221"/>
      <c r="AN221"/>
      <c r="AO221"/>
      <c r="AP221"/>
      <c r="AQ221"/>
    </row>
    <row r="222" spans="1:43" x14ac:dyDescent="0.55000000000000004">
      <c r="A222">
        <v>221</v>
      </c>
      <c r="B222" s="7">
        <f t="shared" si="6"/>
        <v>221</v>
      </c>
      <c r="C222" s="7">
        <f t="shared" si="7"/>
        <v>0</v>
      </c>
      <c r="D222" t="s">
        <v>142</v>
      </c>
      <c r="E222" t="s">
        <v>25</v>
      </c>
      <c r="F222" t="s">
        <v>118</v>
      </c>
      <c r="G222">
        <v>11</v>
      </c>
      <c r="H222">
        <v>25.4</v>
      </c>
      <c r="I222">
        <v>8</v>
      </c>
      <c r="J222">
        <v>0.432</v>
      </c>
      <c r="K222">
        <v>1.2</v>
      </c>
      <c r="L222">
        <v>1</v>
      </c>
      <c r="M222">
        <v>0.54500000000000004</v>
      </c>
      <c r="N222">
        <v>1.5</v>
      </c>
      <c r="O222">
        <v>2.9</v>
      </c>
      <c r="P222">
        <v>0.7</v>
      </c>
      <c r="Q222">
        <v>0.2</v>
      </c>
      <c r="R222">
        <v>0.9</v>
      </c>
      <c r="S222">
        <v>8.6</v>
      </c>
      <c r="T222" s="14">
        <f>(J222 - AVERAGE(FG_Range))*I222</f>
        <v>-0.21429850746268686</v>
      </c>
      <c r="U222" s="14">
        <f>(M222 - AVERAGE(FT_RANGE))*L222</f>
        <v>-0.21813307984790919</v>
      </c>
      <c r="V222" s="14">
        <f>(K222 - AVERAGE(Three_Range))/STDEV(Three_Range)</f>
        <v>-0.28291335588598915</v>
      </c>
      <c r="W222" s="14">
        <f>(S222 - AVERAGE(Pts_Range))/STDEV(Pts_Range)</f>
        <v>-0.66415165418571431</v>
      </c>
      <c r="X222" s="14">
        <f>(N222 - AVERAGE(Reb_Range))/STDEV(Reb_Range)</f>
        <v>-1.2941028145459712</v>
      </c>
      <c r="Y222" s="14">
        <f>(O222 - AVERAGE(Ast_Range))/STDEV(Ast_Range)</f>
        <v>4.488846038010133E-2</v>
      </c>
      <c r="Z222" s="14">
        <f>(P222 - AVERAGE(Stl_Range))/STDEV(Stl_Range)</f>
        <v>-0.33102926050727299</v>
      </c>
      <c r="AA222" s="14">
        <f>(Q222 - AVERAGE(Blk_Range))/STDEV(Blk_Range)</f>
        <v>-0.6262176964245999</v>
      </c>
      <c r="AB222" s="14">
        <f>(R222 - AVERAGE(Tov_Range))/STDEV(Tov_Range)*-1</f>
        <v>0.71251846760472104</v>
      </c>
      <c r="AC222" s="14">
        <f>SUM(T222:AB222)</f>
        <v>-2.8734394408753214</v>
      </c>
      <c r="AD222" s="14">
        <v>-2.8734394408753183</v>
      </c>
      <c r="AE222" s="14">
        <f>AD222-AC222</f>
        <v>0</v>
      </c>
      <c r="AF222"/>
      <c r="AG222"/>
      <c r="AH222"/>
      <c r="AI222"/>
      <c r="AJ222"/>
      <c r="AK222"/>
      <c r="AL222"/>
      <c r="AM222"/>
      <c r="AN222"/>
      <c r="AO222"/>
      <c r="AP222"/>
      <c r="AQ222"/>
    </row>
    <row r="223" spans="1:43" x14ac:dyDescent="0.55000000000000004">
      <c r="A223">
        <v>222</v>
      </c>
      <c r="B223" s="7">
        <f t="shared" si="6"/>
        <v>222</v>
      </c>
      <c r="C223" s="7">
        <f t="shared" si="7"/>
        <v>0</v>
      </c>
      <c r="D223" t="s">
        <v>284</v>
      </c>
      <c r="E223" t="s">
        <v>15</v>
      </c>
      <c r="F223" t="s">
        <v>118</v>
      </c>
      <c r="G223">
        <v>2</v>
      </c>
      <c r="H223">
        <v>23</v>
      </c>
      <c r="I223">
        <v>9</v>
      </c>
      <c r="J223">
        <v>0.33300000000000002</v>
      </c>
      <c r="K223">
        <v>1.5</v>
      </c>
      <c r="L223">
        <v>2.5</v>
      </c>
      <c r="M223">
        <v>0.8</v>
      </c>
      <c r="N223">
        <v>6</v>
      </c>
      <c r="O223">
        <v>2.5</v>
      </c>
      <c r="P223">
        <v>0.5</v>
      </c>
      <c r="Q223">
        <v>0</v>
      </c>
      <c r="R223">
        <v>1.5</v>
      </c>
      <c r="S223">
        <v>9.5</v>
      </c>
      <c r="T223" s="14">
        <f>(J223 - AVERAGE(FG_Range))*I223</f>
        <v>-1.1320858208955225</v>
      </c>
      <c r="U223" s="14">
        <f>(M223 - AVERAGE(FT_RANGE))*L223</f>
        <v>9.2167300380227024E-2</v>
      </c>
      <c r="V223" s="14">
        <f>(K223 - AVERAGE(Three_Range))/STDEV(Three_Range)</f>
        <v>2.5301194428826994E-2</v>
      </c>
      <c r="W223" s="14">
        <f>(S223 - AVERAGE(Pts_Range))/STDEV(Pts_Range)</f>
        <v>-0.52015760565574232</v>
      </c>
      <c r="X223" s="14">
        <f>(N223 - AVERAGE(Reb_Range))/STDEV(Reb_Range)</f>
        <v>0.45908522672839747</v>
      </c>
      <c r="Y223" s="14">
        <f>(O223 - AVERAGE(Ast_Range))/STDEV(Ast_Range)</f>
        <v>-0.14993109236268612</v>
      </c>
      <c r="Z223" s="14">
        <f>(P223 - AVERAGE(Stl_Range))/STDEV(Stl_Range)</f>
        <v>-0.75960820647804206</v>
      </c>
      <c r="AA223" s="14">
        <f>(Q223 - AVERAGE(Blk_Range))/STDEV(Blk_Range)</f>
        <v>-0.99506680113183732</v>
      </c>
      <c r="AB223" s="14">
        <f>(R223 - AVERAGE(Tov_Range))/STDEV(Tov_Range)*-1</f>
        <v>8.4032622345043773E-2</v>
      </c>
      <c r="AC223" s="14">
        <f>SUM(T223:AB223)</f>
        <v>-2.8962631826413352</v>
      </c>
      <c r="AD223" s="14">
        <v>-2.896263182641333</v>
      </c>
      <c r="AE223" s="14">
        <f>AD223-AC223</f>
        <v>0</v>
      </c>
      <c r="AF223"/>
      <c r="AG223"/>
      <c r="AH223"/>
      <c r="AI223"/>
      <c r="AJ223"/>
      <c r="AK223"/>
      <c r="AL223"/>
      <c r="AM223"/>
      <c r="AN223"/>
      <c r="AO223"/>
      <c r="AP223"/>
      <c r="AQ223"/>
    </row>
    <row r="224" spans="1:43" x14ac:dyDescent="0.55000000000000004">
      <c r="A224">
        <v>223</v>
      </c>
      <c r="B224" s="7">
        <f t="shared" si="6"/>
        <v>223</v>
      </c>
      <c r="C224" s="7">
        <f t="shared" si="7"/>
        <v>0</v>
      </c>
      <c r="D224" t="s">
        <v>646</v>
      </c>
      <c r="E224" t="s">
        <v>25</v>
      </c>
      <c r="F224" t="s">
        <v>43</v>
      </c>
      <c r="G224">
        <v>8</v>
      </c>
      <c r="H224">
        <v>24.3</v>
      </c>
      <c r="I224">
        <v>8.9</v>
      </c>
      <c r="J224">
        <v>0.42299999999999999</v>
      </c>
      <c r="K224">
        <v>2.2999999999999998</v>
      </c>
      <c r="L224">
        <v>1.5</v>
      </c>
      <c r="M224">
        <v>0.66700000000000004</v>
      </c>
      <c r="N224">
        <v>1.8</v>
      </c>
      <c r="O224">
        <v>0.9</v>
      </c>
      <c r="P224">
        <v>0.3</v>
      </c>
      <c r="Q224">
        <v>0.1</v>
      </c>
      <c r="R224">
        <v>0.5</v>
      </c>
      <c r="S224">
        <v>10.8</v>
      </c>
      <c r="T224" s="14">
        <f>(J224 - AVERAGE(FG_Range))*I224</f>
        <v>-0.31850708955223922</v>
      </c>
      <c r="U224" s="14">
        <f>(M224 - AVERAGE(FT_RANGE))*L224</f>
        <v>-0.1441996197718638</v>
      </c>
      <c r="V224" s="14">
        <f>(K224 - AVERAGE(Three_Range))/STDEV(Three_Range)</f>
        <v>0.84720666193500305</v>
      </c>
      <c r="W224" s="14">
        <f>(S224 - AVERAGE(Pts_Range))/STDEV(Pts_Range)</f>
        <v>-0.31216620222356056</v>
      </c>
      <c r="X224" s="14">
        <f>(N224 - AVERAGE(Reb_Range))/STDEV(Reb_Range)</f>
        <v>-1.1772236117943466</v>
      </c>
      <c r="Y224" s="14">
        <f>(O224 - AVERAGE(Ast_Range))/STDEV(Ast_Range)</f>
        <v>-0.92920930333383611</v>
      </c>
      <c r="Z224" s="14">
        <f>(P224 - AVERAGE(Stl_Range))/STDEV(Stl_Range)</f>
        <v>-1.1881871524488112</v>
      </c>
      <c r="AA224" s="14">
        <f>(Q224 - AVERAGE(Blk_Range))/STDEV(Blk_Range)</f>
        <v>-0.81064224877821867</v>
      </c>
      <c r="AB224" s="14">
        <f>(R224 - AVERAGE(Tov_Range))/STDEV(Tov_Range)*-1</f>
        <v>1.1315090311111724</v>
      </c>
      <c r="AC224" s="14">
        <f>SUM(T224:AB224)</f>
        <v>-2.9014195348567009</v>
      </c>
      <c r="AD224" s="14">
        <v>-2.9014195348567036</v>
      </c>
      <c r="AE224" s="14">
        <f>AD224-AC224</f>
        <v>0</v>
      </c>
      <c r="AF224"/>
      <c r="AG224"/>
      <c r="AH224"/>
      <c r="AI224"/>
      <c r="AJ224"/>
      <c r="AK224"/>
      <c r="AL224"/>
      <c r="AM224"/>
      <c r="AN224"/>
      <c r="AO224"/>
      <c r="AP224"/>
      <c r="AQ224"/>
    </row>
    <row r="225" spans="1:43" x14ac:dyDescent="0.55000000000000004">
      <c r="A225">
        <v>224</v>
      </c>
      <c r="B225" s="7">
        <f t="shared" si="6"/>
        <v>224</v>
      </c>
      <c r="C225" s="7">
        <f t="shared" si="7"/>
        <v>0</v>
      </c>
      <c r="D225" t="s">
        <v>599</v>
      </c>
      <c r="E225" t="s">
        <v>34</v>
      </c>
      <c r="F225" t="s">
        <v>79</v>
      </c>
      <c r="G225">
        <v>11</v>
      </c>
      <c r="H225">
        <v>30.4</v>
      </c>
      <c r="I225">
        <v>11.9</v>
      </c>
      <c r="J225">
        <v>0.374</v>
      </c>
      <c r="K225">
        <v>2.2999999999999998</v>
      </c>
      <c r="L225">
        <v>2</v>
      </c>
      <c r="M225">
        <v>0.81799999999999995</v>
      </c>
      <c r="N225">
        <v>3.6</v>
      </c>
      <c r="O225">
        <v>1.6</v>
      </c>
      <c r="P225">
        <v>0.3</v>
      </c>
      <c r="Q225">
        <v>0.1</v>
      </c>
      <c r="R225">
        <v>1.4</v>
      </c>
      <c r="S225">
        <v>12.8</v>
      </c>
      <c r="T225" s="14">
        <f>(J225 - AVERAGE(FG_Range))*I225</f>
        <v>-1.0089690298507468</v>
      </c>
      <c r="U225" s="14">
        <f>(M225 - AVERAGE(FT_RANGE))*L225</f>
        <v>0.10973384030418143</v>
      </c>
      <c r="V225" s="14">
        <f>(K225 - AVERAGE(Three_Range))/STDEV(Three_Range)</f>
        <v>0.84720666193500305</v>
      </c>
      <c r="W225" s="14">
        <f>(S225 - AVERAGE(Pts_Range))/STDEV(Pts_Range)</f>
        <v>7.8205722874881475E-3</v>
      </c>
      <c r="X225" s="14">
        <f>(N225 - AVERAGE(Reb_Range))/STDEV(Reb_Range)</f>
        <v>-0.47594839528459909</v>
      </c>
      <c r="Y225" s="14">
        <f>(O225 - AVERAGE(Ast_Range))/STDEV(Ast_Range)</f>
        <v>-0.58827508603395795</v>
      </c>
      <c r="Z225" s="14">
        <f>(P225 - AVERAGE(Stl_Range))/STDEV(Stl_Range)</f>
        <v>-1.1881871524488112</v>
      </c>
      <c r="AA225" s="14">
        <f>(Q225 - AVERAGE(Blk_Range))/STDEV(Blk_Range)</f>
        <v>-0.81064224877821867</v>
      </c>
      <c r="AB225" s="14">
        <f>(R225 - AVERAGE(Tov_Range))/STDEV(Tov_Range)*-1</f>
        <v>0.18878026322165675</v>
      </c>
      <c r="AC225" s="14">
        <f>SUM(T225:AB225)</f>
        <v>-2.9184805746480045</v>
      </c>
      <c r="AD225" s="14">
        <v>-2.9184805746480085</v>
      </c>
      <c r="AE225" s="14">
        <f>AD225-AC225</f>
        <v>-3.9968028886505635E-15</v>
      </c>
      <c r="AF225"/>
      <c r="AG225"/>
      <c r="AH225"/>
      <c r="AI225"/>
      <c r="AJ225"/>
      <c r="AK225"/>
      <c r="AL225"/>
      <c r="AM225"/>
      <c r="AN225"/>
      <c r="AO225"/>
      <c r="AP225"/>
      <c r="AQ225"/>
    </row>
    <row r="226" spans="1:43" x14ac:dyDescent="0.55000000000000004">
      <c r="A226">
        <v>225</v>
      </c>
      <c r="B226" s="7">
        <f t="shared" si="6"/>
        <v>225</v>
      </c>
      <c r="C226" s="7">
        <f t="shared" si="7"/>
        <v>0</v>
      </c>
      <c r="D226" t="s">
        <v>214</v>
      </c>
      <c r="E226" t="s">
        <v>46</v>
      </c>
      <c r="F226" t="s">
        <v>75</v>
      </c>
      <c r="G226">
        <v>11</v>
      </c>
      <c r="H226">
        <v>21.4</v>
      </c>
      <c r="I226">
        <v>6.9</v>
      </c>
      <c r="J226">
        <v>0.35499999999999998</v>
      </c>
      <c r="K226">
        <v>0.9</v>
      </c>
      <c r="L226">
        <v>0.5</v>
      </c>
      <c r="M226">
        <v>0.83299999999999996</v>
      </c>
      <c r="N226">
        <v>1.5</v>
      </c>
      <c r="O226">
        <v>2.5</v>
      </c>
      <c r="P226">
        <v>1.1000000000000001</v>
      </c>
      <c r="Q226">
        <v>0.2</v>
      </c>
      <c r="R226">
        <v>0.7</v>
      </c>
      <c r="S226">
        <v>6.3</v>
      </c>
      <c r="T226" s="14">
        <f>(J226 - AVERAGE(FG_Range))*I226</f>
        <v>-0.71613246268656749</v>
      </c>
      <c r="U226" s="14">
        <f>(M226 - AVERAGE(FT_RANGE))*L226</f>
        <v>3.4933460076045364E-2</v>
      </c>
      <c r="V226" s="14">
        <f>(K226 - AVERAGE(Three_Range))/STDEV(Three_Range)</f>
        <v>-0.59112790620080513</v>
      </c>
      <c r="W226" s="14">
        <f>(S226 - AVERAGE(Pts_Range))/STDEV(Pts_Range)</f>
        <v>-1.0321364448734203</v>
      </c>
      <c r="X226" s="14">
        <f>(N226 - AVERAGE(Reb_Range))/STDEV(Reb_Range)</f>
        <v>-1.2941028145459712</v>
      </c>
      <c r="Y226" s="14">
        <f>(O226 - AVERAGE(Ast_Range))/STDEV(Ast_Range)</f>
        <v>-0.14993109236268612</v>
      </c>
      <c r="Z226" s="14">
        <f>(P226 - AVERAGE(Stl_Range))/STDEV(Stl_Range)</f>
        <v>0.52612863143426558</v>
      </c>
      <c r="AA226" s="14">
        <f>(Q226 - AVERAGE(Blk_Range))/STDEV(Blk_Range)</f>
        <v>-0.6262176964245999</v>
      </c>
      <c r="AB226" s="14">
        <f>(R226 - AVERAGE(Tov_Range))/STDEV(Tov_Range)*-1</f>
        <v>0.92201374935794678</v>
      </c>
      <c r="AC226" s="14">
        <f>SUM(T226:AB226)</f>
        <v>-2.9265725762257917</v>
      </c>
      <c r="AD226" s="14">
        <v>-2.9265725762257846</v>
      </c>
      <c r="AE226" s="14">
        <f>AD226-AC226</f>
        <v>7.1054273576010019E-15</v>
      </c>
      <c r="AF226"/>
      <c r="AG226"/>
      <c r="AH226"/>
      <c r="AI226"/>
      <c r="AJ226"/>
      <c r="AK226"/>
      <c r="AL226"/>
      <c r="AM226"/>
      <c r="AN226"/>
      <c r="AO226"/>
      <c r="AP226"/>
      <c r="AQ226"/>
    </row>
    <row r="227" spans="1:43" x14ac:dyDescent="0.55000000000000004">
      <c r="A227">
        <v>226</v>
      </c>
      <c r="B227" s="7">
        <f t="shared" si="6"/>
        <v>226</v>
      </c>
      <c r="C227" s="7">
        <f t="shared" si="7"/>
        <v>0</v>
      </c>
      <c r="D227" t="s">
        <v>251</v>
      </c>
      <c r="E227" t="s">
        <v>46</v>
      </c>
      <c r="F227" t="s">
        <v>49</v>
      </c>
      <c r="G227">
        <v>11</v>
      </c>
      <c r="H227">
        <v>22.4</v>
      </c>
      <c r="I227">
        <v>6.4</v>
      </c>
      <c r="J227">
        <v>0.443</v>
      </c>
      <c r="K227">
        <v>0.6</v>
      </c>
      <c r="L227">
        <v>1.9</v>
      </c>
      <c r="M227">
        <v>0.76200000000000001</v>
      </c>
      <c r="N227">
        <v>2.5</v>
      </c>
      <c r="O227">
        <v>2.6</v>
      </c>
      <c r="P227">
        <v>0.7</v>
      </c>
      <c r="Q227">
        <v>0.5</v>
      </c>
      <c r="R227">
        <v>1.3</v>
      </c>
      <c r="S227">
        <v>7.7</v>
      </c>
      <c r="T227" s="14">
        <f>(J227 - AVERAGE(FG_Range))*I227</f>
        <v>-0.10103880597014943</v>
      </c>
      <c r="U227" s="14">
        <f>(M227 - AVERAGE(FT_RANGE))*L227</f>
        <v>-2.1528517110275258E-3</v>
      </c>
      <c r="V227" s="14">
        <f>(K227 - AVERAGE(Three_Range))/STDEV(Three_Range)</f>
        <v>-0.89934245651562128</v>
      </c>
      <c r="W227" s="14">
        <f>(S227 - AVERAGE(Pts_Range))/STDEV(Pts_Range)</f>
        <v>-0.8081457027156862</v>
      </c>
      <c r="X227" s="14">
        <f>(N227 - AVERAGE(Reb_Range))/STDEV(Reb_Range)</f>
        <v>-0.90450547204055598</v>
      </c>
      <c r="Y227" s="14">
        <f>(O227 - AVERAGE(Ast_Range))/STDEV(Ast_Range)</f>
        <v>-0.1012262041769892</v>
      </c>
      <c r="Z227" s="14">
        <f>(P227 - AVERAGE(Stl_Range))/STDEV(Stl_Range)</f>
        <v>-0.33102926050727299</v>
      </c>
      <c r="AA227" s="14">
        <f>(Q227 - AVERAGE(Blk_Range))/STDEV(Blk_Range)</f>
        <v>-7.2944039363743871E-2</v>
      </c>
      <c r="AB227" s="14">
        <f>(R227 - AVERAGE(Tov_Range))/STDEV(Tov_Range)*-1</f>
        <v>0.29352790409826945</v>
      </c>
      <c r="AC227" s="14">
        <f>SUM(T227:AB227)</f>
        <v>-2.9268568889027771</v>
      </c>
      <c r="AD227" s="14">
        <v>-2.9268568889027717</v>
      </c>
      <c r="AE227" s="14">
        <f>AD227-AC227</f>
        <v>5.3290705182007514E-15</v>
      </c>
      <c r="AF227"/>
      <c r="AG227"/>
      <c r="AH227"/>
      <c r="AI227"/>
      <c r="AJ227"/>
      <c r="AK227"/>
      <c r="AL227"/>
      <c r="AM227"/>
      <c r="AN227"/>
      <c r="AO227"/>
      <c r="AP227"/>
      <c r="AQ227"/>
    </row>
    <row r="228" spans="1:43" x14ac:dyDescent="0.55000000000000004">
      <c r="A228">
        <v>227</v>
      </c>
      <c r="B228" s="7">
        <f t="shared" si="6"/>
        <v>227</v>
      </c>
      <c r="C228" s="7">
        <f t="shared" si="7"/>
        <v>0</v>
      </c>
      <c r="D228" t="s">
        <v>564</v>
      </c>
      <c r="E228" t="s">
        <v>34</v>
      </c>
      <c r="F228" t="s">
        <v>36</v>
      </c>
      <c r="G228">
        <v>8</v>
      </c>
      <c r="H228">
        <v>23.1</v>
      </c>
      <c r="I228">
        <v>6.9</v>
      </c>
      <c r="J228">
        <v>0.436</v>
      </c>
      <c r="K228">
        <v>0.6</v>
      </c>
      <c r="L228">
        <v>2.1</v>
      </c>
      <c r="M228">
        <v>0.47099999999999997</v>
      </c>
      <c r="N228">
        <v>2.4</v>
      </c>
      <c r="O228">
        <v>0.4</v>
      </c>
      <c r="P228">
        <v>0.8</v>
      </c>
      <c r="Q228">
        <v>0.9</v>
      </c>
      <c r="R228">
        <v>0.5</v>
      </c>
      <c r="S228">
        <v>7.6</v>
      </c>
      <c r="T228" s="14">
        <f>(J228 - AVERAGE(FG_Range))*I228</f>
        <v>-0.1572324626865674</v>
      </c>
      <c r="U228" s="14">
        <f>(M228 - AVERAGE(FT_RANGE))*L228</f>
        <v>-0.61347946768060946</v>
      </c>
      <c r="V228" s="14">
        <f>(K228 - AVERAGE(Three_Range))/STDEV(Three_Range)</f>
        <v>-0.89934245651562128</v>
      </c>
      <c r="W228" s="14">
        <f>(S228 - AVERAGE(Pts_Range))/STDEV(Pts_Range)</f>
        <v>-0.82414504144123868</v>
      </c>
      <c r="X228" s="14">
        <f>(N228 - AVERAGE(Reb_Range))/STDEV(Reb_Range)</f>
        <v>-0.94346520629109754</v>
      </c>
      <c r="Y228" s="14">
        <f>(O228 - AVERAGE(Ast_Range))/STDEV(Ast_Range)</f>
        <v>-1.1727337442623205</v>
      </c>
      <c r="Z228" s="14">
        <f>(P228 - AVERAGE(Stl_Range))/STDEV(Stl_Range)</f>
        <v>-0.11673978752188821</v>
      </c>
      <c r="AA228" s="14">
        <f>(Q228 - AVERAGE(Blk_Range))/STDEV(Blk_Range)</f>
        <v>0.6647541700507309</v>
      </c>
      <c r="AB228" s="14">
        <f>(R228 - AVERAGE(Tov_Range))/STDEV(Tov_Range)*-1</f>
        <v>1.1315090311111724</v>
      </c>
      <c r="AC228" s="14">
        <f>SUM(T228:AB228)</f>
        <v>-2.9308749652374395</v>
      </c>
      <c r="AD228" s="14">
        <v>-2.9308749652374315</v>
      </c>
      <c r="AE228" s="14">
        <f>AD228-AC228</f>
        <v>7.9936057773011271E-15</v>
      </c>
      <c r="AF228"/>
      <c r="AG228"/>
      <c r="AH228"/>
      <c r="AI228"/>
      <c r="AJ228"/>
      <c r="AK228"/>
      <c r="AL228"/>
      <c r="AM228"/>
      <c r="AN228"/>
      <c r="AO228"/>
      <c r="AP228"/>
      <c r="AQ228"/>
    </row>
    <row r="229" spans="1:43" x14ac:dyDescent="0.55000000000000004">
      <c r="A229">
        <v>228</v>
      </c>
      <c r="B229" s="7">
        <f t="shared" si="6"/>
        <v>228</v>
      </c>
      <c r="C229" s="7">
        <f t="shared" si="7"/>
        <v>0</v>
      </c>
      <c r="D229" t="s">
        <v>222</v>
      </c>
      <c r="E229" t="s">
        <v>34</v>
      </c>
      <c r="F229" t="s">
        <v>36</v>
      </c>
      <c r="G229">
        <v>4</v>
      </c>
      <c r="H229">
        <v>32.5</v>
      </c>
      <c r="I229">
        <v>6.8</v>
      </c>
      <c r="J229">
        <v>0.37</v>
      </c>
      <c r="K229">
        <v>0.8</v>
      </c>
      <c r="L229">
        <v>2.5</v>
      </c>
      <c r="M229">
        <v>0.7</v>
      </c>
      <c r="N229">
        <v>4.5</v>
      </c>
      <c r="O229">
        <v>2.2999999999999998</v>
      </c>
      <c r="P229">
        <v>0.3</v>
      </c>
      <c r="Q229">
        <v>0.3</v>
      </c>
      <c r="R229">
        <v>0.3</v>
      </c>
      <c r="S229">
        <v>7.5</v>
      </c>
      <c r="T229" s="14">
        <f>(J229 - AVERAGE(FG_Range))*I229</f>
        <v>-0.60375373134328381</v>
      </c>
      <c r="U229" s="14">
        <f>(M229 - AVERAGE(FT_RANGE))*L229</f>
        <v>-0.1578326996197732</v>
      </c>
      <c r="V229" s="14">
        <f>(K229 - AVERAGE(Three_Range))/STDEV(Three_Range)</f>
        <v>-0.69386608963907714</v>
      </c>
      <c r="W229" s="14">
        <f>(S229 - AVERAGE(Pts_Range))/STDEV(Pts_Range)</f>
        <v>-0.84014438016679105</v>
      </c>
      <c r="X229" s="14">
        <f>(N229 - AVERAGE(Reb_Range))/STDEV(Reb_Range)</f>
        <v>-0.1253107870297254</v>
      </c>
      <c r="Y229" s="14">
        <f>(O229 - AVERAGE(Ast_Range))/STDEV(Ast_Range)</f>
        <v>-0.24734086873407995</v>
      </c>
      <c r="Z229" s="14">
        <f>(P229 - AVERAGE(Stl_Range))/STDEV(Stl_Range)</f>
        <v>-1.1881871524488112</v>
      </c>
      <c r="AA229" s="14">
        <f>(Q229 - AVERAGE(Blk_Range))/STDEV(Blk_Range)</f>
        <v>-0.4417931440709813</v>
      </c>
      <c r="AB229" s="14">
        <f>(R229 - AVERAGE(Tov_Range))/STDEV(Tov_Range)*-1</f>
        <v>1.3410043128643983</v>
      </c>
      <c r="AC229" s="14">
        <f>SUM(T229:AB229)</f>
        <v>-2.9572245401881245</v>
      </c>
      <c r="AD229" s="14">
        <v>-2.9572245401881192</v>
      </c>
      <c r="AE229" s="14">
        <f>AD229-AC229</f>
        <v>5.3290705182007514E-15</v>
      </c>
      <c r="AF229"/>
      <c r="AG229"/>
      <c r="AH229"/>
      <c r="AI229"/>
      <c r="AJ229"/>
      <c r="AK229"/>
      <c r="AL229"/>
      <c r="AM229"/>
      <c r="AN229"/>
      <c r="AO229"/>
      <c r="AP229"/>
      <c r="AQ229"/>
    </row>
    <row r="230" spans="1:43" x14ac:dyDescent="0.55000000000000004">
      <c r="A230">
        <v>229</v>
      </c>
      <c r="B230" s="7">
        <f t="shared" si="6"/>
        <v>229</v>
      </c>
      <c r="C230" s="7">
        <f t="shared" si="7"/>
        <v>0</v>
      </c>
      <c r="D230" t="s">
        <v>212</v>
      </c>
      <c r="E230" t="s">
        <v>15</v>
      </c>
      <c r="F230" t="s">
        <v>70</v>
      </c>
      <c r="G230">
        <v>10</v>
      </c>
      <c r="H230">
        <v>17.600000000000001</v>
      </c>
      <c r="I230">
        <v>4.9000000000000004</v>
      </c>
      <c r="J230">
        <v>0.36699999999999999</v>
      </c>
      <c r="K230">
        <v>1.6</v>
      </c>
      <c r="L230">
        <v>0.3</v>
      </c>
      <c r="M230">
        <v>1</v>
      </c>
      <c r="N230">
        <v>2.9</v>
      </c>
      <c r="O230">
        <v>0.6</v>
      </c>
      <c r="P230">
        <v>0.6</v>
      </c>
      <c r="Q230">
        <v>0.4</v>
      </c>
      <c r="R230">
        <v>0.6</v>
      </c>
      <c r="S230">
        <v>5.5</v>
      </c>
      <c r="T230" s="14">
        <f>(J230 - AVERAGE(FG_Range))*I230</f>
        <v>-0.44975783582089573</v>
      </c>
      <c r="U230" s="14">
        <f>(M230 - AVERAGE(FT_RANGE))*L230</f>
        <v>7.1060076045627224E-2</v>
      </c>
      <c r="V230" s="14">
        <f>(K230 - AVERAGE(Three_Range))/STDEV(Three_Range)</f>
        <v>0.12803937786709912</v>
      </c>
      <c r="W230" s="14">
        <f>(S230 - AVERAGE(Pts_Range))/STDEV(Pts_Range)</f>
        <v>-1.1601311546778399</v>
      </c>
      <c r="X230" s="14">
        <f>(N230 - AVERAGE(Reb_Range))/STDEV(Reb_Range)</f>
        <v>-0.74866653503838987</v>
      </c>
      <c r="Y230" s="14">
        <f>(O230 - AVERAGE(Ast_Range))/STDEV(Ast_Range)</f>
        <v>-1.0753239678909268</v>
      </c>
      <c r="Z230" s="14">
        <f>(P230 - AVERAGE(Stl_Range))/STDEV(Stl_Range)</f>
        <v>-0.54531873349265758</v>
      </c>
      <c r="AA230" s="14">
        <f>(Q230 - AVERAGE(Blk_Range))/STDEV(Blk_Range)</f>
        <v>-0.25736859171736254</v>
      </c>
      <c r="AB230" s="14">
        <f>(R230 - AVERAGE(Tov_Range))/STDEV(Tov_Range)*-1</f>
        <v>1.0267613902345596</v>
      </c>
      <c r="AC230" s="14">
        <f>SUM(T230:AB230)</f>
        <v>-3.0107059744907865</v>
      </c>
      <c r="AD230" s="14">
        <v>-3.010705974490782</v>
      </c>
      <c r="AE230" s="14">
        <f>AD230-AC230</f>
        <v>4.4408920985006262E-15</v>
      </c>
      <c r="AF230"/>
      <c r="AG230"/>
      <c r="AH230"/>
      <c r="AI230"/>
      <c r="AJ230"/>
      <c r="AK230"/>
      <c r="AL230"/>
      <c r="AM230"/>
      <c r="AN230"/>
      <c r="AO230"/>
      <c r="AP230"/>
      <c r="AQ230"/>
    </row>
    <row r="231" spans="1:43" x14ac:dyDescent="0.55000000000000004">
      <c r="A231">
        <v>230</v>
      </c>
      <c r="B231" s="7">
        <f t="shared" si="6"/>
        <v>230</v>
      </c>
      <c r="C231" s="7">
        <f t="shared" si="7"/>
        <v>0</v>
      </c>
      <c r="D231" t="s">
        <v>250</v>
      </c>
      <c r="E231" t="s">
        <v>18</v>
      </c>
      <c r="F231" t="s">
        <v>30</v>
      </c>
      <c r="G231">
        <v>11</v>
      </c>
      <c r="H231">
        <v>17.100000000000001</v>
      </c>
      <c r="I231">
        <v>2.2999999999999998</v>
      </c>
      <c r="J231">
        <v>0.76</v>
      </c>
      <c r="K231">
        <v>0</v>
      </c>
      <c r="L231">
        <v>1.4</v>
      </c>
      <c r="M231">
        <v>0.46700000000000003</v>
      </c>
      <c r="N231">
        <v>6.5</v>
      </c>
      <c r="O231">
        <v>1.7</v>
      </c>
      <c r="P231">
        <v>0.2</v>
      </c>
      <c r="Q231">
        <v>1.2</v>
      </c>
      <c r="R231">
        <v>1.9</v>
      </c>
      <c r="S231">
        <v>4.0999999999999996</v>
      </c>
      <c r="T231" s="14">
        <f>(J231 - AVERAGE(FG_Range))*I231</f>
        <v>0.69278917910447746</v>
      </c>
      <c r="U231" s="14">
        <f>(M231 - AVERAGE(FT_RANGE))*L231</f>
        <v>-0.41458631178707289</v>
      </c>
      <c r="V231" s="14">
        <f>(K231 - AVERAGE(Three_Range))/STDEV(Three_Range)</f>
        <v>-1.5157715571452535</v>
      </c>
      <c r="W231" s="14">
        <f>(S231 - AVERAGE(Pts_Range))/STDEV(Pts_Range)</f>
        <v>-1.384121896835574</v>
      </c>
      <c r="X231" s="14">
        <f>(N231 - AVERAGE(Reb_Range))/STDEV(Reb_Range)</f>
        <v>0.65388389798110513</v>
      </c>
      <c r="Y231" s="14">
        <f>(O231 - AVERAGE(Ast_Range))/STDEV(Ast_Range)</f>
        <v>-0.5395701978482611</v>
      </c>
      <c r="Z231" s="14">
        <f>(P231 - AVERAGE(Stl_Range))/STDEV(Stl_Range)</f>
        <v>-1.4024766254341958</v>
      </c>
      <c r="AA231" s="14">
        <f>(Q231 - AVERAGE(Blk_Range))/STDEV(Blk_Range)</f>
        <v>1.218027827111587</v>
      </c>
      <c r="AB231" s="14">
        <f>(R231 - AVERAGE(Tov_Range))/STDEV(Tov_Range)*-1</f>
        <v>-0.33495794116140765</v>
      </c>
      <c r="AC231" s="14">
        <f>SUM(T231:AB231)</f>
        <v>-3.0267836260145953</v>
      </c>
      <c r="AD231" s="14">
        <v>-3.0267836260145895</v>
      </c>
      <c r="AE231" s="14">
        <f>AD231-AC231</f>
        <v>5.773159728050814E-15</v>
      </c>
      <c r="AF231"/>
      <c r="AG231"/>
      <c r="AH231"/>
      <c r="AI231"/>
      <c r="AJ231"/>
      <c r="AK231"/>
      <c r="AL231"/>
      <c r="AM231"/>
      <c r="AN231"/>
      <c r="AO231"/>
      <c r="AP231"/>
      <c r="AQ231"/>
    </row>
    <row r="232" spans="1:43" x14ac:dyDescent="0.55000000000000004">
      <c r="A232">
        <v>231</v>
      </c>
      <c r="B232" s="7">
        <f t="shared" si="6"/>
        <v>231</v>
      </c>
      <c r="C232" s="7">
        <f t="shared" si="7"/>
        <v>0</v>
      </c>
      <c r="D232" t="s">
        <v>602</v>
      </c>
      <c r="E232" t="s">
        <v>25</v>
      </c>
      <c r="F232" t="s">
        <v>59</v>
      </c>
      <c r="G232">
        <v>11</v>
      </c>
      <c r="H232">
        <v>19.899999999999999</v>
      </c>
      <c r="I232">
        <v>5.9</v>
      </c>
      <c r="J232">
        <v>0.41499999999999998</v>
      </c>
      <c r="K232">
        <v>0.8</v>
      </c>
      <c r="L232">
        <v>1.1000000000000001</v>
      </c>
      <c r="M232">
        <v>0.66700000000000004</v>
      </c>
      <c r="N232">
        <v>4.5</v>
      </c>
      <c r="O232">
        <v>1.2</v>
      </c>
      <c r="P232">
        <v>0.3</v>
      </c>
      <c r="Q232">
        <v>0.7</v>
      </c>
      <c r="R232">
        <v>0.9</v>
      </c>
      <c r="S232">
        <v>6.5</v>
      </c>
      <c r="T232" s="14">
        <f>(J232 - AVERAGE(FG_Range))*I232</f>
        <v>-0.25834514925373164</v>
      </c>
      <c r="U232" s="14">
        <f>(M232 - AVERAGE(FT_RANGE))*L232</f>
        <v>-0.10574638783270013</v>
      </c>
      <c r="V232" s="14">
        <f>(K232 - AVERAGE(Three_Range))/STDEV(Three_Range)</f>
        <v>-0.69386608963907714</v>
      </c>
      <c r="W232" s="14">
        <f>(S232 - AVERAGE(Pts_Range))/STDEV(Pts_Range)</f>
        <v>-1.0001377674223155</v>
      </c>
      <c r="X232" s="14">
        <f>(N232 - AVERAGE(Reb_Range))/STDEV(Reb_Range)</f>
        <v>-0.1253107870297254</v>
      </c>
      <c r="Y232" s="14">
        <f>(O232 - AVERAGE(Ast_Range))/STDEV(Ast_Range)</f>
        <v>-0.78309463877674546</v>
      </c>
      <c r="Z232" s="14">
        <f>(P232 - AVERAGE(Stl_Range))/STDEV(Stl_Range)</f>
        <v>-1.1881871524488112</v>
      </c>
      <c r="AA232" s="14">
        <f>(Q232 - AVERAGE(Blk_Range))/STDEV(Blk_Range)</f>
        <v>0.29590506534349342</v>
      </c>
      <c r="AB232" s="14">
        <f>(R232 - AVERAGE(Tov_Range))/STDEV(Tov_Range)*-1</f>
        <v>0.71251846760472104</v>
      </c>
      <c r="AC232" s="14">
        <f>SUM(T232:AB232)</f>
        <v>-3.146264439454892</v>
      </c>
      <c r="AD232" s="14">
        <v>-3.1462644394548875</v>
      </c>
      <c r="AE232" s="14">
        <f>AD232-AC232</f>
        <v>4.4408920985006262E-15</v>
      </c>
      <c r="AF232"/>
      <c r="AG232"/>
      <c r="AH232"/>
      <c r="AI232"/>
      <c r="AJ232"/>
      <c r="AK232"/>
      <c r="AL232"/>
      <c r="AM232"/>
      <c r="AN232"/>
      <c r="AO232"/>
      <c r="AP232"/>
      <c r="AQ232"/>
    </row>
    <row r="233" spans="1:43" x14ac:dyDescent="0.55000000000000004">
      <c r="A233">
        <v>232</v>
      </c>
      <c r="B233" s="7">
        <f t="shared" si="6"/>
        <v>232</v>
      </c>
      <c r="C233" s="7">
        <f t="shared" si="7"/>
        <v>0</v>
      </c>
      <c r="D233" t="s">
        <v>432</v>
      </c>
      <c r="E233" t="s">
        <v>15</v>
      </c>
      <c r="F233" t="s">
        <v>98</v>
      </c>
      <c r="G233">
        <v>8</v>
      </c>
      <c r="H233">
        <v>19.100000000000001</v>
      </c>
      <c r="I233">
        <v>5</v>
      </c>
      <c r="J233">
        <v>0.45</v>
      </c>
      <c r="K233">
        <v>0.9</v>
      </c>
      <c r="L233">
        <v>0.6</v>
      </c>
      <c r="M233">
        <v>0.4</v>
      </c>
      <c r="N233">
        <v>3.6</v>
      </c>
      <c r="O233">
        <v>0.8</v>
      </c>
      <c r="P233">
        <v>0.6</v>
      </c>
      <c r="Q233">
        <v>0.6</v>
      </c>
      <c r="R233">
        <v>0.9</v>
      </c>
      <c r="S233">
        <v>5.6</v>
      </c>
      <c r="T233" s="14">
        <f>(J233 - AVERAGE(FG_Range))*I233</f>
        <v>-4.3936567164179208E-2</v>
      </c>
      <c r="U233" s="14">
        <f>(M233 - AVERAGE(FT_RANGE))*L233</f>
        <v>-0.21787984790874551</v>
      </c>
      <c r="V233" s="14">
        <f>(K233 - AVERAGE(Three_Range))/STDEV(Three_Range)</f>
        <v>-0.59112790620080513</v>
      </c>
      <c r="W233" s="14">
        <f>(S233 - AVERAGE(Pts_Range))/STDEV(Pts_Range)</f>
        <v>-1.1441318159522875</v>
      </c>
      <c r="X233" s="14">
        <f>(N233 - AVERAGE(Reb_Range))/STDEV(Reb_Range)</f>
        <v>-0.47594839528459909</v>
      </c>
      <c r="Y233" s="14">
        <f>(O233 - AVERAGE(Ast_Range))/STDEV(Ast_Range)</f>
        <v>-0.97791419151953307</v>
      </c>
      <c r="Z233" s="14">
        <f>(P233 - AVERAGE(Stl_Range))/STDEV(Stl_Range)</f>
        <v>-0.54531873349265758</v>
      </c>
      <c r="AA233" s="14">
        <f>(Q233 - AVERAGE(Blk_Range))/STDEV(Blk_Range)</f>
        <v>0.11148051298987478</v>
      </c>
      <c r="AB233" s="14">
        <f>(R233 - AVERAGE(Tov_Range))/STDEV(Tov_Range)*-1</f>
        <v>0.71251846760472104</v>
      </c>
      <c r="AC233" s="14">
        <f>SUM(T233:AB233)</f>
        <v>-3.1722584769282114</v>
      </c>
      <c r="AD233" s="14">
        <v>-3.1722584769282052</v>
      </c>
      <c r="AE233" s="14">
        <f>AD233-AC233</f>
        <v>6.2172489379008766E-15</v>
      </c>
      <c r="AF233"/>
      <c r="AG233"/>
      <c r="AH233"/>
      <c r="AI233"/>
      <c r="AJ233"/>
      <c r="AK233"/>
      <c r="AL233"/>
      <c r="AM233"/>
      <c r="AN233"/>
      <c r="AO233"/>
      <c r="AP233"/>
      <c r="AQ233"/>
    </row>
    <row r="234" spans="1:43" x14ac:dyDescent="0.55000000000000004">
      <c r="A234">
        <v>233</v>
      </c>
      <c r="B234" s="7">
        <f t="shared" si="6"/>
        <v>233</v>
      </c>
      <c r="C234" s="7">
        <f t="shared" si="7"/>
        <v>0</v>
      </c>
      <c r="D234" t="s">
        <v>451</v>
      </c>
      <c r="E234" t="s">
        <v>34</v>
      </c>
      <c r="F234" t="s">
        <v>21</v>
      </c>
      <c r="G234">
        <v>8</v>
      </c>
      <c r="H234">
        <v>18.399999999999999</v>
      </c>
      <c r="I234">
        <v>4.8</v>
      </c>
      <c r="J234">
        <v>0.34200000000000003</v>
      </c>
      <c r="K234">
        <v>1.4</v>
      </c>
      <c r="L234">
        <v>0</v>
      </c>
      <c r="M234"/>
      <c r="N234">
        <v>3.1</v>
      </c>
      <c r="O234">
        <v>2</v>
      </c>
      <c r="P234">
        <v>0.6</v>
      </c>
      <c r="Q234">
        <v>0.4</v>
      </c>
      <c r="R234">
        <v>1</v>
      </c>
      <c r="S234">
        <v>4.5999999999999996</v>
      </c>
      <c r="T234" s="14">
        <f>(J234 - AVERAGE(FG_Range))*I234</f>
        <v>-0.56057910447761194</v>
      </c>
      <c r="U234" s="14">
        <f>(M234 - AVERAGE(FT_RANGE))*L234</f>
        <v>0</v>
      </c>
      <c r="V234" s="14">
        <f>(K234 - AVERAGE(Three_Range))/STDEV(Three_Range)</f>
        <v>-7.7436989009445123E-2</v>
      </c>
      <c r="W234" s="14">
        <f>(S234 - AVERAGE(Pts_Range))/STDEV(Pts_Range)</f>
        <v>-1.3041252032078119</v>
      </c>
      <c r="X234" s="14">
        <f>(N234 - AVERAGE(Reb_Range))/STDEV(Reb_Range)</f>
        <v>-0.67074706653730676</v>
      </c>
      <c r="Y234" s="14">
        <f>(O234 - AVERAGE(Ast_Range))/STDEV(Ast_Range)</f>
        <v>-0.3934555332911705</v>
      </c>
      <c r="Z234" s="14">
        <f>(P234 - AVERAGE(Stl_Range))/STDEV(Stl_Range)</f>
        <v>-0.54531873349265758</v>
      </c>
      <c r="AA234" s="14">
        <f>(Q234 - AVERAGE(Blk_Range))/STDEV(Blk_Range)</f>
        <v>-0.25736859171736254</v>
      </c>
      <c r="AB234" s="14">
        <f>(R234 - AVERAGE(Tov_Range))/STDEV(Tov_Range)*-1</f>
        <v>0.60777082672810812</v>
      </c>
      <c r="AC234" s="14">
        <f>SUM(T234:AB234)</f>
        <v>-3.2012603950052587</v>
      </c>
      <c r="AD234" s="14">
        <v>-3.2012603950052552</v>
      </c>
      <c r="AE234" s="14">
        <f>AD234-AC234</f>
        <v>3.5527136788005009E-15</v>
      </c>
      <c r="AF234"/>
      <c r="AG234"/>
      <c r="AH234"/>
      <c r="AI234"/>
      <c r="AJ234"/>
      <c r="AK234"/>
      <c r="AL234"/>
      <c r="AM234"/>
      <c r="AN234"/>
      <c r="AO234"/>
      <c r="AP234"/>
      <c r="AQ234"/>
    </row>
    <row r="235" spans="1:43" x14ac:dyDescent="0.55000000000000004">
      <c r="A235">
        <v>234</v>
      </c>
      <c r="B235" s="7">
        <f t="shared" si="6"/>
        <v>234</v>
      </c>
      <c r="C235" s="7">
        <f t="shared" si="7"/>
        <v>0</v>
      </c>
      <c r="D235" t="s">
        <v>260</v>
      </c>
      <c r="E235" t="s">
        <v>34</v>
      </c>
      <c r="F235" t="s">
        <v>31</v>
      </c>
      <c r="G235">
        <v>11</v>
      </c>
      <c r="H235">
        <v>21.8</v>
      </c>
      <c r="I235">
        <v>7.1</v>
      </c>
      <c r="J235">
        <v>0.41</v>
      </c>
      <c r="K235">
        <v>1.6</v>
      </c>
      <c r="L235">
        <v>0.6</v>
      </c>
      <c r="M235">
        <v>0.71399999999999997</v>
      </c>
      <c r="N235">
        <v>2.8</v>
      </c>
      <c r="O235">
        <v>1</v>
      </c>
      <c r="P235">
        <v>0.4</v>
      </c>
      <c r="Q235">
        <v>0.5</v>
      </c>
      <c r="R235">
        <v>1.2</v>
      </c>
      <c r="S235">
        <v>7.9</v>
      </c>
      <c r="T235" s="14">
        <f>(J235 - AVERAGE(FG_Range))*I235</f>
        <v>-0.34638992537313473</v>
      </c>
      <c r="U235" s="14">
        <f>(M235 - AVERAGE(FT_RANGE))*L235</f>
        <v>-2.9479847908745558E-2</v>
      </c>
      <c r="V235" s="14">
        <f>(K235 - AVERAGE(Three_Range))/STDEV(Three_Range)</f>
        <v>0.12803937786709912</v>
      </c>
      <c r="W235" s="14">
        <f>(S235 - AVERAGE(Pts_Range))/STDEV(Pts_Range)</f>
        <v>-0.77614702526458124</v>
      </c>
      <c r="X235" s="14">
        <f>(N235 - AVERAGE(Reb_Range))/STDEV(Reb_Range)</f>
        <v>-0.78762626928893142</v>
      </c>
      <c r="Y235" s="14">
        <f>(O235 - AVERAGE(Ast_Range))/STDEV(Ast_Range)</f>
        <v>-0.88050441514813926</v>
      </c>
      <c r="Z235" s="14">
        <f>(P235 - AVERAGE(Stl_Range))/STDEV(Stl_Range)</f>
        <v>-0.97389767946342665</v>
      </c>
      <c r="AA235" s="14">
        <f>(Q235 - AVERAGE(Blk_Range))/STDEV(Blk_Range)</f>
        <v>-7.2944039363743871E-2</v>
      </c>
      <c r="AB235" s="14">
        <f>(R235 - AVERAGE(Tov_Range))/STDEV(Tov_Range)*-1</f>
        <v>0.39827554497488243</v>
      </c>
      <c r="AC235" s="14">
        <f>SUM(T235:AB235)</f>
        <v>-3.3406742789687214</v>
      </c>
      <c r="AD235" s="14">
        <v>-3.3406742789687214</v>
      </c>
      <c r="AE235" s="14">
        <f>AD235-AC235</f>
        <v>0</v>
      </c>
      <c r="AF235"/>
      <c r="AG235"/>
      <c r="AH235"/>
      <c r="AI235"/>
      <c r="AJ235"/>
      <c r="AK235"/>
      <c r="AL235"/>
      <c r="AM235"/>
      <c r="AN235"/>
      <c r="AO235"/>
      <c r="AP235"/>
      <c r="AQ235"/>
    </row>
    <row r="236" spans="1:43" x14ac:dyDescent="0.55000000000000004">
      <c r="A236">
        <v>235</v>
      </c>
      <c r="B236" s="7">
        <f t="shared" si="6"/>
        <v>235</v>
      </c>
      <c r="C236" s="7">
        <f t="shared" si="7"/>
        <v>0</v>
      </c>
      <c r="D236" t="s">
        <v>27</v>
      </c>
      <c r="E236" t="s">
        <v>25</v>
      </c>
      <c r="F236" t="s">
        <v>28</v>
      </c>
      <c r="G236">
        <v>9</v>
      </c>
      <c r="H236">
        <v>19.899999999999999</v>
      </c>
      <c r="I236">
        <v>5</v>
      </c>
      <c r="J236">
        <v>0.311</v>
      </c>
      <c r="K236">
        <v>1.1000000000000001</v>
      </c>
      <c r="L236">
        <v>1.2</v>
      </c>
      <c r="M236">
        <v>0.90900000000000003</v>
      </c>
      <c r="N236">
        <v>2.4</v>
      </c>
      <c r="O236">
        <v>1.7</v>
      </c>
      <c r="P236">
        <v>1</v>
      </c>
      <c r="Q236">
        <v>0.1</v>
      </c>
      <c r="R236">
        <v>0.9</v>
      </c>
      <c r="S236">
        <v>5.3</v>
      </c>
      <c r="T236" s="14">
        <f>(J236 - AVERAGE(FG_Range))*I236</f>
        <v>-0.73893656716417921</v>
      </c>
      <c r="U236" s="14">
        <f>(M236 - AVERAGE(FT_RANGE))*L236</f>
        <v>0.17504030418250896</v>
      </c>
      <c r="V236" s="14">
        <f>(K236 - AVERAGE(Three_Range))/STDEV(Three_Range)</f>
        <v>-0.38565153932426105</v>
      </c>
      <c r="W236" s="14">
        <f>(S236 - AVERAGE(Pts_Range))/STDEV(Pts_Range)</f>
        <v>-1.1921298321289446</v>
      </c>
      <c r="X236" s="14">
        <f>(N236 - AVERAGE(Reb_Range))/STDEV(Reb_Range)</f>
        <v>-0.94346520629109754</v>
      </c>
      <c r="Y236" s="14">
        <f>(O236 - AVERAGE(Ast_Range))/STDEV(Ast_Range)</f>
        <v>-0.5395701978482611</v>
      </c>
      <c r="Z236" s="14">
        <f>(P236 - AVERAGE(Stl_Range))/STDEV(Stl_Range)</f>
        <v>0.31183915844888088</v>
      </c>
      <c r="AA236" s="14">
        <f>(Q236 - AVERAGE(Blk_Range))/STDEV(Blk_Range)</f>
        <v>-0.81064224877821867</v>
      </c>
      <c r="AB236" s="14">
        <f>(R236 - AVERAGE(Tov_Range))/STDEV(Tov_Range)*-1</f>
        <v>0.71251846760472104</v>
      </c>
      <c r="AC236" s="14">
        <f>SUM(T236:AB236)</f>
        <v>-3.4109976612988517</v>
      </c>
      <c r="AD236" s="14">
        <v>-3.4109976612988442</v>
      </c>
      <c r="AE236" s="14">
        <f>AD236-AC236</f>
        <v>7.5495165674510645E-15</v>
      </c>
      <c r="AF236"/>
      <c r="AG236"/>
      <c r="AH236"/>
      <c r="AI236"/>
      <c r="AJ236"/>
      <c r="AK236"/>
      <c r="AL236"/>
      <c r="AM236"/>
      <c r="AN236"/>
      <c r="AO236"/>
      <c r="AP236"/>
      <c r="AQ236"/>
    </row>
    <row r="237" spans="1:43" x14ac:dyDescent="0.55000000000000004">
      <c r="A237">
        <v>236</v>
      </c>
      <c r="B237" s="7">
        <f t="shared" si="6"/>
        <v>236</v>
      </c>
      <c r="C237" s="7">
        <f t="shared" si="7"/>
        <v>0</v>
      </c>
      <c r="D237" t="s">
        <v>394</v>
      </c>
      <c r="E237" t="s">
        <v>46</v>
      </c>
      <c r="F237" t="s">
        <v>67</v>
      </c>
      <c r="G237">
        <v>11</v>
      </c>
      <c r="H237">
        <v>19.3</v>
      </c>
      <c r="I237">
        <v>6.5</v>
      </c>
      <c r="J237">
        <v>0.39400000000000002</v>
      </c>
      <c r="K237">
        <v>0.4</v>
      </c>
      <c r="L237">
        <v>1.2</v>
      </c>
      <c r="M237">
        <v>0.38500000000000001</v>
      </c>
      <c r="N237">
        <v>3.4</v>
      </c>
      <c r="O237">
        <v>4</v>
      </c>
      <c r="P237">
        <v>0.6</v>
      </c>
      <c r="Q237">
        <v>0.3</v>
      </c>
      <c r="R237">
        <v>1</v>
      </c>
      <c r="S237">
        <v>5.9</v>
      </c>
      <c r="T237" s="14">
        <f>(J237 - AVERAGE(FG_Range))*I237</f>
        <v>-0.42111753731343293</v>
      </c>
      <c r="U237" s="14">
        <f>(M237 - AVERAGE(FT_RANGE))*L237</f>
        <v>-0.45375969581749104</v>
      </c>
      <c r="V237" s="14">
        <f>(K237 - AVERAGE(Three_Range))/STDEV(Three_Range)</f>
        <v>-1.1048188233921654</v>
      </c>
      <c r="W237" s="14">
        <f>(S237 - AVERAGE(Pts_Range))/STDEV(Pts_Range)</f>
        <v>-1.09613379977563</v>
      </c>
      <c r="X237" s="14">
        <f>(N237 - AVERAGE(Reb_Range))/STDEV(Reb_Range)</f>
        <v>-0.5538678637856822</v>
      </c>
      <c r="Y237" s="14">
        <f>(O237 - AVERAGE(Ast_Range))/STDEV(Ast_Range)</f>
        <v>0.58064223042276697</v>
      </c>
      <c r="Z237" s="14">
        <f>(P237 - AVERAGE(Stl_Range))/STDEV(Stl_Range)</f>
        <v>-0.54531873349265758</v>
      </c>
      <c r="AA237" s="14">
        <f>(Q237 - AVERAGE(Blk_Range))/STDEV(Blk_Range)</f>
        <v>-0.4417931440709813</v>
      </c>
      <c r="AB237" s="14">
        <f>(R237 - AVERAGE(Tov_Range))/STDEV(Tov_Range)*-1</f>
        <v>0.60777082672810812</v>
      </c>
      <c r="AC237" s="14">
        <f>SUM(T237:AB237)</f>
        <v>-3.4283965404971659</v>
      </c>
      <c r="AD237" s="14">
        <v>-3.4283965404971588</v>
      </c>
      <c r="AE237" s="14">
        <f>AD237-AC237</f>
        <v>7.1054273576010019E-15</v>
      </c>
      <c r="AF237"/>
      <c r="AG237"/>
      <c r="AH237"/>
      <c r="AI237"/>
      <c r="AJ237"/>
      <c r="AK237"/>
      <c r="AL237"/>
      <c r="AM237"/>
      <c r="AN237"/>
      <c r="AO237"/>
      <c r="AP237"/>
      <c r="AQ237"/>
    </row>
    <row r="238" spans="1:43" x14ac:dyDescent="0.55000000000000004">
      <c r="A238">
        <v>237</v>
      </c>
      <c r="B238" s="7">
        <f t="shared" si="6"/>
        <v>237</v>
      </c>
      <c r="C238" s="7">
        <f t="shared" si="7"/>
        <v>0</v>
      </c>
      <c r="D238" t="s">
        <v>520</v>
      </c>
      <c r="E238" t="s">
        <v>18</v>
      </c>
      <c r="F238" t="s">
        <v>23</v>
      </c>
      <c r="G238">
        <v>11</v>
      </c>
      <c r="H238">
        <v>19</v>
      </c>
      <c r="I238">
        <v>3.8</v>
      </c>
      <c r="J238">
        <v>0.52400000000000002</v>
      </c>
      <c r="K238">
        <v>0</v>
      </c>
      <c r="L238">
        <v>1.2</v>
      </c>
      <c r="M238">
        <v>0.23100000000000001</v>
      </c>
      <c r="N238">
        <v>5.8</v>
      </c>
      <c r="O238">
        <v>1.9</v>
      </c>
      <c r="P238">
        <v>0.5</v>
      </c>
      <c r="Q238">
        <v>0.5</v>
      </c>
      <c r="R238">
        <v>0.9</v>
      </c>
      <c r="S238">
        <v>4.3</v>
      </c>
      <c r="T238" s="14">
        <f>(J238 - AVERAGE(FG_Range))*I238</f>
        <v>0.24780820895522382</v>
      </c>
      <c r="U238" s="14">
        <f>(M238 - AVERAGE(FT_RANGE))*L238</f>
        <v>-0.63855969581749106</v>
      </c>
      <c r="V238" s="14">
        <f>(K238 - AVERAGE(Three_Range))/STDEV(Three_Range)</f>
        <v>-1.5157715571452535</v>
      </c>
      <c r="W238" s="14">
        <f>(S238 - AVERAGE(Pts_Range))/STDEV(Pts_Range)</f>
        <v>-1.3521232193844692</v>
      </c>
      <c r="X238" s="14">
        <f>(N238 - AVERAGE(Reb_Range))/STDEV(Reb_Range)</f>
        <v>0.38116575822731436</v>
      </c>
      <c r="Y238" s="14">
        <f>(O238 - AVERAGE(Ast_Range))/STDEV(Ast_Range)</f>
        <v>-0.4421604214768674</v>
      </c>
      <c r="Z238" s="14">
        <f>(P238 - AVERAGE(Stl_Range))/STDEV(Stl_Range)</f>
        <v>-0.75960820647804206</v>
      </c>
      <c r="AA238" s="14">
        <f>(Q238 - AVERAGE(Blk_Range))/STDEV(Blk_Range)</f>
        <v>-7.2944039363743871E-2</v>
      </c>
      <c r="AB238" s="14">
        <f>(R238 - AVERAGE(Tov_Range))/STDEV(Tov_Range)*-1</f>
        <v>0.71251846760472104</v>
      </c>
      <c r="AC238" s="14">
        <f>SUM(T238:AB238)</f>
        <v>-3.4396747048786076</v>
      </c>
      <c r="AD238" s="14">
        <v>-3.4396747048785974</v>
      </c>
      <c r="AE238" s="14">
        <f>AD238-AC238</f>
        <v>1.021405182655144E-14</v>
      </c>
      <c r="AF238"/>
      <c r="AG238"/>
      <c r="AH238"/>
      <c r="AI238"/>
      <c r="AJ238"/>
      <c r="AK238"/>
      <c r="AL238"/>
      <c r="AM238"/>
      <c r="AN238"/>
      <c r="AO238"/>
      <c r="AP238"/>
      <c r="AQ238"/>
    </row>
    <row r="239" spans="1:43" x14ac:dyDescent="0.55000000000000004">
      <c r="A239">
        <v>238</v>
      </c>
      <c r="B239" s="7">
        <f t="shared" si="6"/>
        <v>238</v>
      </c>
      <c r="C239" s="7">
        <f t="shared" si="7"/>
        <v>0</v>
      </c>
      <c r="D239" t="s">
        <v>669</v>
      </c>
      <c r="E239" t="s">
        <v>25</v>
      </c>
      <c r="F239" t="s">
        <v>61</v>
      </c>
      <c r="G239">
        <v>10</v>
      </c>
      <c r="H239">
        <v>25.5</v>
      </c>
      <c r="I239">
        <v>13.4</v>
      </c>
      <c r="J239">
        <v>0.38800000000000001</v>
      </c>
      <c r="K239">
        <v>1.6</v>
      </c>
      <c r="L239">
        <v>2.1</v>
      </c>
      <c r="M239">
        <v>0.76200000000000001</v>
      </c>
      <c r="N239">
        <v>2.9</v>
      </c>
      <c r="O239">
        <v>2</v>
      </c>
      <c r="P239">
        <v>0.6</v>
      </c>
      <c r="Q239">
        <v>0.2</v>
      </c>
      <c r="R239">
        <v>2</v>
      </c>
      <c r="S239">
        <v>13.6</v>
      </c>
      <c r="T239" s="14">
        <f>(J239 - AVERAGE(FG_Range))*I239</f>
        <v>-0.94855000000000034</v>
      </c>
      <c r="U239" s="14">
        <f>(M239 - AVERAGE(FT_RANGE))*L239</f>
        <v>-2.3794676806093706E-3</v>
      </c>
      <c r="V239" s="14">
        <f>(K239 - AVERAGE(Three_Range))/STDEV(Three_Range)</f>
        <v>0.12803937786709912</v>
      </c>
      <c r="W239" s="14">
        <f>(S239 - AVERAGE(Pts_Range))/STDEV(Pts_Range)</f>
        <v>0.13581528209190746</v>
      </c>
      <c r="X239" s="14">
        <f>(N239 - AVERAGE(Reb_Range))/STDEV(Reb_Range)</f>
        <v>-0.74866653503838987</v>
      </c>
      <c r="Y239" s="14">
        <f>(O239 - AVERAGE(Ast_Range))/STDEV(Ast_Range)</f>
        <v>-0.3934555332911705</v>
      </c>
      <c r="Z239" s="14">
        <f>(P239 - AVERAGE(Stl_Range))/STDEV(Stl_Range)</f>
        <v>-0.54531873349265758</v>
      </c>
      <c r="AA239" s="14">
        <f>(Q239 - AVERAGE(Blk_Range))/STDEV(Blk_Range)</f>
        <v>-0.6262176964245999</v>
      </c>
      <c r="AB239" s="14">
        <f>(R239 - AVERAGE(Tov_Range))/STDEV(Tov_Range)*-1</f>
        <v>-0.43970558203802057</v>
      </c>
      <c r="AC239" s="14">
        <f>SUM(T239:AB239)</f>
        <v>-3.4404388880064412</v>
      </c>
      <c r="AD239" s="14">
        <v>-3.4404388880064429</v>
      </c>
      <c r="AE239" s="14">
        <f>AD239-AC239</f>
        <v>0</v>
      </c>
      <c r="AF239"/>
      <c r="AG239"/>
      <c r="AH239"/>
      <c r="AI239"/>
      <c r="AJ239"/>
      <c r="AK239"/>
      <c r="AL239"/>
      <c r="AM239"/>
      <c r="AN239"/>
      <c r="AO239"/>
      <c r="AP239"/>
      <c r="AQ239"/>
    </row>
    <row r="240" spans="1:43" x14ac:dyDescent="0.55000000000000004">
      <c r="A240">
        <v>239</v>
      </c>
      <c r="B240" s="7">
        <f t="shared" si="6"/>
        <v>239</v>
      </c>
      <c r="C240" s="7">
        <f t="shared" si="7"/>
        <v>0</v>
      </c>
      <c r="D240" t="s">
        <v>130</v>
      </c>
      <c r="E240" t="s">
        <v>25</v>
      </c>
      <c r="F240" t="s">
        <v>61</v>
      </c>
      <c r="G240">
        <v>10</v>
      </c>
      <c r="H240">
        <v>23.7</v>
      </c>
      <c r="I240">
        <v>7.3</v>
      </c>
      <c r="J240">
        <v>0.438</v>
      </c>
      <c r="K240">
        <v>0.5</v>
      </c>
      <c r="L240">
        <v>1.7</v>
      </c>
      <c r="M240">
        <v>0.58799999999999997</v>
      </c>
      <c r="N240">
        <v>6</v>
      </c>
      <c r="O240">
        <v>1.2</v>
      </c>
      <c r="P240">
        <v>0.6</v>
      </c>
      <c r="Q240">
        <v>0.3</v>
      </c>
      <c r="R240">
        <v>1.6</v>
      </c>
      <c r="S240">
        <v>7.9</v>
      </c>
      <c r="T240" s="14">
        <f>(J240 - AVERAGE(FG_Range))*I240</f>
        <v>-0.15174738805970173</v>
      </c>
      <c r="U240" s="14">
        <f>(M240 - AVERAGE(FT_RANGE))*L240</f>
        <v>-0.29772623574144574</v>
      </c>
      <c r="V240" s="14">
        <f>(K240 - AVERAGE(Three_Range))/STDEV(Three_Range)</f>
        <v>-1.0020806399538933</v>
      </c>
      <c r="W240" s="14">
        <f>(S240 - AVERAGE(Pts_Range))/STDEV(Pts_Range)</f>
        <v>-0.77614702526458124</v>
      </c>
      <c r="X240" s="14">
        <f>(N240 - AVERAGE(Reb_Range))/STDEV(Reb_Range)</f>
        <v>0.45908522672839747</v>
      </c>
      <c r="Y240" s="14">
        <f>(O240 - AVERAGE(Ast_Range))/STDEV(Ast_Range)</f>
        <v>-0.78309463877674546</v>
      </c>
      <c r="Z240" s="14">
        <f>(P240 - AVERAGE(Stl_Range))/STDEV(Stl_Range)</f>
        <v>-0.54531873349265758</v>
      </c>
      <c r="AA240" s="14">
        <f>(Q240 - AVERAGE(Blk_Range))/STDEV(Blk_Range)</f>
        <v>-0.4417931440709813</v>
      </c>
      <c r="AB240" s="14">
        <f>(R240 - AVERAGE(Tov_Range))/STDEV(Tov_Range)*-1</f>
        <v>-2.0715018531569193E-2</v>
      </c>
      <c r="AC240" s="14">
        <f>SUM(T240:AB240)</f>
        <v>-3.5595375971631786</v>
      </c>
      <c r="AD240" s="14">
        <v>-3.5595375971631698</v>
      </c>
      <c r="AE240" s="14">
        <f>AD240-AC240</f>
        <v>8.8817841970012523E-15</v>
      </c>
      <c r="AF240"/>
      <c r="AG240"/>
      <c r="AH240"/>
      <c r="AI240"/>
      <c r="AJ240"/>
      <c r="AK240"/>
      <c r="AL240"/>
      <c r="AM240"/>
      <c r="AN240"/>
      <c r="AO240"/>
      <c r="AP240"/>
      <c r="AQ240"/>
    </row>
    <row r="241" spans="1:43" x14ac:dyDescent="0.55000000000000004">
      <c r="A241">
        <v>240</v>
      </c>
      <c r="B241" s="7">
        <f t="shared" si="6"/>
        <v>240</v>
      </c>
      <c r="C241" s="7">
        <f t="shared" si="7"/>
        <v>0</v>
      </c>
      <c r="D241" t="s">
        <v>255</v>
      </c>
      <c r="E241" t="s">
        <v>25</v>
      </c>
      <c r="F241" t="s">
        <v>72</v>
      </c>
      <c r="G241">
        <v>11</v>
      </c>
      <c r="H241">
        <v>22.9</v>
      </c>
      <c r="I241">
        <v>6.5</v>
      </c>
      <c r="J241">
        <v>0.46500000000000002</v>
      </c>
      <c r="K241">
        <v>1.5</v>
      </c>
      <c r="L241">
        <v>0.8</v>
      </c>
      <c r="M241">
        <v>0.88900000000000001</v>
      </c>
      <c r="N241">
        <v>2.8</v>
      </c>
      <c r="O241">
        <v>1.6</v>
      </c>
      <c r="P241">
        <v>0.3</v>
      </c>
      <c r="Q241">
        <v>0.2</v>
      </c>
      <c r="R241">
        <v>1.5</v>
      </c>
      <c r="S241">
        <v>8.1999999999999993</v>
      </c>
      <c r="T241" s="14">
        <f>(J241 - AVERAGE(FG_Range))*I241</f>
        <v>4.0382462686567117E-2</v>
      </c>
      <c r="U241" s="14">
        <f>(M241 - AVERAGE(FT_RANGE))*L241</f>
        <v>0.10069353612167263</v>
      </c>
      <c r="V241" s="14">
        <f>(K241 - AVERAGE(Three_Range))/STDEV(Three_Range)</f>
        <v>2.5301194428826994E-2</v>
      </c>
      <c r="W241" s="14">
        <f>(S241 - AVERAGE(Pts_Range))/STDEV(Pts_Range)</f>
        <v>-0.72814900908792413</v>
      </c>
      <c r="X241" s="14">
        <f>(N241 - AVERAGE(Reb_Range))/STDEV(Reb_Range)</f>
        <v>-0.78762626928893142</v>
      </c>
      <c r="Y241" s="14">
        <f>(O241 - AVERAGE(Ast_Range))/STDEV(Ast_Range)</f>
        <v>-0.58827508603395795</v>
      </c>
      <c r="Z241" s="14">
        <f>(P241 - AVERAGE(Stl_Range))/STDEV(Stl_Range)</f>
        <v>-1.1881871524488112</v>
      </c>
      <c r="AA241" s="14">
        <f>(Q241 - AVERAGE(Blk_Range))/STDEV(Blk_Range)</f>
        <v>-0.6262176964245999</v>
      </c>
      <c r="AB241" s="14">
        <f>(R241 - AVERAGE(Tov_Range))/STDEV(Tov_Range)*-1</f>
        <v>8.4032622345043773E-2</v>
      </c>
      <c r="AC241" s="14">
        <f>SUM(T241:AB241)</f>
        <v>-3.6680453977021146</v>
      </c>
      <c r="AD241" s="14">
        <v>-3.668045397702115</v>
      </c>
      <c r="AE241" s="14">
        <f>AD241-AC241</f>
        <v>0</v>
      </c>
      <c r="AF241"/>
      <c r="AG241"/>
      <c r="AH241"/>
      <c r="AI241"/>
      <c r="AJ241"/>
      <c r="AK241"/>
      <c r="AL241"/>
      <c r="AM241"/>
      <c r="AN241"/>
      <c r="AO241"/>
      <c r="AP241"/>
      <c r="AQ241"/>
    </row>
    <row r="242" spans="1:43" x14ac:dyDescent="0.55000000000000004">
      <c r="A242">
        <v>241</v>
      </c>
      <c r="B242" s="7">
        <f t="shared" si="6"/>
        <v>241</v>
      </c>
      <c r="C242" s="7">
        <f t="shared" si="7"/>
        <v>0</v>
      </c>
      <c r="D242" t="s">
        <v>429</v>
      </c>
      <c r="E242" t="s">
        <v>25</v>
      </c>
      <c r="F242" t="s">
        <v>23</v>
      </c>
      <c r="G242">
        <v>1</v>
      </c>
      <c r="H242">
        <v>23</v>
      </c>
      <c r="I242">
        <v>9</v>
      </c>
      <c r="J242">
        <v>0.33300000000000002</v>
      </c>
      <c r="K242">
        <v>1</v>
      </c>
      <c r="L242">
        <v>2</v>
      </c>
      <c r="M242">
        <v>1</v>
      </c>
      <c r="N242">
        <v>1</v>
      </c>
      <c r="O242">
        <v>1</v>
      </c>
      <c r="P242">
        <v>0</v>
      </c>
      <c r="Q242">
        <v>2</v>
      </c>
      <c r="R242">
        <v>2</v>
      </c>
      <c r="S242">
        <v>9</v>
      </c>
      <c r="T242" s="14">
        <f>(J242 - AVERAGE(FG_Range))*I242</f>
        <v>-1.1320858208955225</v>
      </c>
      <c r="U242" s="14">
        <f>(M242 - AVERAGE(FT_RANGE))*L242</f>
        <v>0.47373384030418153</v>
      </c>
      <c r="V242" s="14">
        <f>(K242 - AVERAGE(Three_Range))/STDEV(Three_Range)</f>
        <v>-0.48838972276253317</v>
      </c>
      <c r="W242" s="14">
        <f>(S242 - AVERAGE(Pts_Range))/STDEV(Pts_Range)</f>
        <v>-0.6001542992835045</v>
      </c>
      <c r="X242" s="14">
        <f>(N242 - AVERAGE(Reb_Range))/STDEV(Reb_Range)</f>
        <v>-1.4889014857986789</v>
      </c>
      <c r="Y242" s="14">
        <f>(O242 - AVERAGE(Ast_Range))/STDEV(Ast_Range)</f>
        <v>-0.88050441514813926</v>
      </c>
      <c r="Z242" s="14">
        <f>(P242 - AVERAGE(Stl_Range))/STDEV(Stl_Range)</f>
        <v>-1.831055571404965</v>
      </c>
      <c r="AA242" s="14">
        <f>(Q242 - AVERAGE(Blk_Range))/STDEV(Blk_Range)</f>
        <v>2.6934242459405366</v>
      </c>
      <c r="AB242" s="14">
        <f>(R242 - AVERAGE(Tov_Range))/STDEV(Tov_Range)*-1</f>
        <v>-0.43970558203802057</v>
      </c>
      <c r="AC242" s="14">
        <f>SUM(T242:AB242)</f>
        <v>-3.6936388110866458</v>
      </c>
      <c r="AD242" s="14">
        <v>-3.6936388110866516</v>
      </c>
      <c r="AE242" s="14">
        <f>AD242-AC242</f>
        <v>-5.773159728050814E-15</v>
      </c>
      <c r="AF242"/>
      <c r="AG242"/>
      <c r="AH242"/>
      <c r="AI242"/>
      <c r="AJ242"/>
      <c r="AK242"/>
      <c r="AL242"/>
      <c r="AM242"/>
      <c r="AN242"/>
      <c r="AO242"/>
      <c r="AP242"/>
      <c r="AQ242"/>
    </row>
    <row r="243" spans="1:43" x14ac:dyDescent="0.55000000000000004">
      <c r="A243">
        <v>242</v>
      </c>
      <c r="B243" s="7">
        <f t="shared" si="6"/>
        <v>242</v>
      </c>
      <c r="C243" s="7">
        <f t="shared" si="7"/>
        <v>0</v>
      </c>
      <c r="D243" t="s">
        <v>186</v>
      </c>
      <c r="E243" t="s">
        <v>15</v>
      </c>
      <c r="F243" t="s">
        <v>30</v>
      </c>
      <c r="G243">
        <v>12</v>
      </c>
      <c r="H243">
        <v>19.8</v>
      </c>
      <c r="I243">
        <v>4</v>
      </c>
      <c r="J243">
        <v>0.54200000000000004</v>
      </c>
      <c r="K243">
        <v>0.9</v>
      </c>
      <c r="L243">
        <v>0.6</v>
      </c>
      <c r="M243">
        <v>0.71399999999999997</v>
      </c>
      <c r="N243">
        <v>2.6</v>
      </c>
      <c r="O243">
        <v>1</v>
      </c>
      <c r="P243">
        <v>0.5</v>
      </c>
      <c r="Q243">
        <v>0.2</v>
      </c>
      <c r="R243">
        <v>0.8</v>
      </c>
      <c r="S243">
        <v>5.7</v>
      </c>
      <c r="T243" s="14">
        <f>(J243 - AVERAGE(FG_Range))*I243</f>
        <v>0.33285074626865674</v>
      </c>
      <c r="U243" s="14">
        <f>(M243 - AVERAGE(FT_RANGE))*L243</f>
        <v>-2.9479847908745558E-2</v>
      </c>
      <c r="V243" s="14">
        <f>(K243 - AVERAGE(Three_Range))/STDEV(Three_Range)</f>
        <v>-0.59112790620080513</v>
      </c>
      <c r="W243" s="14">
        <f>(S243 - AVERAGE(Pts_Range))/STDEV(Pts_Range)</f>
        <v>-1.1281324772267349</v>
      </c>
      <c r="X243" s="14">
        <f>(N243 - AVERAGE(Reb_Range))/STDEV(Reb_Range)</f>
        <v>-0.86554573779001431</v>
      </c>
      <c r="Y243" s="14">
        <f>(O243 - AVERAGE(Ast_Range))/STDEV(Ast_Range)</f>
        <v>-0.88050441514813926</v>
      </c>
      <c r="Z243" s="14">
        <f>(P243 - AVERAGE(Stl_Range))/STDEV(Stl_Range)</f>
        <v>-0.75960820647804206</v>
      </c>
      <c r="AA243" s="14">
        <f>(Q243 - AVERAGE(Blk_Range))/STDEV(Blk_Range)</f>
        <v>-0.6262176964245999</v>
      </c>
      <c r="AB243" s="14">
        <f>(R243 - AVERAGE(Tov_Range))/STDEV(Tov_Range)*-1</f>
        <v>0.81726610848133385</v>
      </c>
      <c r="AC243" s="14">
        <f>SUM(T243:AB243)</f>
        <v>-3.730499432427091</v>
      </c>
      <c r="AD243" s="14">
        <v>-3.7304994324270853</v>
      </c>
      <c r="AE243" s="14">
        <f>AD243-AC243</f>
        <v>5.773159728050814E-15</v>
      </c>
      <c r="AF243"/>
      <c r="AG243"/>
      <c r="AH243"/>
      <c r="AI243"/>
      <c r="AJ243"/>
      <c r="AK243"/>
      <c r="AL243"/>
      <c r="AM243"/>
      <c r="AN243"/>
      <c r="AO243"/>
      <c r="AP243"/>
      <c r="AQ243"/>
    </row>
    <row r="244" spans="1:43" x14ac:dyDescent="0.55000000000000004">
      <c r="A244">
        <v>243</v>
      </c>
      <c r="B244" s="7">
        <f t="shared" si="6"/>
        <v>243</v>
      </c>
      <c r="C244" s="7">
        <f t="shared" si="7"/>
        <v>0</v>
      </c>
      <c r="D244" t="s">
        <v>110</v>
      </c>
      <c r="E244" t="s">
        <v>25</v>
      </c>
      <c r="F244" t="s">
        <v>33</v>
      </c>
      <c r="G244">
        <v>7</v>
      </c>
      <c r="H244">
        <v>22.9</v>
      </c>
      <c r="I244">
        <v>6.3</v>
      </c>
      <c r="J244">
        <v>0.34100000000000003</v>
      </c>
      <c r="K244">
        <v>0.1</v>
      </c>
      <c r="L244">
        <v>0.9</v>
      </c>
      <c r="M244">
        <v>0.83299999999999996</v>
      </c>
      <c r="N244">
        <v>5.0999999999999996</v>
      </c>
      <c r="O244">
        <v>1.7</v>
      </c>
      <c r="P244">
        <v>0.6</v>
      </c>
      <c r="Q244">
        <v>0.6</v>
      </c>
      <c r="R244">
        <v>1.3</v>
      </c>
      <c r="S244">
        <v>5.0999999999999996</v>
      </c>
      <c r="T244" s="14">
        <f>(J244 - AVERAGE(FG_Range))*I244</f>
        <v>-0.74206007462686574</v>
      </c>
      <c r="U244" s="14">
        <f>(M244 - AVERAGE(FT_RANGE))*L244</f>
        <v>6.2880228136881655E-2</v>
      </c>
      <c r="V244" s="14">
        <f>(K244 - AVERAGE(Three_Range))/STDEV(Three_Range)</f>
        <v>-1.4130333737069813</v>
      </c>
      <c r="W244" s="14">
        <f>(S244 - AVERAGE(Pts_Range))/STDEV(Pts_Range)</f>
        <v>-1.2241285095800496</v>
      </c>
      <c r="X244" s="14">
        <f>(N244 - AVERAGE(Reb_Range))/STDEV(Reb_Range)</f>
        <v>0.1084476184735236</v>
      </c>
      <c r="Y244" s="14">
        <f>(O244 - AVERAGE(Ast_Range))/STDEV(Ast_Range)</f>
        <v>-0.5395701978482611</v>
      </c>
      <c r="Z244" s="14">
        <f>(P244 - AVERAGE(Stl_Range))/STDEV(Stl_Range)</f>
        <v>-0.54531873349265758</v>
      </c>
      <c r="AA244" s="14">
        <f>(Q244 - AVERAGE(Blk_Range))/STDEV(Blk_Range)</f>
        <v>0.11148051298987478</v>
      </c>
      <c r="AB244" s="14">
        <f>(R244 - AVERAGE(Tov_Range))/STDEV(Tov_Range)*-1</f>
        <v>0.29352790409826945</v>
      </c>
      <c r="AC244" s="14">
        <f>SUM(T244:AB244)</f>
        <v>-3.8877746255562666</v>
      </c>
      <c r="AD244" s="14">
        <v>-3.8877746255562573</v>
      </c>
      <c r="AE244" s="14">
        <f>AD244-AC244</f>
        <v>9.3258734068513149E-15</v>
      </c>
      <c r="AF244"/>
      <c r="AG244"/>
      <c r="AH244"/>
      <c r="AI244"/>
      <c r="AJ244"/>
      <c r="AK244"/>
      <c r="AL244"/>
      <c r="AM244"/>
      <c r="AN244"/>
      <c r="AO244"/>
      <c r="AP244"/>
      <c r="AQ244"/>
    </row>
    <row r="245" spans="1:43" x14ac:dyDescent="0.55000000000000004">
      <c r="A245">
        <v>244</v>
      </c>
      <c r="B245" s="7">
        <f t="shared" si="6"/>
        <v>244</v>
      </c>
      <c r="C245" s="7">
        <f t="shared" si="7"/>
        <v>0</v>
      </c>
      <c r="D245" t="s">
        <v>644</v>
      </c>
      <c r="E245" t="s">
        <v>34</v>
      </c>
      <c r="F245" t="s">
        <v>49</v>
      </c>
      <c r="G245">
        <v>8</v>
      </c>
      <c r="H245">
        <v>19.399999999999999</v>
      </c>
      <c r="I245">
        <v>5.3</v>
      </c>
      <c r="J245">
        <v>0.5</v>
      </c>
      <c r="K245">
        <v>0.9</v>
      </c>
      <c r="L245">
        <v>1.8</v>
      </c>
      <c r="M245">
        <v>0.92900000000000005</v>
      </c>
      <c r="N245">
        <v>2.6</v>
      </c>
      <c r="O245">
        <v>1.1000000000000001</v>
      </c>
      <c r="P245">
        <v>0</v>
      </c>
      <c r="Q245">
        <v>0.1</v>
      </c>
      <c r="R245">
        <v>0.4</v>
      </c>
      <c r="S245">
        <v>7.8</v>
      </c>
      <c r="T245" s="14">
        <f>(J245 - AVERAGE(FG_Range))*I245</f>
        <v>0.21842723880596998</v>
      </c>
      <c r="U245" s="14">
        <f>(M245 - AVERAGE(FT_RANGE))*L245</f>
        <v>0.29856045627376349</v>
      </c>
      <c r="V245" s="14">
        <f>(K245 - AVERAGE(Three_Range))/STDEV(Three_Range)</f>
        <v>-0.59112790620080513</v>
      </c>
      <c r="W245" s="14">
        <f>(S245 - AVERAGE(Pts_Range))/STDEV(Pts_Range)</f>
        <v>-0.79214636399013383</v>
      </c>
      <c r="X245" s="14">
        <f>(N245 - AVERAGE(Reb_Range))/STDEV(Reb_Range)</f>
        <v>-0.86554573779001431</v>
      </c>
      <c r="Y245" s="14">
        <f>(O245 - AVERAGE(Ast_Range))/STDEV(Ast_Range)</f>
        <v>-0.8317995269624423</v>
      </c>
      <c r="Z245" s="14">
        <f>(P245 - AVERAGE(Stl_Range))/STDEV(Stl_Range)</f>
        <v>-1.831055571404965</v>
      </c>
      <c r="AA245" s="14">
        <f>(Q245 - AVERAGE(Blk_Range))/STDEV(Blk_Range)</f>
        <v>-0.81064224877821867</v>
      </c>
      <c r="AB245" s="14">
        <f>(R245 - AVERAGE(Tov_Range))/STDEV(Tov_Range)*-1</f>
        <v>1.2362566719877852</v>
      </c>
      <c r="AC245" s="14">
        <f>SUM(T245:AB245)</f>
        <v>-3.9690729880590609</v>
      </c>
      <c r="AD245" s="14">
        <v>-3.969072988059057</v>
      </c>
      <c r="AE245" s="14">
        <f>AD245-AC245</f>
        <v>3.9968028886505635E-15</v>
      </c>
      <c r="AF245"/>
      <c r="AG245"/>
      <c r="AH245"/>
      <c r="AI245"/>
      <c r="AJ245"/>
      <c r="AK245"/>
      <c r="AL245"/>
      <c r="AM245"/>
      <c r="AN245"/>
      <c r="AO245"/>
      <c r="AP245"/>
      <c r="AQ245"/>
    </row>
    <row r="246" spans="1:43" x14ac:dyDescent="0.55000000000000004">
      <c r="A246">
        <v>245</v>
      </c>
      <c r="B246" s="7">
        <f t="shared" si="6"/>
        <v>245</v>
      </c>
      <c r="C246" s="7">
        <f t="shared" si="7"/>
        <v>0</v>
      </c>
      <c r="D246" t="s">
        <v>682</v>
      </c>
      <c r="E246" t="s">
        <v>46</v>
      </c>
      <c r="F246" t="s">
        <v>33</v>
      </c>
      <c r="G246">
        <v>11</v>
      </c>
      <c r="H246">
        <v>23.3</v>
      </c>
      <c r="I246">
        <v>10.1</v>
      </c>
      <c r="J246">
        <v>0.315</v>
      </c>
      <c r="K246">
        <v>0.5</v>
      </c>
      <c r="L246">
        <v>2.8</v>
      </c>
      <c r="M246">
        <v>0.90300000000000002</v>
      </c>
      <c r="N246">
        <v>4.2</v>
      </c>
      <c r="O246">
        <v>3.1</v>
      </c>
      <c r="P246">
        <v>0.5</v>
      </c>
      <c r="Q246">
        <v>0.2</v>
      </c>
      <c r="R246">
        <v>1.5</v>
      </c>
      <c r="S246">
        <v>9.5</v>
      </c>
      <c r="T246" s="14">
        <f>(J246 - AVERAGE(FG_Range))*I246</f>
        <v>-1.4522518656716421</v>
      </c>
      <c r="U246" s="14">
        <f>(M246 - AVERAGE(FT_RANGE))*L246</f>
        <v>0.39162737642585421</v>
      </c>
      <c r="V246" s="14">
        <f>(K246 - AVERAGE(Three_Range))/STDEV(Three_Range)</f>
        <v>-1.0020806399538933</v>
      </c>
      <c r="W246" s="14">
        <f>(S246 - AVERAGE(Pts_Range))/STDEV(Pts_Range)</f>
        <v>-0.52015760565574232</v>
      </c>
      <c r="X246" s="14">
        <f>(N246 - AVERAGE(Reb_Range))/STDEV(Reb_Range)</f>
        <v>-0.24218998978134992</v>
      </c>
      <c r="Y246" s="14">
        <f>(O246 - AVERAGE(Ast_Range))/STDEV(Ast_Range)</f>
        <v>0.14229823675149517</v>
      </c>
      <c r="Z246" s="14">
        <f>(P246 - AVERAGE(Stl_Range))/STDEV(Stl_Range)</f>
        <v>-0.75960820647804206</v>
      </c>
      <c r="AA246" s="14">
        <f>(Q246 - AVERAGE(Blk_Range))/STDEV(Blk_Range)</f>
        <v>-0.6262176964245999</v>
      </c>
      <c r="AB246" s="14">
        <f>(R246 - AVERAGE(Tov_Range))/STDEV(Tov_Range)*-1</f>
        <v>8.4032622345043773E-2</v>
      </c>
      <c r="AC246" s="14">
        <f>SUM(T246:AB246)</f>
        <v>-3.9845477684428774</v>
      </c>
      <c r="AD246" s="14">
        <v>-3.9845477684428721</v>
      </c>
      <c r="AE246" s="14">
        <f>AD246-AC246</f>
        <v>5.3290705182007514E-15</v>
      </c>
      <c r="AF246"/>
      <c r="AG246"/>
      <c r="AH246"/>
      <c r="AI246"/>
      <c r="AJ246"/>
      <c r="AK246"/>
      <c r="AL246"/>
      <c r="AM246"/>
      <c r="AN246"/>
      <c r="AO246"/>
      <c r="AP246"/>
      <c r="AQ246"/>
    </row>
    <row r="247" spans="1:43" x14ac:dyDescent="0.55000000000000004">
      <c r="A247">
        <v>246</v>
      </c>
      <c r="B247" s="7">
        <f t="shared" si="6"/>
        <v>246</v>
      </c>
      <c r="C247" s="7">
        <f t="shared" si="7"/>
        <v>0</v>
      </c>
      <c r="D247" t="s">
        <v>150</v>
      </c>
      <c r="E247" t="s">
        <v>34</v>
      </c>
      <c r="F247" t="s">
        <v>33</v>
      </c>
      <c r="G247">
        <v>4</v>
      </c>
      <c r="H247">
        <v>18</v>
      </c>
      <c r="I247">
        <v>4.5</v>
      </c>
      <c r="J247">
        <v>0.38900000000000001</v>
      </c>
      <c r="K247">
        <v>0.3</v>
      </c>
      <c r="L247">
        <v>1</v>
      </c>
      <c r="M247">
        <v>1</v>
      </c>
      <c r="N247">
        <v>2.2999999999999998</v>
      </c>
      <c r="O247">
        <v>1.3</v>
      </c>
      <c r="P247">
        <v>1.3</v>
      </c>
      <c r="Q247">
        <v>0</v>
      </c>
      <c r="R247">
        <v>1.3</v>
      </c>
      <c r="S247">
        <v>4.8</v>
      </c>
      <c r="T247" s="14">
        <f>(J247 - AVERAGE(FG_Range))*I247</f>
        <v>-0.31404291044776128</v>
      </c>
      <c r="U247" s="14">
        <f>(M247 - AVERAGE(FT_RANGE))*L247</f>
        <v>0.23686692015209077</v>
      </c>
      <c r="V247" s="14">
        <f>(K247 - AVERAGE(Three_Range))/STDEV(Three_Range)</f>
        <v>-1.2075570068304373</v>
      </c>
      <c r="W247" s="14">
        <f>(S247 - AVERAGE(Pts_Range))/STDEV(Pts_Range)</f>
        <v>-1.2721265257567069</v>
      </c>
      <c r="X247" s="14">
        <f>(N247 - AVERAGE(Reb_Range))/STDEV(Reb_Range)</f>
        <v>-0.98242494054163909</v>
      </c>
      <c r="Y247" s="14">
        <f>(O247 - AVERAGE(Ast_Range))/STDEV(Ast_Range)</f>
        <v>-0.73438975059104861</v>
      </c>
      <c r="Z247" s="14">
        <f>(P247 - AVERAGE(Stl_Range))/STDEV(Stl_Range)</f>
        <v>0.95470757740503476</v>
      </c>
      <c r="AA247" s="14">
        <f>(Q247 - AVERAGE(Blk_Range))/STDEV(Blk_Range)</f>
        <v>-0.99506680113183732</v>
      </c>
      <c r="AB247" s="14">
        <f>(R247 - AVERAGE(Tov_Range))/STDEV(Tov_Range)*-1</f>
        <v>0.29352790409826945</v>
      </c>
      <c r="AC247" s="14">
        <f>SUM(T247:AB247)</f>
        <v>-4.0205055336440356</v>
      </c>
      <c r="AD247" s="14">
        <v>-4.0205055336440223</v>
      </c>
      <c r="AE247" s="14">
        <f>AD247-AC247</f>
        <v>1.3322676295501878E-14</v>
      </c>
      <c r="AF247"/>
      <c r="AG247"/>
      <c r="AH247"/>
      <c r="AI247"/>
      <c r="AJ247"/>
      <c r="AK247"/>
      <c r="AL247"/>
      <c r="AM247"/>
      <c r="AN247"/>
      <c r="AO247"/>
      <c r="AP247"/>
      <c r="AQ247"/>
    </row>
    <row r="248" spans="1:43" x14ac:dyDescent="0.55000000000000004">
      <c r="A248">
        <v>247</v>
      </c>
      <c r="B248" s="7">
        <f t="shared" si="6"/>
        <v>247</v>
      </c>
      <c r="C248" s="7">
        <f t="shared" si="7"/>
        <v>0</v>
      </c>
      <c r="D248" t="s">
        <v>672</v>
      </c>
      <c r="E248" t="s">
        <v>25</v>
      </c>
      <c r="F248" t="s">
        <v>118</v>
      </c>
      <c r="G248">
        <v>7</v>
      </c>
      <c r="H248">
        <v>36</v>
      </c>
      <c r="I248">
        <v>8</v>
      </c>
      <c r="J248">
        <v>0.39300000000000002</v>
      </c>
      <c r="K248">
        <v>0.9</v>
      </c>
      <c r="L248">
        <v>1.7</v>
      </c>
      <c r="M248">
        <v>0.5</v>
      </c>
      <c r="N248">
        <v>2.1</v>
      </c>
      <c r="O248">
        <v>2</v>
      </c>
      <c r="P248">
        <v>1</v>
      </c>
      <c r="Q248">
        <v>0.3</v>
      </c>
      <c r="R248">
        <v>1.7</v>
      </c>
      <c r="S248">
        <v>8</v>
      </c>
      <c r="T248" s="14">
        <f>(J248 - AVERAGE(FG_Range))*I248</f>
        <v>-0.52629850746268669</v>
      </c>
      <c r="U248" s="14">
        <f>(M248 - AVERAGE(FT_RANGE))*L248</f>
        <v>-0.4473262357414457</v>
      </c>
      <c r="V248" s="14">
        <f>(K248 - AVERAGE(Three_Range))/STDEV(Three_Range)</f>
        <v>-0.59112790620080513</v>
      </c>
      <c r="W248" s="14">
        <f>(S248 - AVERAGE(Pts_Range))/STDEV(Pts_Range)</f>
        <v>-0.76014768653902887</v>
      </c>
      <c r="X248" s="14">
        <f>(N248 - AVERAGE(Reb_Range))/STDEV(Reb_Range)</f>
        <v>-1.0603444090427221</v>
      </c>
      <c r="Y248" s="14">
        <f>(O248 - AVERAGE(Ast_Range))/STDEV(Ast_Range)</f>
        <v>-0.3934555332911705</v>
      </c>
      <c r="Z248" s="14">
        <f>(P248 - AVERAGE(Stl_Range))/STDEV(Stl_Range)</f>
        <v>0.31183915844888088</v>
      </c>
      <c r="AA248" s="14">
        <f>(Q248 - AVERAGE(Blk_Range))/STDEV(Blk_Range)</f>
        <v>-0.4417931440709813</v>
      </c>
      <c r="AB248" s="14">
        <f>(R248 - AVERAGE(Tov_Range))/STDEV(Tov_Range)*-1</f>
        <v>-0.12546265940818194</v>
      </c>
      <c r="AC248" s="14">
        <f>SUM(T248:AB248)</f>
        <v>-4.034116923308142</v>
      </c>
      <c r="AD248" s="14">
        <v>-4.0341169233081358</v>
      </c>
      <c r="AE248" s="14">
        <f>AD248-AC248</f>
        <v>0</v>
      </c>
      <c r="AF248"/>
      <c r="AG248"/>
      <c r="AH248"/>
      <c r="AI248"/>
      <c r="AJ248"/>
      <c r="AK248"/>
      <c r="AL248"/>
      <c r="AM248"/>
      <c r="AN248"/>
      <c r="AO248"/>
      <c r="AP248"/>
      <c r="AQ248"/>
    </row>
    <row r="249" spans="1:43" x14ac:dyDescent="0.55000000000000004">
      <c r="A249">
        <v>248</v>
      </c>
      <c r="B249" s="7">
        <f t="shared" si="6"/>
        <v>248</v>
      </c>
      <c r="C249" s="7">
        <f t="shared" si="7"/>
        <v>0</v>
      </c>
      <c r="D249" t="s">
        <v>50</v>
      </c>
      <c r="E249" t="s">
        <v>46</v>
      </c>
      <c r="F249" t="s">
        <v>38</v>
      </c>
      <c r="G249">
        <v>10</v>
      </c>
      <c r="H249">
        <v>18</v>
      </c>
      <c r="I249">
        <v>5.2</v>
      </c>
      <c r="J249">
        <v>0.34599999999999997</v>
      </c>
      <c r="K249">
        <v>1.3</v>
      </c>
      <c r="L249">
        <v>1.1000000000000001</v>
      </c>
      <c r="M249">
        <v>1</v>
      </c>
      <c r="N249">
        <v>1.3</v>
      </c>
      <c r="O249">
        <v>2.9</v>
      </c>
      <c r="P249">
        <v>0.5</v>
      </c>
      <c r="Q249">
        <v>0</v>
      </c>
      <c r="R249">
        <v>1</v>
      </c>
      <c r="S249">
        <v>6</v>
      </c>
      <c r="T249" s="14">
        <f>(J249 - AVERAGE(FG_Range))*I249</f>
        <v>-0.58649402985074661</v>
      </c>
      <c r="U249" s="14">
        <f>(M249 - AVERAGE(FT_RANGE))*L249</f>
        <v>0.26055361216729989</v>
      </c>
      <c r="V249" s="14">
        <f>(K249 - AVERAGE(Three_Range))/STDEV(Three_Range)</f>
        <v>-0.18017517244771702</v>
      </c>
      <c r="W249" s="14">
        <f>(S249 - AVERAGE(Pts_Range))/STDEV(Pts_Range)</f>
        <v>-1.0801344610500776</v>
      </c>
      <c r="X249" s="14">
        <f>(N249 - AVERAGE(Reb_Range))/STDEV(Reb_Range)</f>
        <v>-1.3720222830470543</v>
      </c>
      <c r="Y249" s="14">
        <f>(O249 - AVERAGE(Ast_Range))/STDEV(Ast_Range)</f>
        <v>4.488846038010133E-2</v>
      </c>
      <c r="Z249" s="14">
        <f>(P249 - AVERAGE(Stl_Range))/STDEV(Stl_Range)</f>
        <v>-0.75960820647804206</v>
      </c>
      <c r="AA249" s="14">
        <f>(Q249 - AVERAGE(Blk_Range))/STDEV(Blk_Range)</f>
        <v>-0.99506680113183732</v>
      </c>
      <c r="AB249" s="14">
        <f>(R249 - AVERAGE(Tov_Range))/STDEV(Tov_Range)*-1</f>
        <v>0.60777082672810812</v>
      </c>
      <c r="AC249" s="14">
        <f>SUM(T249:AB249)</f>
        <v>-4.0602880547299645</v>
      </c>
      <c r="AD249" s="14">
        <v>-4.0602880547299636</v>
      </c>
      <c r="AE249" s="14">
        <f>AD249-AC249</f>
        <v>0</v>
      </c>
      <c r="AF249"/>
      <c r="AG249"/>
      <c r="AH249"/>
      <c r="AI249"/>
      <c r="AJ249"/>
      <c r="AK249"/>
      <c r="AL249"/>
      <c r="AM249"/>
      <c r="AN249"/>
      <c r="AO249"/>
      <c r="AP249"/>
      <c r="AQ249"/>
    </row>
    <row r="250" spans="1:43" x14ac:dyDescent="0.55000000000000004">
      <c r="A250">
        <v>249</v>
      </c>
      <c r="B250" s="7">
        <f t="shared" si="6"/>
        <v>249</v>
      </c>
      <c r="C250" s="7">
        <f t="shared" si="7"/>
        <v>0</v>
      </c>
      <c r="D250" t="s">
        <v>53</v>
      </c>
      <c r="E250" t="s">
        <v>25</v>
      </c>
      <c r="F250" t="s">
        <v>33</v>
      </c>
      <c r="G250">
        <v>11</v>
      </c>
      <c r="H250">
        <v>25.3</v>
      </c>
      <c r="I250">
        <v>8.8000000000000007</v>
      </c>
      <c r="J250">
        <v>0.443</v>
      </c>
      <c r="K250">
        <v>0.6</v>
      </c>
      <c r="L250">
        <v>1.2</v>
      </c>
      <c r="M250">
        <v>0.69199999999999995</v>
      </c>
      <c r="N250">
        <v>3</v>
      </c>
      <c r="O250">
        <v>0.9</v>
      </c>
      <c r="P250">
        <v>0.4</v>
      </c>
      <c r="Q250">
        <v>0.2</v>
      </c>
      <c r="R250">
        <v>0.8</v>
      </c>
      <c r="S250">
        <v>9.3000000000000007</v>
      </c>
      <c r="T250" s="14">
        <f>(J250 - AVERAGE(FG_Range))*I250</f>
        <v>-0.13892835820895547</v>
      </c>
      <c r="U250" s="14">
        <f>(M250 - AVERAGE(FT_RANGE))*L250</f>
        <v>-8.5359695817491144E-2</v>
      </c>
      <c r="V250" s="14">
        <f>(K250 - AVERAGE(Three_Range))/STDEV(Three_Range)</f>
        <v>-0.89934245651562128</v>
      </c>
      <c r="W250" s="14">
        <f>(S250 - AVERAGE(Pts_Range))/STDEV(Pts_Range)</f>
        <v>-0.55215628310684717</v>
      </c>
      <c r="X250" s="14">
        <f>(N250 - AVERAGE(Reb_Range))/STDEV(Reb_Range)</f>
        <v>-0.70970680078784831</v>
      </c>
      <c r="Y250" s="14">
        <f>(O250 - AVERAGE(Ast_Range))/STDEV(Ast_Range)</f>
        <v>-0.92920930333383611</v>
      </c>
      <c r="Z250" s="14">
        <f>(P250 - AVERAGE(Stl_Range))/STDEV(Stl_Range)</f>
        <v>-0.97389767946342665</v>
      </c>
      <c r="AA250" s="14">
        <f>(Q250 - AVERAGE(Blk_Range))/STDEV(Blk_Range)</f>
        <v>-0.6262176964245999</v>
      </c>
      <c r="AB250" s="14">
        <f>(R250 - AVERAGE(Tov_Range))/STDEV(Tov_Range)*-1</f>
        <v>0.81726610848133385</v>
      </c>
      <c r="AC250" s="14">
        <f>SUM(T250:AB250)</f>
        <v>-4.0975521651772917</v>
      </c>
      <c r="AD250" s="14">
        <v>-4.0975521651772855</v>
      </c>
      <c r="AE250" s="14">
        <f>AD250-AC250</f>
        <v>0</v>
      </c>
      <c r="AF250"/>
      <c r="AG250"/>
      <c r="AH250"/>
      <c r="AI250"/>
      <c r="AJ250"/>
      <c r="AK250"/>
      <c r="AL250"/>
      <c r="AM250"/>
      <c r="AN250"/>
      <c r="AO250"/>
      <c r="AP250"/>
      <c r="AQ250"/>
    </row>
    <row r="251" spans="1:43" x14ac:dyDescent="0.55000000000000004">
      <c r="A251">
        <v>250</v>
      </c>
      <c r="B251" s="7">
        <f t="shared" si="6"/>
        <v>250</v>
      </c>
      <c r="C251" s="7">
        <f t="shared" si="7"/>
        <v>0</v>
      </c>
      <c r="D251" t="s">
        <v>397</v>
      </c>
      <c r="E251" t="s">
        <v>34</v>
      </c>
      <c r="F251" t="s">
        <v>21</v>
      </c>
      <c r="G251">
        <v>2</v>
      </c>
      <c r="H251">
        <v>18</v>
      </c>
      <c r="I251">
        <v>6</v>
      </c>
      <c r="J251">
        <v>0.5</v>
      </c>
      <c r="K251">
        <v>1.5</v>
      </c>
      <c r="L251">
        <v>0</v>
      </c>
      <c r="M251"/>
      <c r="N251">
        <v>0.5</v>
      </c>
      <c r="O251">
        <v>1</v>
      </c>
      <c r="P251">
        <v>0</v>
      </c>
      <c r="Q251">
        <v>0</v>
      </c>
      <c r="R251">
        <v>0</v>
      </c>
      <c r="S251">
        <v>7.5</v>
      </c>
      <c r="T251" s="14">
        <f>(J251 - AVERAGE(FG_Range))*I251</f>
        <v>0.24727611940298488</v>
      </c>
      <c r="U251" s="14">
        <f>(M251 - AVERAGE(FT_RANGE))*L251</f>
        <v>0</v>
      </c>
      <c r="V251" s="14">
        <f>(K251 - AVERAGE(Three_Range))/STDEV(Three_Range)</f>
        <v>2.5301194428826994E-2</v>
      </c>
      <c r="W251" s="14">
        <f>(S251 - AVERAGE(Pts_Range))/STDEV(Pts_Range)</f>
        <v>-0.84014438016679105</v>
      </c>
      <c r="X251" s="14">
        <f>(N251 - AVERAGE(Reb_Range))/STDEV(Reb_Range)</f>
        <v>-1.6837001570513865</v>
      </c>
      <c r="Y251" s="14">
        <f>(O251 - AVERAGE(Ast_Range))/STDEV(Ast_Range)</f>
        <v>-0.88050441514813926</v>
      </c>
      <c r="Z251" s="14">
        <f>(P251 - AVERAGE(Stl_Range))/STDEV(Stl_Range)</f>
        <v>-1.831055571404965</v>
      </c>
      <c r="AA251" s="14">
        <f>(Q251 - AVERAGE(Blk_Range))/STDEV(Blk_Range)</f>
        <v>-0.99506680113183732</v>
      </c>
      <c r="AB251" s="14">
        <f>(R251 - AVERAGE(Tov_Range))/STDEV(Tov_Range)*-1</f>
        <v>1.6552472354942369</v>
      </c>
      <c r="AC251" s="14">
        <f>SUM(T251:AB251)</f>
        <v>-4.3026467755770703</v>
      </c>
      <c r="AD251" s="14">
        <v>-4.3026467755770703</v>
      </c>
      <c r="AE251" s="14">
        <f>AD251-AC251</f>
        <v>0</v>
      </c>
      <c r="AF251"/>
      <c r="AG251"/>
      <c r="AH251"/>
      <c r="AI251"/>
      <c r="AJ251"/>
      <c r="AK251"/>
      <c r="AL251"/>
      <c r="AM251"/>
      <c r="AN251"/>
      <c r="AO251"/>
      <c r="AP251"/>
      <c r="AQ251"/>
    </row>
    <row r="252" spans="1:43" x14ac:dyDescent="0.55000000000000004">
      <c r="A252">
        <v>251</v>
      </c>
      <c r="B252" s="7">
        <f t="shared" si="6"/>
        <v>251</v>
      </c>
      <c r="C252" s="7">
        <f t="shared" si="7"/>
        <v>0</v>
      </c>
      <c r="D252" t="s">
        <v>680</v>
      </c>
      <c r="E252" t="s">
        <v>15</v>
      </c>
      <c r="F252" t="s">
        <v>21</v>
      </c>
      <c r="G252">
        <v>9</v>
      </c>
      <c r="H252">
        <v>17.399999999999999</v>
      </c>
      <c r="I252">
        <v>5.4</v>
      </c>
      <c r="J252">
        <v>0.61199999999999999</v>
      </c>
      <c r="K252">
        <v>0</v>
      </c>
      <c r="L252">
        <v>2.9</v>
      </c>
      <c r="M252">
        <v>0.57699999999999996</v>
      </c>
      <c r="N252">
        <v>5.3</v>
      </c>
      <c r="O252">
        <v>1</v>
      </c>
      <c r="P252">
        <v>0.2</v>
      </c>
      <c r="Q252">
        <v>0.4</v>
      </c>
      <c r="R252">
        <v>1.6</v>
      </c>
      <c r="S252">
        <v>8.3000000000000007</v>
      </c>
      <c r="T252" s="14">
        <f>(J252 - AVERAGE(FG_Range))*I252</f>
        <v>0.8273485074626864</v>
      </c>
      <c r="U252" s="14">
        <f>(M252 - AVERAGE(FT_RANGE))*L252</f>
        <v>-0.53978593155893684</v>
      </c>
      <c r="V252" s="14">
        <f>(K252 - AVERAGE(Three_Range))/STDEV(Three_Range)</f>
        <v>-1.5157715571452535</v>
      </c>
      <c r="W252" s="14">
        <f>(S252 - AVERAGE(Pts_Range))/STDEV(Pts_Range)</f>
        <v>-0.71214967036237153</v>
      </c>
      <c r="X252" s="14">
        <f>(N252 - AVERAGE(Reb_Range))/STDEV(Reb_Range)</f>
        <v>0.18636708697460674</v>
      </c>
      <c r="Y252" s="14">
        <f>(O252 - AVERAGE(Ast_Range))/STDEV(Ast_Range)</f>
        <v>-0.88050441514813926</v>
      </c>
      <c r="Z252" s="14">
        <f>(P252 - AVERAGE(Stl_Range))/STDEV(Stl_Range)</f>
        <v>-1.4024766254341958</v>
      </c>
      <c r="AA252" s="14">
        <f>(Q252 - AVERAGE(Blk_Range))/STDEV(Blk_Range)</f>
        <v>-0.25736859171736254</v>
      </c>
      <c r="AB252" s="14">
        <f>(R252 - AVERAGE(Tov_Range))/STDEV(Tov_Range)*-1</f>
        <v>-2.0715018531569193E-2</v>
      </c>
      <c r="AC252" s="14">
        <f>SUM(T252:AB252)</f>
        <v>-4.3150562154605359</v>
      </c>
      <c r="AD252" s="14">
        <v>-4.3150562154605279</v>
      </c>
      <c r="AE252" s="14">
        <f>AD252-AC252</f>
        <v>7.9936057773011271E-15</v>
      </c>
      <c r="AF252"/>
      <c r="AG252"/>
      <c r="AH252"/>
      <c r="AI252"/>
      <c r="AJ252"/>
      <c r="AK252"/>
      <c r="AL252"/>
      <c r="AM252"/>
      <c r="AN252"/>
      <c r="AO252"/>
      <c r="AP252"/>
      <c r="AQ252"/>
    </row>
    <row r="253" spans="1:43" x14ac:dyDescent="0.55000000000000004">
      <c r="A253">
        <v>252</v>
      </c>
      <c r="B253" s="7">
        <f t="shared" si="6"/>
        <v>252</v>
      </c>
      <c r="C253" s="7">
        <f t="shared" si="7"/>
        <v>0</v>
      </c>
      <c r="D253" t="s">
        <v>705</v>
      </c>
      <c r="E253" t="s">
        <v>25</v>
      </c>
      <c r="F253" t="s">
        <v>80</v>
      </c>
      <c r="G253">
        <v>7</v>
      </c>
      <c r="H253">
        <v>17.3</v>
      </c>
      <c r="I253">
        <v>6.7</v>
      </c>
      <c r="J253">
        <v>0.40400000000000003</v>
      </c>
      <c r="K253">
        <v>1.1000000000000001</v>
      </c>
      <c r="L253">
        <v>0.9</v>
      </c>
      <c r="M253">
        <v>0.33300000000000002</v>
      </c>
      <c r="N253">
        <v>1</v>
      </c>
      <c r="O253">
        <v>1.7</v>
      </c>
      <c r="P253">
        <v>0.1</v>
      </c>
      <c r="Q253">
        <v>0.4</v>
      </c>
      <c r="R253">
        <v>0.1</v>
      </c>
      <c r="S253">
        <v>6.9</v>
      </c>
      <c r="T253" s="14">
        <f>(J253 - AVERAGE(FG_Range))*I253</f>
        <v>-0.36707500000000004</v>
      </c>
      <c r="U253" s="14">
        <f>(M253 - AVERAGE(FT_RANGE))*L253</f>
        <v>-0.3871197718631183</v>
      </c>
      <c r="V253" s="14">
        <f>(K253 - AVERAGE(Three_Range))/STDEV(Three_Range)</f>
        <v>-0.38565153932426105</v>
      </c>
      <c r="W253" s="14">
        <f>(S253 - AVERAGE(Pts_Range))/STDEV(Pts_Range)</f>
        <v>-0.9361404125201056</v>
      </c>
      <c r="X253" s="14">
        <f>(N253 - AVERAGE(Reb_Range))/STDEV(Reb_Range)</f>
        <v>-1.4889014857986789</v>
      </c>
      <c r="Y253" s="14">
        <f>(O253 - AVERAGE(Ast_Range))/STDEV(Ast_Range)</f>
        <v>-0.5395701978482611</v>
      </c>
      <c r="Z253" s="14">
        <f>(P253 - AVERAGE(Stl_Range))/STDEV(Stl_Range)</f>
        <v>-1.6167660984195804</v>
      </c>
      <c r="AA253" s="14">
        <f>(Q253 - AVERAGE(Blk_Range))/STDEV(Blk_Range)</f>
        <v>-0.25736859171736254</v>
      </c>
      <c r="AB253" s="14">
        <f>(R253 - AVERAGE(Tov_Range))/STDEV(Tov_Range)*-1</f>
        <v>1.5504995946176239</v>
      </c>
      <c r="AC253" s="14">
        <f>SUM(T253:AB253)</f>
        <v>-4.428093502873744</v>
      </c>
      <c r="AD253" s="14">
        <v>-4.4280935028737423</v>
      </c>
      <c r="AE253" s="14">
        <f>AD253-AC253</f>
        <v>0</v>
      </c>
      <c r="AF253"/>
      <c r="AG253"/>
      <c r="AH253"/>
      <c r="AI253"/>
      <c r="AJ253"/>
      <c r="AK253"/>
      <c r="AL253"/>
      <c r="AM253"/>
      <c r="AN253"/>
      <c r="AO253"/>
      <c r="AP253"/>
      <c r="AQ253"/>
    </row>
    <row r="254" spans="1:43" x14ac:dyDescent="0.55000000000000004">
      <c r="A254">
        <v>253</v>
      </c>
      <c r="B254" s="7">
        <f t="shared" si="6"/>
        <v>253</v>
      </c>
      <c r="C254" s="7">
        <f t="shared" si="7"/>
        <v>0</v>
      </c>
      <c r="D254" t="s">
        <v>152</v>
      </c>
      <c r="E254" t="s">
        <v>25</v>
      </c>
      <c r="F254" t="s">
        <v>118</v>
      </c>
      <c r="G254">
        <v>6</v>
      </c>
      <c r="H254">
        <v>19.3</v>
      </c>
      <c r="I254">
        <v>4.3</v>
      </c>
      <c r="J254">
        <v>0.38500000000000001</v>
      </c>
      <c r="K254">
        <v>0.3</v>
      </c>
      <c r="L254">
        <v>0.3</v>
      </c>
      <c r="M254">
        <v>0.5</v>
      </c>
      <c r="N254">
        <v>2.8</v>
      </c>
      <c r="O254">
        <v>2.2000000000000002</v>
      </c>
      <c r="P254">
        <v>0.7</v>
      </c>
      <c r="Q254">
        <v>0.3</v>
      </c>
      <c r="R254">
        <v>1.2</v>
      </c>
      <c r="S254">
        <v>3.8</v>
      </c>
      <c r="T254" s="14">
        <f>(J254 - AVERAGE(FG_Range))*I254</f>
        <v>-0.31728544776119411</v>
      </c>
      <c r="U254" s="14">
        <f>(M254 - AVERAGE(FT_RANGE))*L254</f>
        <v>-7.893992395437277E-2</v>
      </c>
      <c r="V254" s="14">
        <f>(K254 - AVERAGE(Three_Range))/STDEV(Three_Range)</f>
        <v>-1.2075570068304373</v>
      </c>
      <c r="W254" s="14">
        <f>(S254 - AVERAGE(Pts_Range))/STDEV(Pts_Range)</f>
        <v>-1.4321199130122313</v>
      </c>
      <c r="X254" s="14">
        <f>(N254 - AVERAGE(Reb_Range))/STDEV(Reb_Range)</f>
        <v>-0.78762626928893142</v>
      </c>
      <c r="Y254" s="14">
        <f>(O254 - AVERAGE(Ast_Range))/STDEV(Ast_Range)</f>
        <v>-0.29604575691977664</v>
      </c>
      <c r="Z254" s="14">
        <f>(P254 - AVERAGE(Stl_Range))/STDEV(Stl_Range)</f>
        <v>-0.33102926050727299</v>
      </c>
      <c r="AA254" s="14">
        <f>(Q254 - AVERAGE(Blk_Range))/STDEV(Blk_Range)</f>
        <v>-0.4417931440709813</v>
      </c>
      <c r="AB254" s="14">
        <f>(R254 - AVERAGE(Tov_Range))/STDEV(Tov_Range)*-1</f>
        <v>0.39827554497488243</v>
      </c>
      <c r="AC254" s="14">
        <f>SUM(T254:AB254)</f>
        <v>-4.4941211773703156</v>
      </c>
      <c r="AD254" s="14">
        <v>-4.4941211773703076</v>
      </c>
      <c r="AE254" s="14">
        <f>AD254-AC254</f>
        <v>7.9936057773011271E-15</v>
      </c>
      <c r="AF254"/>
      <c r="AG254"/>
      <c r="AH254"/>
      <c r="AI254"/>
      <c r="AJ254"/>
      <c r="AK254"/>
      <c r="AL254"/>
      <c r="AM254"/>
      <c r="AN254"/>
      <c r="AO254"/>
      <c r="AP254"/>
      <c r="AQ254"/>
    </row>
    <row r="255" spans="1:43" x14ac:dyDescent="0.55000000000000004">
      <c r="A255">
        <v>254</v>
      </c>
      <c r="B255" s="7">
        <f t="shared" si="6"/>
        <v>254</v>
      </c>
      <c r="C255" s="7">
        <f t="shared" si="7"/>
        <v>0</v>
      </c>
      <c r="D255" t="s">
        <v>341</v>
      </c>
      <c r="E255" t="s">
        <v>25</v>
      </c>
      <c r="F255" t="s">
        <v>61</v>
      </c>
      <c r="G255">
        <v>4</v>
      </c>
      <c r="H255">
        <v>23.8</v>
      </c>
      <c r="I255">
        <v>6.5</v>
      </c>
      <c r="J255">
        <v>0.5</v>
      </c>
      <c r="K255">
        <v>0.3</v>
      </c>
      <c r="L255">
        <v>1.3</v>
      </c>
      <c r="M255">
        <v>0.6</v>
      </c>
      <c r="N255">
        <v>3.5</v>
      </c>
      <c r="O255">
        <v>1.3</v>
      </c>
      <c r="P255">
        <v>0</v>
      </c>
      <c r="Q255">
        <v>0.5</v>
      </c>
      <c r="R255">
        <v>1</v>
      </c>
      <c r="S255">
        <v>7.5</v>
      </c>
      <c r="T255" s="14">
        <f>(J255 - AVERAGE(FG_Range))*I255</f>
        <v>0.26788246268656696</v>
      </c>
      <c r="U255" s="14">
        <f>(M255 - AVERAGE(FT_RANGE))*L255</f>
        <v>-0.21207300380228203</v>
      </c>
      <c r="V255" s="14">
        <f>(K255 - AVERAGE(Three_Range))/STDEV(Three_Range)</f>
        <v>-1.2075570068304373</v>
      </c>
      <c r="W255" s="14">
        <f>(S255 - AVERAGE(Pts_Range))/STDEV(Pts_Range)</f>
        <v>-0.84014438016679105</v>
      </c>
      <c r="X255" s="14">
        <f>(N255 - AVERAGE(Reb_Range))/STDEV(Reb_Range)</f>
        <v>-0.51490812953514065</v>
      </c>
      <c r="Y255" s="14">
        <f>(O255 - AVERAGE(Ast_Range))/STDEV(Ast_Range)</f>
        <v>-0.73438975059104861</v>
      </c>
      <c r="Z255" s="14">
        <f>(P255 - AVERAGE(Stl_Range))/STDEV(Stl_Range)</f>
        <v>-1.831055571404965</v>
      </c>
      <c r="AA255" s="14">
        <f>(Q255 - AVERAGE(Blk_Range))/STDEV(Blk_Range)</f>
        <v>-7.2944039363743871E-2</v>
      </c>
      <c r="AB255" s="14">
        <f>(R255 - AVERAGE(Tov_Range))/STDEV(Tov_Range)*-1</f>
        <v>0.60777082672810812</v>
      </c>
      <c r="AC255" s="14">
        <f>SUM(T255:AB255)</f>
        <v>-4.5374185922797334</v>
      </c>
      <c r="AD255" s="14">
        <v>-4.537418592279729</v>
      </c>
      <c r="AE255" s="14">
        <f>AD255-AC255</f>
        <v>0</v>
      </c>
      <c r="AF255"/>
      <c r="AG255"/>
      <c r="AH255"/>
      <c r="AI255"/>
      <c r="AJ255"/>
      <c r="AK255"/>
      <c r="AL255"/>
      <c r="AM255"/>
      <c r="AN255"/>
      <c r="AO255"/>
      <c r="AP255"/>
      <c r="AQ255"/>
    </row>
    <row r="256" spans="1:43" x14ac:dyDescent="0.55000000000000004">
      <c r="A256">
        <v>255</v>
      </c>
      <c r="B256" s="7">
        <f t="shared" si="6"/>
        <v>255</v>
      </c>
      <c r="C256" s="7">
        <f t="shared" si="7"/>
        <v>0</v>
      </c>
      <c r="D256" t="s">
        <v>387</v>
      </c>
      <c r="E256" t="s">
        <v>25</v>
      </c>
      <c r="F256" t="s">
        <v>30</v>
      </c>
      <c r="G256">
        <v>12</v>
      </c>
      <c r="H256">
        <v>17.3</v>
      </c>
      <c r="I256">
        <v>4.5</v>
      </c>
      <c r="J256">
        <v>0.33300000000000002</v>
      </c>
      <c r="K256">
        <v>0.9</v>
      </c>
      <c r="L256">
        <v>0.9</v>
      </c>
      <c r="M256">
        <v>0.90900000000000003</v>
      </c>
      <c r="N256">
        <v>1.6</v>
      </c>
      <c r="O256">
        <v>0.9</v>
      </c>
      <c r="P256">
        <v>0.8</v>
      </c>
      <c r="Q256">
        <v>0.1</v>
      </c>
      <c r="R256">
        <v>0.8</v>
      </c>
      <c r="S256">
        <v>4.8</v>
      </c>
      <c r="T256" s="14">
        <f>(J256 - AVERAGE(FG_Range))*I256</f>
        <v>-0.56604291044776123</v>
      </c>
      <c r="U256" s="14">
        <f>(M256 - AVERAGE(FT_RANGE))*L256</f>
        <v>0.13128022813688173</v>
      </c>
      <c r="V256" s="14">
        <f>(K256 - AVERAGE(Three_Range))/STDEV(Three_Range)</f>
        <v>-0.59112790620080513</v>
      </c>
      <c r="W256" s="14">
        <f>(S256 - AVERAGE(Pts_Range))/STDEV(Pts_Range)</f>
        <v>-1.2721265257567069</v>
      </c>
      <c r="X256" s="14">
        <f>(N256 - AVERAGE(Reb_Range))/STDEV(Reb_Range)</f>
        <v>-1.2551430802954295</v>
      </c>
      <c r="Y256" s="14">
        <f>(O256 - AVERAGE(Ast_Range))/STDEV(Ast_Range)</f>
        <v>-0.92920930333383611</v>
      </c>
      <c r="Z256" s="14">
        <f>(P256 - AVERAGE(Stl_Range))/STDEV(Stl_Range)</f>
        <v>-0.11673978752188821</v>
      </c>
      <c r="AA256" s="14">
        <f>(Q256 - AVERAGE(Blk_Range))/STDEV(Blk_Range)</f>
        <v>-0.81064224877821867</v>
      </c>
      <c r="AB256" s="14">
        <f>(R256 - AVERAGE(Tov_Range))/STDEV(Tov_Range)*-1</f>
        <v>0.81726610848133385</v>
      </c>
      <c r="AC256" s="14">
        <f>SUM(T256:AB256)</f>
        <v>-4.5924854257164309</v>
      </c>
      <c r="AD256" s="14">
        <v>-4.5924854257164229</v>
      </c>
      <c r="AE256" s="14">
        <f>AD256-AC256</f>
        <v>7.9936057773011271E-15</v>
      </c>
      <c r="AF256"/>
      <c r="AG256"/>
      <c r="AH256"/>
      <c r="AI256"/>
      <c r="AJ256"/>
      <c r="AK256"/>
      <c r="AL256"/>
      <c r="AM256"/>
      <c r="AN256"/>
      <c r="AO256"/>
      <c r="AP256"/>
      <c r="AQ256"/>
    </row>
    <row r="257" spans="1:43" x14ac:dyDescent="0.55000000000000004">
      <c r="A257">
        <v>256</v>
      </c>
      <c r="B257" s="7">
        <f t="shared" si="6"/>
        <v>256</v>
      </c>
      <c r="C257" s="7">
        <f t="shared" si="7"/>
        <v>0</v>
      </c>
      <c r="D257" t="s">
        <v>384</v>
      </c>
      <c r="E257" t="s">
        <v>15</v>
      </c>
      <c r="F257" t="s">
        <v>80</v>
      </c>
      <c r="G257">
        <v>7</v>
      </c>
      <c r="H257">
        <v>21.1</v>
      </c>
      <c r="I257">
        <v>6.3</v>
      </c>
      <c r="J257">
        <v>0.318</v>
      </c>
      <c r="K257">
        <v>1.3</v>
      </c>
      <c r="L257">
        <v>0.4</v>
      </c>
      <c r="M257">
        <v>0.66700000000000004</v>
      </c>
      <c r="N257">
        <v>2.9</v>
      </c>
      <c r="O257">
        <v>0.1</v>
      </c>
      <c r="P257">
        <v>0.3</v>
      </c>
      <c r="Q257">
        <v>0.3</v>
      </c>
      <c r="R257">
        <v>0.4</v>
      </c>
      <c r="S257">
        <v>5.6</v>
      </c>
      <c r="T257" s="14">
        <f>(J257 - AVERAGE(FG_Range))*I257</f>
        <v>-0.88696007462686577</v>
      </c>
      <c r="U257" s="14">
        <f>(M257 - AVERAGE(FT_RANGE))*L257</f>
        <v>-3.8453231939163682E-2</v>
      </c>
      <c r="V257" s="14">
        <f>(K257 - AVERAGE(Three_Range))/STDEV(Three_Range)</f>
        <v>-0.18017517244771702</v>
      </c>
      <c r="W257" s="14">
        <f>(S257 - AVERAGE(Pts_Range))/STDEV(Pts_Range)</f>
        <v>-1.1441318159522875</v>
      </c>
      <c r="X257" s="14">
        <f>(N257 - AVERAGE(Reb_Range))/STDEV(Reb_Range)</f>
        <v>-0.74866653503838987</v>
      </c>
      <c r="Y257" s="14">
        <f>(O257 - AVERAGE(Ast_Range))/STDEV(Ast_Range)</f>
        <v>-1.318848408819411</v>
      </c>
      <c r="Z257" s="14">
        <f>(P257 - AVERAGE(Stl_Range))/STDEV(Stl_Range)</f>
        <v>-1.1881871524488112</v>
      </c>
      <c r="AA257" s="14">
        <f>(Q257 - AVERAGE(Blk_Range))/STDEV(Blk_Range)</f>
        <v>-0.4417931440709813</v>
      </c>
      <c r="AB257" s="14">
        <f>(R257 - AVERAGE(Tov_Range))/STDEV(Tov_Range)*-1</f>
        <v>1.2362566719877852</v>
      </c>
      <c r="AC257" s="14">
        <f>SUM(T257:AB257)</f>
        <v>-4.7109588633558417</v>
      </c>
      <c r="AD257" s="14">
        <v>-4.7109588633558381</v>
      </c>
      <c r="AE257" s="14">
        <f>AD257-AC257</f>
        <v>0</v>
      </c>
      <c r="AF257"/>
      <c r="AG257"/>
      <c r="AH257"/>
      <c r="AI257"/>
      <c r="AJ257"/>
      <c r="AK257"/>
      <c r="AL257"/>
      <c r="AM257"/>
      <c r="AN257"/>
      <c r="AO257"/>
      <c r="AP257"/>
      <c r="AQ257"/>
    </row>
    <row r="258" spans="1:43" x14ac:dyDescent="0.55000000000000004">
      <c r="A258">
        <v>257</v>
      </c>
      <c r="B258" s="7">
        <f t="shared" si="6"/>
        <v>257</v>
      </c>
      <c r="C258" s="7">
        <f t="shared" si="7"/>
        <v>0</v>
      </c>
      <c r="D258" t="s">
        <v>714</v>
      </c>
      <c r="E258" t="s">
        <v>15</v>
      </c>
      <c r="F258" t="s">
        <v>33</v>
      </c>
      <c r="G258">
        <v>5</v>
      </c>
      <c r="H258">
        <v>18.2</v>
      </c>
      <c r="I258">
        <v>2.8</v>
      </c>
      <c r="J258">
        <v>0.35699999999999998</v>
      </c>
      <c r="K258">
        <v>0.4</v>
      </c>
      <c r="L258">
        <v>1.2</v>
      </c>
      <c r="M258">
        <v>0.5</v>
      </c>
      <c r="N258">
        <v>2.6</v>
      </c>
      <c r="O258">
        <v>1.6</v>
      </c>
      <c r="P258">
        <v>0.6</v>
      </c>
      <c r="Q258">
        <v>0.2</v>
      </c>
      <c r="R258">
        <v>0.6</v>
      </c>
      <c r="S258">
        <v>3</v>
      </c>
      <c r="T258" s="14">
        <f>(J258 - AVERAGE(FG_Range))*I258</f>
        <v>-0.28500447761194042</v>
      </c>
      <c r="U258" s="14">
        <f>(M258 - AVERAGE(FT_RANGE))*L258</f>
        <v>-0.31575969581749108</v>
      </c>
      <c r="V258" s="14">
        <f>(K258 - AVERAGE(Three_Range))/STDEV(Three_Range)</f>
        <v>-1.1048188233921654</v>
      </c>
      <c r="W258" s="14">
        <f>(S258 - AVERAGE(Pts_Range))/STDEV(Pts_Range)</f>
        <v>-1.5601146228166507</v>
      </c>
      <c r="X258" s="14">
        <f>(N258 - AVERAGE(Reb_Range))/STDEV(Reb_Range)</f>
        <v>-0.86554573779001431</v>
      </c>
      <c r="Y258" s="14">
        <f>(O258 - AVERAGE(Ast_Range))/STDEV(Ast_Range)</f>
        <v>-0.58827508603395795</v>
      </c>
      <c r="Z258" s="14">
        <f>(P258 - AVERAGE(Stl_Range))/STDEV(Stl_Range)</f>
        <v>-0.54531873349265758</v>
      </c>
      <c r="AA258" s="14">
        <f>(Q258 - AVERAGE(Blk_Range))/STDEV(Blk_Range)</f>
        <v>-0.6262176964245999</v>
      </c>
      <c r="AB258" s="14">
        <f>(R258 - AVERAGE(Tov_Range))/STDEV(Tov_Range)*-1</f>
        <v>1.0267613902345596</v>
      </c>
      <c r="AC258" s="14">
        <f>SUM(T258:AB258)</f>
        <v>-4.8642934831449178</v>
      </c>
      <c r="AD258" s="14">
        <v>-4.8642934831449081</v>
      </c>
      <c r="AE258" s="14">
        <f>AD258-AC258</f>
        <v>9.7699626167013776E-15</v>
      </c>
      <c r="AF258"/>
      <c r="AG258"/>
      <c r="AH258"/>
      <c r="AI258"/>
      <c r="AJ258"/>
      <c r="AK258"/>
      <c r="AL258"/>
      <c r="AM258"/>
      <c r="AN258"/>
      <c r="AO258"/>
      <c r="AP258"/>
      <c r="AQ258"/>
    </row>
    <row r="259" spans="1:43" x14ac:dyDescent="0.55000000000000004">
      <c r="A259">
        <v>258</v>
      </c>
      <c r="B259" s="7">
        <f t="shared" ref="B259:B269" si="8">ROW()-1</f>
        <v>258</v>
      </c>
      <c r="C259" s="7">
        <f t="shared" ref="C259:C269" si="9">A259-B259</f>
        <v>0</v>
      </c>
      <c r="D259" t="s">
        <v>636</v>
      </c>
      <c r="E259" t="s">
        <v>34</v>
      </c>
      <c r="F259" t="s">
        <v>67</v>
      </c>
      <c r="G259">
        <v>7</v>
      </c>
      <c r="H259">
        <v>17.600000000000001</v>
      </c>
      <c r="I259">
        <v>4.3</v>
      </c>
      <c r="J259">
        <v>0.433</v>
      </c>
      <c r="K259">
        <v>0.9</v>
      </c>
      <c r="L259">
        <v>0.4</v>
      </c>
      <c r="M259">
        <v>0</v>
      </c>
      <c r="N259">
        <v>3.1</v>
      </c>
      <c r="O259">
        <v>1.1000000000000001</v>
      </c>
      <c r="P259">
        <v>0.3</v>
      </c>
      <c r="Q259">
        <v>0.1</v>
      </c>
      <c r="R259">
        <v>0.7</v>
      </c>
      <c r="S259">
        <v>4.5999999999999996</v>
      </c>
      <c r="T259" s="14">
        <f>(J259 - AVERAGE(FG_Range))*I259</f>
        <v>-0.11088544776119418</v>
      </c>
      <c r="U259" s="14">
        <f>(M259 - AVERAGE(FT_RANGE))*L259</f>
        <v>-0.30525323193916371</v>
      </c>
      <c r="V259" s="14">
        <f>(K259 - AVERAGE(Three_Range))/STDEV(Three_Range)</f>
        <v>-0.59112790620080513</v>
      </c>
      <c r="W259" s="14">
        <f>(S259 - AVERAGE(Pts_Range))/STDEV(Pts_Range)</f>
        <v>-1.3041252032078119</v>
      </c>
      <c r="X259" s="14">
        <f>(N259 - AVERAGE(Reb_Range))/STDEV(Reb_Range)</f>
        <v>-0.67074706653730676</v>
      </c>
      <c r="Y259" s="14">
        <f>(O259 - AVERAGE(Ast_Range))/STDEV(Ast_Range)</f>
        <v>-0.8317995269624423</v>
      </c>
      <c r="Z259" s="14">
        <f>(P259 - AVERAGE(Stl_Range))/STDEV(Stl_Range)</f>
        <v>-1.1881871524488112</v>
      </c>
      <c r="AA259" s="14">
        <f>(Q259 - AVERAGE(Blk_Range))/STDEV(Blk_Range)</f>
        <v>-0.81064224877821867</v>
      </c>
      <c r="AB259" s="14">
        <f>(R259 - AVERAGE(Tov_Range))/STDEV(Tov_Range)*-1</f>
        <v>0.92201374935794678</v>
      </c>
      <c r="AC259" s="14">
        <f>SUM(T259:AB259)</f>
        <v>-4.8907540344778075</v>
      </c>
      <c r="AD259" s="14">
        <v>-4.8907540344778013</v>
      </c>
      <c r="AE259" s="14">
        <f>AD259-AC259</f>
        <v>0</v>
      </c>
      <c r="AF259"/>
      <c r="AG259"/>
      <c r="AH259"/>
      <c r="AI259"/>
      <c r="AJ259"/>
      <c r="AK259"/>
      <c r="AL259"/>
      <c r="AM259"/>
      <c r="AN259"/>
      <c r="AO259"/>
      <c r="AP259"/>
      <c r="AQ259"/>
    </row>
    <row r="260" spans="1:43" x14ac:dyDescent="0.55000000000000004">
      <c r="A260">
        <v>259</v>
      </c>
      <c r="B260" s="7">
        <f t="shared" si="8"/>
        <v>259</v>
      </c>
      <c r="C260" s="7">
        <f t="shared" si="9"/>
        <v>0</v>
      </c>
      <c r="D260" t="s">
        <v>158</v>
      </c>
      <c r="E260" t="s">
        <v>25</v>
      </c>
      <c r="F260" t="s">
        <v>38</v>
      </c>
      <c r="G260">
        <v>11</v>
      </c>
      <c r="H260">
        <v>17.100000000000001</v>
      </c>
      <c r="I260">
        <v>6.3</v>
      </c>
      <c r="J260">
        <v>0.44900000000000001</v>
      </c>
      <c r="K260">
        <v>1.5</v>
      </c>
      <c r="L260">
        <v>0.9</v>
      </c>
      <c r="M260">
        <v>0.6</v>
      </c>
      <c r="N260">
        <v>1.1000000000000001</v>
      </c>
      <c r="O260">
        <v>0.3</v>
      </c>
      <c r="P260">
        <v>0.4</v>
      </c>
      <c r="Q260">
        <v>0</v>
      </c>
      <c r="R260">
        <v>0.9</v>
      </c>
      <c r="S260">
        <v>7.7</v>
      </c>
      <c r="T260" s="14">
        <f>(J260 - AVERAGE(FG_Range))*I260</f>
        <v>-6.1660074626865805E-2</v>
      </c>
      <c r="U260" s="14">
        <f>(M260 - AVERAGE(FT_RANGE))*L260</f>
        <v>-0.14681977186311834</v>
      </c>
      <c r="V260" s="14">
        <f>(K260 - AVERAGE(Three_Range))/STDEV(Three_Range)</f>
        <v>2.5301194428826994E-2</v>
      </c>
      <c r="W260" s="14">
        <f>(S260 - AVERAGE(Pts_Range))/STDEV(Pts_Range)</f>
        <v>-0.8081457027156862</v>
      </c>
      <c r="X260" s="14">
        <f>(N260 - AVERAGE(Reb_Range))/STDEV(Reb_Range)</f>
        <v>-1.4499417515481372</v>
      </c>
      <c r="Y260" s="14">
        <f>(O260 - AVERAGE(Ast_Range))/STDEV(Ast_Range)</f>
        <v>-1.2214386324480173</v>
      </c>
      <c r="Z260" s="14">
        <f>(P260 - AVERAGE(Stl_Range))/STDEV(Stl_Range)</f>
        <v>-0.97389767946342665</v>
      </c>
      <c r="AA260" s="14">
        <f>(Q260 - AVERAGE(Blk_Range))/STDEV(Blk_Range)</f>
        <v>-0.99506680113183732</v>
      </c>
      <c r="AB260" s="14">
        <f>(R260 - AVERAGE(Tov_Range))/STDEV(Tov_Range)*-1</f>
        <v>0.71251846760472104</v>
      </c>
      <c r="AC260" s="14">
        <f>SUM(T260:AB260)</f>
        <v>-4.9191507517635413</v>
      </c>
      <c r="AD260" s="14">
        <v>-4.9191507517635387</v>
      </c>
      <c r="AE260" s="14">
        <f>AD260-AC260</f>
        <v>0</v>
      </c>
      <c r="AF260"/>
      <c r="AG260"/>
      <c r="AH260"/>
      <c r="AI260"/>
      <c r="AJ260"/>
      <c r="AK260"/>
      <c r="AL260"/>
      <c r="AM260"/>
      <c r="AN260"/>
      <c r="AO260"/>
      <c r="AP260"/>
      <c r="AQ260"/>
    </row>
    <row r="261" spans="1:43" x14ac:dyDescent="0.55000000000000004">
      <c r="A261">
        <v>260</v>
      </c>
      <c r="B261" s="7">
        <f t="shared" si="8"/>
        <v>260</v>
      </c>
      <c r="C261" s="7">
        <f t="shared" si="9"/>
        <v>0</v>
      </c>
      <c r="D261" t="s">
        <v>367</v>
      </c>
      <c r="E261" t="s">
        <v>25</v>
      </c>
      <c r="F261" t="s">
        <v>26</v>
      </c>
      <c r="G261">
        <v>9</v>
      </c>
      <c r="H261">
        <v>21</v>
      </c>
      <c r="I261">
        <v>7</v>
      </c>
      <c r="J261">
        <v>0.317</v>
      </c>
      <c r="K261">
        <v>1.4</v>
      </c>
      <c r="L261">
        <v>1.4</v>
      </c>
      <c r="M261">
        <v>1</v>
      </c>
      <c r="N261">
        <v>1.4</v>
      </c>
      <c r="O261">
        <v>1</v>
      </c>
      <c r="P261">
        <v>0.2</v>
      </c>
      <c r="Q261">
        <v>0</v>
      </c>
      <c r="R261">
        <v>0.6</v>
      </c>
      <c r="S261">
        <v>7.3</v>
      </c>
      <c r="T261" s="14">
        <f>(J261 - AVERAGE(FG_Range))*I261</f>
        <v>-0.992511194029851</v>
      </c>
      <c r="U261" s="14">
        <f>(M261 - AVERAGE(FT_RANGE))*L261</f>
        <v>0.33161368821292703</v>
      </c>
      <c r="V261" s="14">
        <f>(K261 - AVERAGE(Three_Range))/STDEV(Three_Range)</f>
        <v>-7.7436989009445123E-2</v>
      </c>
      <c r="W261" s="14">
        <f>(S261 - AVERAGE(Pts_Range))/STDEV(Pts_Range)</f>
        <v>-0.87214305761789601</v>
      </c>
      <c r="X261" s="14">
        <f>(N261 - AVERAGE(Reb_Range))/STDEV(Reb_Range)</f>
        <v>-1.3330625487965126</v>
      </c>
      <c r="Y261" s="14">
        <f>(O261 - AVERAGE(Ast_Range))/STDEV(Ast_Range)</f>
        <v>-0.88050441514813926</v>
      </c>
      <c r="Z261" s="14">
        <f>(P261 - AVERAGE(Stl_Range))/STDEV(Stl_Range)</f>
        <v>-1.4024766254341958</v>
      </c>
      <c r="AA261" s="14">
        <f>(Q261 - AVERAGE(Blk_Range))/STDEV(Blk_Range)</f>
        <v>-0.99506680113183732</v>
      </c>
      <c r="AB261" s="14">
        <f>(R261 - AVERAGE(Tov_Range))/STDEV(Tov_Range)*-1</f>
        <v>1.0267613902345596</v>
      </c>
      <c r="AC261" s="14">
        <f>SUM(T261:AB261)</f>
        <v>-5.1948265527203894</v>
      </c>
      <c r="AD261" s="14">
        <v>-5.1948265527203894</v>
      </c>
      <c r="AE261" s="14">
        <f>AD261-AC261</f>
        <v>0</v>
      </c>
      <c r="AF261"/>
      <c r="AG261"/>
      <c r="AH261"/>
      <c r="AI261"/>
      <c r="AJ261"/>
      <c r="AK261"/>
      <c r="AL261"/>
      <c r="AM261"/>
      <c r="AN261"/>
      <c r="AO261"/>
      <c r="AP261"/>
      <c r="AQ261"/>
    </row>
    <row r="262" spans="1:43" x14ac:dyDescent="0.55000000000000004">
      <c r="A262">
        <v>261</v>
      </c>
      <c r="B262" s="7">
        <f t="shared" si="8"/>
        <v>261</v>
      </c>
      <c r="C262" s="7">
        <f t="shared" si="9"/>
        <v>0</v>
      </c>
      <c r="D262" t="s">
        <v>338</v>
      </c>
      <c r="E262" t="s">
        <v>15</v>
      </c>
      <c r="F262" t="s">
        <v>98</v>
      </c>
      <c r="G262">
        <v>9</v>
      </c>
      <c r="H262">
        <v>17.3</v>
      </c>
      <c r="I262">
        <v>4.9000000000000004</v>
      </c>
      <c r="J262">
        <v>0.432</v>
      </c>
      <c r="K262">
        <v>1.2</v>
      </c>
      <c r="L262">
        <v>1</v>
      </c>
      <c r="M262">
        <v>0.55600000000000005</v>
      </c>
      <c r="N262">
        <v>3.2</v>
      </c>
      <c r="O262">
        <v>0.6</v>
      </c>
      <c r="P262">
        <v>0</v>
      </c>
      <c r="Q262">
        <v>0</v>
      </c>
      <c r="R262">
        <v>0.6</v>
      </c>
      <c r="S262">
        <v>6</v>
      </c>
      <c r="T262" s="14">
        <f>(J262 - AVERAGE(FG_Range))*I262</f>
        <v>-0.1312578358208957</v>
      </c>
      <c r="U262" s="14">
        <f>(M262 - AVERAGE(FT_RANGE))*L262</f>
        <v>-0.20713307984790919</v>
      </c>
      <c r="V262" s="14">
        <f>(K262 - AVERAGE(Three_Range))/STDEV(Three_Range)</f>
        <v>-0.28291335588598915</v>
      </c>
      <c r="W262" s="14">
        <f>(S262 - AVERAGE(Pts_Range))/STDEV(Pts_Range)</f>
        <v>-1.0801344610500776</v>
      </c>
      <c r="X262" s="14">
        <f>(N262 - AVERAGE(Reb_Range))/STDEV(Reb_Range)</f>
        <v>-0.6317873322867652</v>
      </c>
      <c r="Y262" s="14">
        <f>(O262 - AVERAGE(Ast_Range))/STDEV(Ast_Range)</f>
        <v>-1.0753239678909268</v>
      </c>
      <c r="Z262" s="14">
        <f>(P262 - AVERAGE(Stl_Range))/STDEV(Stl_Range)</f>
        <v>-1.831055571404965</v>
      </c>
      <c r="AA262" s="14">
        <f>(Q262 - AVERAGE(Blk_Range))/STDEV(Blk_Range)</f>
        <v>-0.99506680113183732</v>
      </c>
      <c r="AB262" s="14">
        <f>(R262 - AVERAGE(Tov_Range))/STDEV(Tov_Range)*-1</f>
        <v>1.0267613902345596</v>
      </c>
      <c r="AC262" s="14">
        <f>SUM(T262:AB262)</f>
        <v>-5.2079110150848056</v>
      </c>
      <c r="AD262" s="14">
        <v>-5.2079110150848029</v>
      </c>
      <c r="AE262" s="14">
        <f>AD262-AC262</f>
        <v>0</v>
      </c>
      <c r="AF262"/>
      <c r="AG262"/>
      <c r="AH262"/>
      <c r="AI262"/>
      <c r="AJ262"/>
      <c r="AK262"/>
      <c r="AL262"/>
      <c r="AM262"/>
      <c r="AN262"/>
      <c r="AO262"/>
      <c r="AP262"/>
      <c r="AQ262"/>
    </row>
    <row r="263" spans="1:43" x14ac:dyDescent="0.55000000000000004">
      <c r="A263">
        <v>262</v>
      </c>
      <c r="B263" s="7">
        <f t="shared" si="8"/>
        <v>262</v>
      </c>
      <c r="C263" s="7">
        <f t="shared" si="9"/>
        <v>0</v>
      </c>
      <c r="D263" t="s">
        <v>262</v>
      </c>
      <c r="E263" t="s">
        <v>25</v>
      </c>
      <c r="F263" t="s">
        <v>80</v>
      </c>
      <c r="G263">
        <v>3</v>
      </c>
      <c r="H263">
        <v>18.3</v>
      </c>
      <c r="I263">
        <v>8</v>
      </c>
      <c r="J263">
        <v>0.25</v>
      </c>
      <c r="K263">
        <v>1.3</v>
      </c>
      <c r="L263">
        <v>0.7</v>
      </c>
      <c r="M263">
        <v>1</v>
      </c>
      <c r="N263">
        <v>2</v>
      </c>
      <c r="O263">
        <v>1</v>
      </c>
      <c r="P263">
        <v>0.7</v>
      </c>
      <c r="Q263">
        <v>0.7</v>
      </c>
      <c r="R263">
        <v>2</v>
      </c>
      <c r="S263">
        <v>6</v>
      </c>
      <c r="T263" s="14">
        <f>(J263 - AVERAGE(FG_Range))*I263</f>
        <v>-1.6702985074626868</v>
      </c>
      <c r="U263" s="14">
        <f>(M263 - AVERAGE(FT_RANGE))*L263</f>
        <v>0.16580684410646351</v>
      </c>
      <c r="V263" s="14">
        <f>(K263 - AVERAGE(Three_Range))/STDEV(Three_Range)</f>
        <v>-0.18017517244771702</v>
      </c>
      <c r="W263" s="14">
        <f>(S263 - AVERAGE(Pts_Range))/STDEV(Pts_Range)</f>
        <v>-1.0801344610500776</v>
      </c>
      <c r="X263" s="14">
        <f>(N263 - AVERAGE(Reb_Range))/STDEV(Reb_Range)</f>
        <v>-1.0993041432932635</v>
      </c>
      <c r="Y263" s="14">
        <f>(O263 - AVERAGE(Ast_Range))/STDEV(Ast_Range)</f>
        <v>-0.88050441514813926</v>
      </c>
      <c r="Z263" s="14">
        <f>(P263 - AVERAGE(Stl_Range))/STDEV(Stl_Range)</f>
        <v>-0.33102926050727299</v>
      </c>
      <c r="AA263" s="14">
        <f>(Q263 - AVERAGE(Blk_Range))/STDEV(Blk_Range)</f>
        <v>0.29590506534349342</v>
      </c>
      <c r="AB263" s="14">
        <f>(R263 - AVERAGE(Tov_Range))/STDEV(Tov_Range)*-1</f>
        <v>-0.43970558203802057</v>
      </c>
      <c r="AC263" s="14">
        <f>SUM(T263:AB263)</f>
        <v>-5.2194396324972203</v>
      </c>
      <c r="AD263" s="14">
        <v>-5.2194396324972194</v>
      </c>
      <c r="AE263" s="14">
        <f>AD263-AC263</f>
        <v>0</v>
      </c>
      <c r="AF263"/>
      <c r="AG263"/>
      <c r="AH263"/>
      <c r="AI263"/>
      <c r="AJ263"/>
      <c r="AK263"/>
      <c r="AL263"/>
      <c r="AM263"/>
      <c r="AN263"/>
      <c r="AO263"/>
      <c r="AP263"/>
      <c r="AQ263"/>
    </row>
    <row r="264" spans="1:43" x14ac:dyDescent="0.55000000000000004">
      <c r="A264">
        <v>263</v>
      </c>
      <c r="B264" s="7">
        <f t="shared" si="8"/>
        <v>263</v>
      </c>
      <c r="C264" s="7">
        <f t="shared" si="9"/>
        <v>0</v>
      </c>
      <c r="D264" t="s">
        <v>703</v>
      </c>
      <c r="E264" t="s">
        <v>46</v>
      </c>
      <c r="F264" t="s">
        <v>19</v>
      </c>
      <c r="G264">
        <v>10</v>
      </c>
      <c r="H264">
        <v>19.899999999999999</v>
      </c>
      <c r="I264">
        <v>6</v>
      </c>
      <c r="J264">
        <v>0.36699999999999999</v>
      </c>
      <c r="K264">
        <v>1</v>
      </c>
      <c r="L264">
        <v>1.1000000000000001</v>
      </c>
      <c r="M264">
        <v>0.45500000000000002</v>
      </c>
      <c r="N264">
        <v>2</v>
      </c>
      <c r="O264">
        <v>2.8</v>
      </c>
      <c r="P264">
        <v>0.7</v>
      </c>
      <c r="Q264">
        <v>0</v>
      </c>
      <c r="R264">
        <v>2</v>
      </c>
      <c r="S264">
        <v>5.9</v>
      </c>
      <c r="T264" s="14">
        <f>(J264 - AVERAGE(FG_Range))*I264</f>
        <v>-0.55072388059701516</v>
      </c>
      <c r="U264" s="14">
        <f>(M264 - AVERAGE(FT_RANGE))*L264</f>
        <v>-0.33894638783270015</v>
      </c>
      <c r="V264" s="14">
        <f>(K264 - AVERAGE(Three_Range))/STDEV(Three_Range)</f>
        <v>-0.48838972276253317</v>
      </c>
      <c r="W264" s="14">
        <f>(S264 - AVERAGE(Pts_Range))/STDEV(Pts_Range)</f>
        <v>-1.09613379977563</v>
      </c>
      <c r="X264" s="14">
        <f>(N264 - AVERAGE(Reb_Range))/STDEV(Reb_Range)</f>
        <v>-1.0993041432932635</v>
      </c>
      <c r="Y264" s="14">
        <f>(O264 - AVERAGE(Ast_Range))/STDEV(Ast_Range)</f>
        <v>-3.8164278055955883E-3</v>
      </c>
      <c r="Z264" s="14">
        <f>(P264 - AVERAGE(Stl_Range))/STDEV(Stl_Range)</f>
        <v>-0.33102926050727299</v>
      </c>
      <c r="AA264" s="14">
        <f>(Q264 - AVERAGE(Blk_Range))/STDEV(Blk_Range)</f>
        <v>-0.99506680113183732</v>
      </c>
      <c r="AB264" s="14">
        <f>(R264 - AVERAGE(Tov_Range))/STDEV(Tov_Range)*-1</f>
        <v>-0.43970558203802057</v>
      </c>
      <c r="AC264" s="14">
        <f>SUM(T264:AB264)</f>
        <v>-5.3431160057438687</v>
      </c>
      <c r="AD264" s="14">
        <v>-5.3431160057438651</v>
      </c>
      <c r="AE264" s="14">
        <f>AD264-AC264</f>
        <v>0</v>
      </c>
      <c r="AF264"/>
      <c r="AG264"/>
      <c r="AH264"/>
      <c r="AI264"/>
      <c r="AJ264"/>
      <c r="AK264"/>
      <c r="AL264"/>
      <c r="AM264"/>
      <c r="AN264"/>
      <c r="AO264"/>
      <c r="AP264"/>
      <c r="AQ264"/>
    </row>
    <row r="265" spans="1:43" x14ac:dyDescent="0.55000000000000004">
      <c r="A265">
        <v>264</v>
      </c>
      <c r="B265" s="7">
        <f t="shared" si="8"/>
        <v>264</v>
      </c>
      <c r="C265" s="7">
        <f t="shared" si="9"/>
        <v>0</v>
      </c>
      <c r="D265" t="s">
        <v>63</v>
      </c>
      <c r="E265" t="s">
        <v>18</v>
      </c>
      <c r="F265" t="s">
        <v>44</v>
      </c>
      <c r="G265">
        <v>7</v>
      </c>
      <c r="H265">
        <v>19.3</v>
      </c>
      <c r="I265">
        <v>6.4</v>
      </c>
      <c r="J265">
        <v>0.378</v>
      </c>
      <c r="K265">
        <v>0.4</v>
      </c>
      <c r="L265">
        <v>0</v>
      </c>
      <c r="M265"/>
      <c r="N265">
        <v>5.7</v>
      </c>
      <c r="O265">
        <v>0.6</v>
      </c>
      <c r="P265">
        <v>0.1</v>
      </c>
      <c r="Q265">
        <v>0</v>
      </c>
      <c r="R265">
        <v>0.9</v>
      </c>
      <c r="S265">
        <v>5.3</v>
      </c>
      <c r="T265" s="14">
        <f>(J265 - AVERAGE(FG_Range))*I265</f>
        <v>-0.51703880597014951</v>
      </c>
      <c r="U265" s="14">
        <f>(M265 - AVERAGE(FT_RANGE))*L265</f>
        <v>0</v>
      </c>
      <c r="V265" s="14">
        <f>(K265 - AVERAGE(Three_Range))/STDEV(Three_Range)</f>
        <v>-1.1048188233921654</v>
      </c>
      <c r="W265" s="14">
        <f>(S265 - AVERAGE(Pts_Range))/STDEV(Pts_Range)</f>
        <v>-1.1921298321289446</v>
      </c>
      <c r="X265" s="14">
        <f>(N265 - AVERAGE(Reb_Range))/STDEV(Reb_Range)</f>
        <v>0.34220602397677297</v>
      </c>
      <c r="Y265" s="14">
        <f>(O265 - AVERAGE(Ast_Range))/STDEV(Ast_Range)</f>
        <v>-1.0753239678909268</v>
      </c>
      <c r="Z265" s="14">
        <f>(P265 - AVERAGE(Stl_Range))/STDEV(Stl_Range)</f>
        <v>-1.6167660984195804</v>
      </c>
      <c r="AA265" s="14">
        <f>(Q265 - AVERAGE(Blk_Range))/STDEV(Blk_Range)</f>
        <v>-0.99506680113183732</v>
      </c>
      <c r="AB265" s="14">
        <f>(R265 - AVERAGE(Tov_Range))/STDEV(Tov_Range)*-1</f>
        <v>0.71251846760472104</v>
      </c>
      <c r="AC265" s="14">
        <f>SUM(T265:AB265)</f>
        <v>-5.4464198373521091</v>
      </c>
      <c r="AD265" s="14">
        <v>-5.446419837352102</v>
      </c>
      <c r="AE265" s="14">
        <f>AD265-AC265</f>
        <v>7.1054273576010019E-15</v>
      </c>
      <c r="AF265"/>
      <c r="AG265"/>
      <c r="AH265"/>
      <c r="AI265"/>
      <c r="AJ265"/>
      <c r="AK265"/>
      <c r="AL265"/>
      <c r="AM265"/>
      <c r="AN265"/>
      <c r="AO265"/>
      <c r="AP265"/>
      <c r="AQ265"/>
    </row>
    <row r="266" spans="1:43" x14ac:dyDescent="0.55000000000000004">
      <c r="A266">
        <v>265</v>
      </c>
      <c r="B266" s="7">
        <f t="shared" si="8"/>
        <v>265</v>
      </c>
      <c r="C266" s="7">
        <f t="shared" si="9"/>
        <v>0</v>
      </c>
      <c r="D266" t="s">
        <v>320</v>
      </c>
      <c r="E266" t="s">
        <v>15</v>
      </c>
      <c r="F266" t="s">
        <v>72</v>
      </c>
      <c r="G266">
        <v>3</v>
      </c>
      <c r="H266">
        <v>20.3</v>
      </c>
      <c r="I266">
        <v>8</v>
      </c>
      <c r="J266">
        <v>0.33300000000000002</v>
      </c>
      <c r="K266">
        <v>1.7</v>
      </c>
      <c r="L266">
        <v>1.3</v>
      </c>
      <c r="M266">
        <v>1</v>
      </c>
      <c r="N266">
        <v>3.7</v>
      </c>
      <c r="O266">
        <v>1</v>
      </c>
      <c r="P266">
        <v>0</v>
      </c>
      <c r="Q266">
        <v>0</v>
      </c>
      <c r="R266">
        <v>1.7</v>
      </c>
      <c r="S266">
        <v>8.3000000000000007</v>
      </c>
      <c r="T266" s="14">
        <f>(J266 - AVERAGE(FG_Range))*I266</f>
        <v>-1.0062985074626867</v>
      </c>
      <c r="U266" s="14">
        <f>(M266 - AVERAGE(FT_RANGE))*L266</f>
        <v>0.30792699619771802</v>
      </c>
      <c r="V266" s="14">
        <f>(K266 - AVERAGE(Three_Range))/STDEV(Three_Range)</f>
        <v>0.230777561305371</v>
      </c>
      <c r="W266" s="14">
        <f>(S266 - AVERAGE(Pts_Range))/STDEV(Pts_Range)</f>
        <v>-0.71214967036237153</v>
      </c>
      <c r="X266" s="14">
        <f>(N266 - AVERAGE(Reb_Range))/STDEV(Reb_Range)</f>
        <v>-0.43698866103405754</v>
      </c>
      <c r="Y266" s="14">
        <f>(O266 - AVERAGE(Ast_Range))/STDEV(Ast_Range)</f>
        <v>-0.88050441514813926</v>
      </c>
      <c r="Z266" s="14">
        <f>(P266 - AVERAGE(Stl_Range))/STDEV(Stl_Range)</f>
        <v>-1.831055571404965</v>
      </c>
      <c r="AA266" s="14">
        <f>(Q266 - AVERAGE(Blk_Range))/STDEV(Blk_Range)</f>
        <v>-0.99506680113183732</v>
      </c>
      <c r="AB266" s="14">
        <f>(R266 - AVERAGE(Tov_Range))/STDEV(Tov_Range)*-1</f>
        <v>-0.12546265940818194</v>
      </c>
      <c r="AC266" s="14">
        <f>SUM(T266:AB266)</f>
        <v>-5.4488217284491505</v>
      </c>
      <c r="AD266" s="14">
        <v>-5.4488217284491522</v>
      </c>
      <c r="AE266" s="14">
        <f>AD266-AC266</f>
        <v>0</v>
      </c>
      <c r="AF266"/>
      <c r="AG266"/>
      <c r="AH266"/>
      <c r="AI266"/>
      <c r="AJ266"/>
      <c r="AK266"/>
      <c r="AL266"/>
      <c r="AM266"/>
      <c r="AN266"/>
      <c r="AO266"/>
      <c r="AP266"/>
      <c r="AQ266"/>
    </row>
    <row r="267" spans="1:43" x14ac:dyDescent="0.55000000000000004">
      <c r="A267">
        <v>266</v>
      </c>
      <c r="B267" s="7">
        <f t="shared" si="8"/>
        <v>266</v>
      </c>
      <c r="C267" s="7">
        <f t="shared" si="9"/>
        <v>0</v>
      </c>
      <c r="D267" t="s">
        <v>115</v>
      </c>
      <c r="E267" t="s">
        <v>34</v>
      </c>
      <c r="F267" t="s">
        <v>33</v>
      </c>
      <c r="G267">
        <v>8</v>
      </c>
      <c r="H267">
        <v>19.8</v>
      </c>
      <c r="I267">
        <v>3.4</v>
      </c>
      <c r="J267">
        <v>0.25900000000000001</v>
      </c>
      <c r="K267">
        <v>0.6</v>
      </c>
      <c r="L267">
        <v>0.1</v>
      </c>
      <c r="M267">
        <v>1</v>
      </c>
      <c r="N267">
        <v>3.9</v>
      </c>
      <c r="O267">
        <v>0.6</v>
      </c>
      <c r="P267">
        <v>0.4</v>
      </c>
      <c r="Q267">
        <v>0.1</v>
      </c>
      <c r="R267">
        <v>1</v>
      </c>
      <c r="S267">
        <v>2.5</v>
      </c>
      <c r="T267" s="14">
        <f>(J267 - AVERAGE(FG_Range))*I267</f>
        <v>-0.67927686567164181</v>
      </c>
      <c r="U267" s="14">
        <f>(M267 - AVERAGE(FT_RANGE))*L267</f>
        <v>2.3686692015209079E-2</v>
      </c>
      <c r="V267" s="14">
        <f>(K267 - AVERAGE(Three_Range))/STDEV(Three_Range)</f>
        <v>-0.89934245651562128</v>
      </c>
      <c r="W267" s="14">
        <f>(S267 - AVERAGE(Pts_Range))/STDEV(Pts_Range)</f>
        <v>-1.640111316444413</v>
      </c>
      <c r="X267" s="14">
        <f>(N267 - AVERAGE(Reb_Range))/STDEV(Reb_Range)</f>
        <v>-0.35906919253297459</v>
      </c>
      <c r="Y267" s="14">
        <f>(O267 - AVERAGE(Ast_Range))/STDEV(Ast_Range)</f>
        <v>-1.0753239678909268</v>
      </c>
      <c r="Z267" s="14">
        <f>(P267 - AVERAGE(Stl_Range))/STDEV(Stl_Range)</f>
        <v>-0.97389767946342665</v>
      </c>
      <c r="AA267" s="14">
        <f>(Q267 - AVERAGE(Blk_Range))/STDEV(Blk_Range)</f>
        <v>-0.81064224877821867</v>
      </c>
      <c r="AB267" s="14">
        <f>(R267 - AVERAGE(Tov_Range))/STDEV(Tov_Range)*-1</f>
        <v>0.60777082672810812</v>
      </c>
      <c r="AC267" s="14">
        <f>SUM(T267:AB267)</f>
        <v>-5.8062062085539061</v>
      </c>
      <c r="AD267" s="14">
        <v>-5.8062062085538964</v>
      </c>
      <c r="AE267" s="14">
        <f>AD267-AC267</f>
        <v>9.7699626167013776E-15</v>
      </c>
      <c r="AF267"/>
      <c r="AG267"/>
      <c r="AH267"/>
      <c r="AI267"/>
      <c r="AJ267"/>
      <c r="AK267"/>
      <c r="AL267"/>
      <c r="AM267"/>
      <c r="AN267"/>
      <c r="AO267"/>
      <c r="AP267"/>
      <c r="AQ267"/>
    </row>
    <row r="268" spans="1:43" x14ac:dyDescent="0.55000000000000004">
      <c r="A268">
        <v>267</v>
      </c>
      <c r="B268" s="7">
        <f t="shared" si="8"/>
        <v>267</v>
      </c>
      <c r="C268" s="7">
        <f t="shared" si="9"/>
        <v>0</v>
      </c>
      <c r="D268" t="s">
        <v>235</v>
      </c>
      <c r="E268" t="s">
        <v>34</v>
      </c>
      <c r="F268" t="s">
        <v>19</v>
      </c>
      <c r="G268">
        <v>3</v>
      </c>
      <c r="H268">
        <v>17.3</v>
      </c>
      <c r="I268">
        <v>5.7</v>
      </c>
      <c r="J268">
        <v>0.41199999999999998</v>
      </c>
      <c r="K268">
        <v>0.3</v>
      </c>
      <c r="L268">
        <v>1.3</v>
      </c>
      <c r="M268">
        <v>1</v>
      </c>
      <c r="N268">
        <v>3</v>
      </c>
      <c r="O268">
        <v>1</v>
      </c>
      <c r="P268">
        <v>0.3</v>
      </c>
      <c r="Q268">
        <v>0</v>
      </c>
      <c r="R268">
        <v>1.7</v>
      </c>
      <c r="S268">
        <v>6.3</v>
      </c>
      <c r="T268" s="14">
        <f>(J268 - AVERAGE(FG_Range))*I268</f>
        <v>-0.26668768656716452</v>
      </c>
      <c r="U268" s="14">
        <f>(M268 - AVERAGE(FT_RANGE))*L268</f>
        <v>0.30792699619771802</v>
      </c>
      <c r="V268" s="14">
        <f>(K268 - AVERAGE(Three_Range))/STDEV(Three_Range)</f>
        <v>-1.2075570068304373</v>
      </c>
      <c r="W268" s="14">
        <f>(S268 - AVERAGE(Pts_Range))/STDEV(Pts_Range)</f>
        <v>-1.0321364448734203</v>
      </c>
      <c r="X268" s="14">
        <f>(N268 - AVERAGE(Reb_Range))/STDEV(Reb_Range)</f>
        <v>-0.70970680078784831</v>
      </c>
      <c r="Y268" s="14">
        <f>(O268 - AVERAGE(Ast_Range))/STDEV(Ast_Range)</f>
        <v>-0.88050441514813926</v>
      </c>
      <c r="Z268" s="14">
        <f>(P268 - AVERAGE(Stl_Range))/STDEV(Stl_Range)</f>
        <v>-1.1881871524488112</v>
      </c>
      <c r="AA268" s="14">
        <f>(Q268 - AVERAGE(Blk_Range))/STDEV(Blk_Range)</f>
        <v>-0.99506680113183732</v>
      </c>
      <c r="AB268" s="14">
        <f>(R268 - AVERAGE(Tov_Range))/STDEV(Tov_Range)*-1</f>
        <v>-0.12546265940818194</v>
      </c>
      <c r="AC268" s="14">
        <f>SUM(T268:AB268)</f>
        <v>-6.0973819709981214</v>
      </c>
      <c r="AD268" s="14">
        <v>-6.0973819709981161</v>
      </c>
      <c r="AE268" s="14">
        <f>AD268-AC268</f>
        <v>0</v>
      </c>
      <c r="AF268"/>
      <c r="AG268"/>
      <c r="AH268"/>
      <c r="AI268"/>
      <c r="AJ268"/>
      <c r="AK268"/>
      <c r="AL268"/>
      <c r="AM268"/>
      <c r="AN268"/>
      <c r="AO268"/>
      <c r="AP268"/>
      <c r="AQ268"/>
    </row>
    <row r="269" spans="1:43" x14ac:dyDescent="0.55000000000000004">
      <c r="A269">
        <v>268</v>
      </c>
      <c r="B269" s="7">
        <f t="shared" si="8"/>
        <v>268</v>
      </c>
      <c r="C269" s="7">
        <f t="shared" si="9"/>
        <v>0</v>
      </c>
      <c r="D269" t="s">
        <v>668</v>
      </c>
      <c r="E269" t="s">
        <v>46</v>
      </c>
      <c r="F269" t="s">
        <v>82</v>
      </c>
      <c r="G269">
        <v>7</v>
      </c>
      <c r="H269">
        <v>21.1</v>
      </c>
      <c r="I269">
        <v>6.7</v>
      </c>
      <c r="J269">
        <v>0.27700000000000002</v>
      </c>
      <c r="K269">
        <v>0.7</v>
      </c>
      <c r="L269">
        <v>0.3</v>
      </c>
      <c r="M269">
        <v>0.5</v>
      </c>
      <c r="N269">
        <v>1.1000000000000001</v>
      </c>
      <c r="O269">
        <v>3.6</v>
      </c>
      <c r="P269">
        <v>0.3</v>
      </c>
      <c r="Q269">
        <v>0</v>
      </c>
      <c r="R269">
        <v>2.4</v>
      </c>
      <c r="S269">
        <v>4.5999999999999996</v>
      </c>
      <c r="T269" s="14">
        <f>(J269 - AVERAGE(FG_Range))*I269</f>
        <v>-1.217975</v>
      </c>
      <c r="U269" s="14">
        <f>(M269 - AVERAGE(FT_RANGE))*L269</f>
        <v>-7.893992395437277E-2</v>
      </c>
      <c r="V269" s="14">
        <f>(K269 - AVERAGE(Three_Range))/STDEV(Three_Range)</f>
        <v>-0.79660427307734927</v>
      </c>
      <c r="W269" s="14">
        <f>(S269 - AVERAGE(Pts_Range))/STDEV(Pts_Range)</f>
        <v>-1.3041252032078119</v>
      </c>
      <c r="X269" s="14">
        <f>(N269 - AVERAGE(Reb_Range))/STDEV(Reb_Range)</f>
        <v>-1.4499417515481372</v>
      </c>
      <c r="Y269" s="14">
        <f>(O269 - AVERAGE(Ast_Range))/STDEV(Ast_Range)</f>
        <v>0.38582267767997952</v>
      </c>
      <c r="Z269" s="14">
        <f>(P269 - AVERAGE(Stl_Range))/STDEV(Stl_Range)</f>
        <v>-1.1881871524488112</v>
      </c>
      <c r="AA269" s="14">
        <f>(Q269 - AVERAGE(Blk_Range))/STDEV(Blk_Range)</f>
        <v>-0.99506680113183732</v>
      </c>
      <c r="AB269" s="14">
        <f>(R269 - AVERAGE(Tov_Range))/STDEV(Tov_Range)*-1</f>
        <v>-0.85869614554447204</v>
      </c>
      <c r="AC269" s="14">
        <f>SUM(T269:AB269)</f>
        <v>-7.5037135732328109</v>
      </c>
      <c r="AD269" s="14">
        <v>-7.5037135732328135</v>
      </c>
      <c r="AE269" s="14">
        <f>AD269-AC269</f>
        <v>0</v>
      </c>
      <c r="AF269"/>
      <c r="AG269"/>
      <c r="AH269"/>
      <c r="AI269"/>
      <c r="AJ269"/>
      <c r="AK269"/>
      <c r="AL269"/>
      <c r="AM269"/>
      <c r="AN269"/>
      <c r="AO269"/>
      <c r="AP269"/>
      <c r="AQ269"/>
    </row>
    <row r="270" spans="1:43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</row>
    <row r="271" spans="1:43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</row>
    <row r="272" spans="1:43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</row>
    <row r="273" spans="1:43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</row>
    <row r="274" spans="1:43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</row>
    <row r="275" spans="1:43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</row>
    <row r="276" spans="1:43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</row>
    <row r="277" spans="1:43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</row>
    <row r="278" spans="1:43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</row>
    <row r="279" spans="1:43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</row>
    <row r="280" spans="1:43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</row>
    <row r="281" spans="1:43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</row>
    <row r="282" spans="1:43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</row>
    <row r="283" spans="1:43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</row>
    <row r="284" spans="1:43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</row>
    <row r="285" spans="1:43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</row>
    <row r="286" spans="1:43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</row>
    <row r="287" spans="1:43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</row>
    <row r="288" spans="1:43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</row>
    <row r="289" spans="1:43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</row>
    <row r="290" spans="1:43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</row>
    <row r="291" spans="1:43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</row>
    <row r="292" spans="1:43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</row>
    <row r="293" spans="1:43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</row>
    <row r="294" spans="1:43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</row>
    <row r="295" spans="1:43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</row>
    <row r="296" spans="1:43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</row>
    <row r="297" spans="1:43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</row>
    <row r="298" spans="1:43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</row>
    <row r="299" spans="1:43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</row>
    <row r="300" spans="1:43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</row>
    <row r="301" spans="1:43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</row>
    <row r="302" spans="1:43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</row>
    <row r="303" spans="1:43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</row>
    <row r="304" spans="1:43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</row>
    <row r="305" spans="1:43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</row>
    <row r="306" spans="1:43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</row>
    <row r="307" spans="1:43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</row>
    <row r="308" spans="1:43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</row>
    <row r="309" spans="1:43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</row>
    <row r="310" spans="1:43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</row>
    <row r="311" spans="1:43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</row>
    <row r="312" spans="1:43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</row>
    <row r="313" spans="1:43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</row>
    <row r="314" spans="1:43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</row>
    <row r="315" spans="1:43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</row>
    <row r="316" spans="1:43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</row>
    <row r="317" spans="1:43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</row>
    <row r="318" spans="1:43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</row>
    <row r="319" spans="1:43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</row>
    <row r="320" spans="1:43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</row>
    <row r="321" spans="1:43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</row>
    <row r="322" spans="1:43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</row>
    <row r="323" spans="1:43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</row>
    <row r="324" spans="1:43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</row>
    <row r="325" spans="1:43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</row>
    <row r="326" spans="1:43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</row>
    <row r="327" spans="1:43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</row>
    <row r="328" spans="1:43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</row>
    <row r="329" spans="1:43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</row>
    <row r="330" spans="1:43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</row>
    <row r="331" spans="1:43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</row>
    <row r="332" spans="1:43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</row>
    <row r="333" spans="1:43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</row>
    <row r="334" spans="1:43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</row>
    <row r="335" spans="1:43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</row>
    <row r="336" spans="1:43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</row>
    <row r="337" spans="1:43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</row>
    <row r="338" spans="1:43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</row>
    <row r="339" spans="1:43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</row>
    <row r="340" spans="1:43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</row>
    <row r="341" spans="1:43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</row>
    <row r="342" spans="1:43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</row>
    <row r="343" spans="1:43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</row>
    <row r="344" spans="1:43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</row>
    <row r="345" spans="1:43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</row>
    <row r="346" spans="1:43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</row>
    <row r="347" spans="1:43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</row>
    <row r="348" spans="1:43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</row>
    <row r="349" spans="1:43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</row>
    <row r="350" spans="1:43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</row>
    <row r="351" spans="1:43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</row>
    <row r="352" spans="1:43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</row>
    <row r="353" spans="1:43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</row>
    <row r="354" spans="1:43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</row>
    <row r="355" spans="1:43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</row>
    <row r="356" spans="1:43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</row>
    <row r="357" spans="1:43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</row>
    <row r="358" spans="1:43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</row>
    <row r="359" spans="1:43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</row>
    <row r="360" spans="1:43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</row>
    <row r="361" spans="1:43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</row>
    <row r="362" spans="1:43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</row>
    <row r="363" spans="1:43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</row>
    <row r="364" spans="1:43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</row>
    <row r="365" spans="1:43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</row>
    <row r="366" spans="1:43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</row>
    <row r="367" spans="1:43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</row>
    <row r="368" spans="1:43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</row>
    <row r="369" spans="1:43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</row>
    <row r="370" spans="1:43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</row>
    <row r="371" spans="1:43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</row>
    <row r="372" spans="1:43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</row>
    <row r="373" spans="1:43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</row>
    <row r="374" spans="1:43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</row>
    <row r="375" spans="1:43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</row>
    <row r="376" spans="1:43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</row>
    <row r="377" spans="1:43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</row>
    <row r="378" spans="1:43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</row>
    <row r="379" spans="1:43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</row>
    <row r="380" spans="1:43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</row>
    <row r="381" spans="1:43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</row>
    <row r="382" spans="1:43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</row>
    <row r="383" spans="1:43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</row>
    <row r="384" spans="1:43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</row>
    <row r="385" spans="1:43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</row>
    <row r="386" spans="1:43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</row>
    <row r="387" spans="1:43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</row>
    <row r="388" spans="1:43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</row>
    <row r="389" spans="1:43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</row>
    <row r="390" spans="1:43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</row>
    <row r="391" spans="1:43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</row>
    <row r="392" spans="1:43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</row>
    <row r="393" spans="1:43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</row>
    <row r="394" spans="1:43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</row>
    <row r="395" spans="1:43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</row>
    <row r="396" spans="1:43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</row>
    <row r="397" spans="1:43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</row>
    <row r="398" spans="1:43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</row>
    <row r="399" spans="1:43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</row>
    <row r="400" spans="1:43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</row>
    <row r="401" spans="1:43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</row>
    <row r="402" spans="1:43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</row>
    <row r="403" spans="1:43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</row>
    <row r="404" spans="1:43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</row>
    <row r="405" spans="1:43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</row>
    <row r="406" spans="1:43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</row>
    <row r="407" spans="1:43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</row>
    <row r="408" spans="1:43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</row>
    <row r="409" spans="1:43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</row>
    <row r="410" spans="1:43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</row>
    <row r="411" spans="1:43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</row>
    <row r="412" spans="1:43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</row>
    <row r="413" spans="1:43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</row>
    <row r="414" spans="1:43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</row>
    <row r="415" spans="1:43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</row>
    <row r="416" spans="1:43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</row>
    <row r="417" spans="1:43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</row>
    <row r="418" spans="1:43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</row>
    <row r="419" spans="1:43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</row>
    <row r="420" spans="1:43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</row>
    <row r="421" spans="1:43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</row>
    <row r="422" spans="1:43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</row>
    <row r="423" spans="1:43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</row>
    <row r="424" spans="1:43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</row>
    <row r="425" spans="1:43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</row>
    <row r="426" spans="1:43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</row>
    <row r="427" spans="1:43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</row>
    <row r="428" spans="1:43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</row>
    <row r="429" spans="1:43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</row>
    <row r="430" spans="1:43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</row>
    <row r="431" spans="1:43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</row>
    <row r="432" spans="1:43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</row>
    <row r="433" spans="1:43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</row>
    <row r="434" spans="1:43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</row>
    <row r="435" spans="1:43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</row>
    <row r="436" spans="1:43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</row>
    <row r="437" spans="1:43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</row>
    <row r="438" spans="1:43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</row>
    <row r="439" spans="1:43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</row>
    <row r="440" spans="1:43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</row>
    <row r="441" spans="1:43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</row>
    <row r="442" spans="1:43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</row>
    <row r="443" spans="1:43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</row>
    <row r="444" spans="1:43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</row>
    <row r="445" spans="1:43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</row>
    <row r="446" spans="1:43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</row>
    <row r="447" spans="1:43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</row>
    <row r="448" spans="1:43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</row>
    <row r="449" spans="1:43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</row>
    <row r="450" spans="1:43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</row>
    <row r="451" spans="1:43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</row>
    <row r="452" spans="1:43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</row>
    <row r="453" spans="1:43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</row>
    <row r="454" spans="1:43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</row>
    <row r="455" spans="1:43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</row>
    <row r="456" spans="1:43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</row>
    <row r="457" spans="1:43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</row>
    <row r="458" spans="1:43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</row>
    <row r="459" spans="1:43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</row>
    <row r="460" spans="1:43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</row>
    <row r="461" spans="1:43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</row>
    <row r="462" spans="1:43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</row>
    <row r="463" spans="1:43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</row>
    <row r="464" spans="1:43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</row>
    <row r="465" spans="1:43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</row>
    <row r="466" spans="1:43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</row>
    <row r="467" spans="1:43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</row>
    <row r="468" spans="1:43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</row>
    <row r="469" spans="1:43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</row>
    <row r="470" spans="1:43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</row>
    <row r="471" spans="1:43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</row>
    <row r="472" spans="1:43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</row>
    <row r="473" spans="1:43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</row>
    <row r="474" spans="1:43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</row>
    <row r="475" spans="1:43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</row>
    <row r="476" spans="1:43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</row>
    <row r="477" spans="1:43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</row>
    <row r="478" spans="1:43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</row>
    <row r="479" spans="1:43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</row>
    <row r="480" spans="1:43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</row>
    <row r="481" spans="1:43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</row>
    <row r="482" spans="1:43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</row>
    <row r="483" spans="1:43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</row>
    <row r="484" spans="1:43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</row>
    <row r="485" spans="1:43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</row>
    <row r="486" spans="1:43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</row>
    <row r="487" spans="1:43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</row>
    <row r="488" spans="1:43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</row>
    <row r="489" spans="1:43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</row>
    <row r="490" spans="1:43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</row>
    <row r="491" spans="1:43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</row>
    <row r="492" spans="1:43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</row>
    <row r="493" spans="1:43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</row>
    <row r="494" spans="1:43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</row>
    <row r="495" spans="1:43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</row>
    <row r="496" spans="1:43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</row>
    <row r="497" spans="1:43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</row>
    <row r="498" spans="1:43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</row>
    <row r="499" spans="1:43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</row>
    <row r="500" spans="1:43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</row>
    <row r="501" spans="1:43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</row>
    <row r="502" spans="1:43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</row>
    <row r="503" spans="1:43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</row>
    <row r="504" spans="1:43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</row>
    <row r="505" spans="1:43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</row>
    <row r="506" spans="1:43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</row>
    <row r="507" spans="1:43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</row>
    <row r="508" spans="1:43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</row>
    <row r="509" spans="1:43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</row>
    <row r="510" spans="1:43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</row>
    <row r="511" spans="1:43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</row>
    <row r="512" spans="1:43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</row>
    <row r="513" spans="1:43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</row>
    <row r="514" spans="1:43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</row>
    <row r="515" spans="1:43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</row>
    <row r="516" spans="1:43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</row>
    <row r="517" spans="1:43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</row>
    <row r="518" spans="1:43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</row>
    <row r="519" spans="1:43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</row>
    <row r="520" spans="1:43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</row>
    <row r="521" spans="1:43" x14ac:dyDescent="0.55000000000000004">
      <c r="A521" s="21"/>
      <c r="B521" s="21"/>
      <c r="C521" s="21"/>
      <c r="D521" s="22"/>
      <c r="E521" s="22"/>
      <c r="F521" s="22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4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</row>
  </sheetData>
  <sortState xmlns:xlrd2="http://schemas.microsoft.com/office/spreadsheetml/2017/richdata2" ref="A2:AN520">
    <sortCondition descending="1" ref="AD1"/>
    <sortCondition ref="D1"/>
  </sortState>
  <mergeCells count="1">
    <mergeCell ref="AG1:AL1"/>
  </mergeCells>
  <phoneticPr fontId="6" type="noConversion"/>
  <conditionalFormatting sqref="T2:AB269">
    <cfRule type="colorScale" priority="1">
      <colorScale>
        <cfvo type="num" val="-4"/>
        <cfvo type="num" val="0"/>
        <cfvo type="num" val="4"/>
        <color rgb="FFFF0000"/>
        <color rgb="FFFFFFFF"/>
        <color rgb="FF00FF00"/>
      </colorScale>
    </cfRule>
  </conditionalFormatting>
  <conditionalFormatting sqref="AC2:AC269">
    <cfRule type="colorScale" priority="2">
      <colorScale>
        <cfvo type="num" val="-12"/>
        <cfvo type="num" val="0"/>
        <cfvo type="num" val="12"/>
        <color rgb="FFFF0000"/>
        <color rgb="FFFFFFFF"/>
        <color rgb="FF00FF00"/>
      </colorScale>
    </cfRule>
  </conditionalFormatting>
  <conditionalFormatting sqref="AD2:AD269">
    <cfRule type="colorScale" priority="3">
      <colorScale>
        <cfvo type="num" val="-12"/>
        <cfvo type="num" val="0"/>
        <cfvo type="num" val="12"/>
        <color rgb="FFFF0000"/>
        <color rgb="FFFFFFFF"/>
        <color rgb="FF00FF00"/>
      </colorScale>
    </cfRule>
  </conditionalFormatting>
  <conditionalFormatting sqref="AE2:AE269">
    <cfRule type="cellIs" dxfId="7" priority="4" stopIfTrue="1" operator="greaterThan">
      <formula>0</formula>
    </cfRule>
    <cfRule type="cellIs" dxfId="6" priority="5" stopIfTrue="1" operator="lessThan">
      <formula>0</formula>
    </cfRule>
  </conditionalFormatting>
  <conditionalFormatting sqref="C2:C269">
    <cfRule type="cellIs" dxfId="5" priority="6" stopIfTrue="1" operator="greaterThan">
      <formula>0</formula>
    </cfRule>
    <cfRule type="cellIs" dxfId="4" priority="7" stopIfTrue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AST_Punt">
          <controlPr defaultSize="0" autoLine="0" r:id="rId5">
            <anchor>
              <from>
                <xdr:col>35</xdr:col>
                <xdr:colOff>101600</xdr:colOff>
                <xdr:row>5</xdr:row>
                <xdr:rowOff>209550</xdr:rowOff>
              </from>
              <to>
                <xdr:col>38</xdr:col>
                <xdr:colOff>19050</xdr:colOff>
                <xdr:row>7</xdr:row>
                <xdr:rowOff>215900</xdr:rowOff>
              </to>
            </anchor>
          </controlPr>
        </control>
      </mc:Choice>
      <mc:Fallback>
        <control shapeId="1046" r:id="rId4" name="AST_Punt"/>
      </mc:Fallback>
    </mc:AlternateContent>
    <mc:AlternateContent xmlns:mc="http://schemas.openxmlformats.org/markup-compatibility/2006">
      <mc:Choice Requires="x14">
        <control shapeId="1045" r:id="rId6" name="BLK_Punt">
          <controlPr defaultSize="0" autoLine="0" r:id="rId7">
            <anchor>
              <from>
                <xdr:col>35</xdr:col>
                <xdr:colOff>101600</xdr:colOff>
                <xdr:row>8</xdr:row>
                <xdr:rowOff>0</xdr:rowOff>
              </from>
              <to>
                <xdr:col>38</xdr:col>
                <xdr:colOff>19050</xdr:colOff>
                <xdr:row>10</xdr:row>
                <xdr:rowOff>12700</xdr:rowOff>
              </to>
            </anchor>
          </controlPr>
        </control>
      </mc:Choice>
      <mc:Fallback>
        <control shapeId="1045" r:id="rId6" name="BLK_Punt"/>
      </mc:Fallback>
    </mc:AlternateContent>
    <mc:AlternateContent xmlns:mc="http://schemas.openxmlformats.org/markup-compatibility/2006">
      <mc:Choice Requires="x14">
        <control shapeId="1044" r:id="rId8" name="TOV_Punt">
          <controlPr defaultSize="0" autoLine="0" r:id="rId9">
            <anchor>
              <from>
                <xdr:col>33</xdr:col>
                <xdr:colOff>381000</xdr:colOff>
                <xdr:row>10</xdr:row>
                <xdr:rowOff>101600</xdr:rowOff>
              </from>
              <to>
                <xdr:col>36</xdr:col>
                <xdr:colOff>298450</xdr:colOff>
                <xdr:row>12</xdr:row>
                <xdr:rowOff>107950</xdr:rowOff>
              </to>
            </anchor>
          </controlPr>
        </control>
      </mc:Choice>
      <mc:Fallback>
        <control shapeId="1044" r:id="rId8" name="TOV_Punt"/>
      </mc:Fallback>
    </mc:AlternateContent>
    <mc:AlternateContent xmlns:mc="http://schemas.openxmlformats.org/markup-compatibility/2006">
      <mc:Choice Requires="x14">
        <control shapeId="1043" r:id="rId10" name="STL_Punt">
          <controlPr defaultSize="0" autoLine="0" r:id="rId11">
            <anchor>
              <from>
                <xdr:col>31</xdr:col>
                <xdr:colOff>596900</xdr:colOff>
                <xdr:row>8</xdr:row>
                <xdr:rowOff>0</xdr:rowOff>
              </from>
              <to>
                <xdr:col>34</xdr:col>
                <xdr:colOff>533400</xdr:colOff>
                <xdr:row>10</xdr:row>
                <xdr:rowOff>6350</xdr:rowOff>
              </to>
            </anchor>
          </controlPr>
        </control>
      </mc:Choice>
      <mc:Fallback>
        <control shapeId="1043" r:id="rId10" name="STL_Punt"/>
      </mc:Fallback>
    </mc:AlternateContent>
    <mc:AlternateContent xmlns:mc="http://schemas.openxmlformats.org/markup-compatibility/2006">
      <mc:Choice Requires="x14">
        <control shapeId="1042" r:id="rId12" name="REB_Punt">
          <controlPr defaultSize="0" autoLine="0" r:id="rId13">
            <anchor>
              <from>
                <xdr:col>31</xdr:col>
                <xdr:colOff>577850</xdr:colOff>
                <xdr:row>5</xdr:row>
                <xdr:rowOff>209550</xdr:rowOff>
              </from>
              <to>
                <xdr:col>34</xdr:col>
                <xdr:colOff>514350</xdr:colOff>
                <xdr:row>7</xdr:row>
                <xdr:rowOff>215900</xdr:rowOff>
              </to>
            </anchor>
          </controlPr>
        </control>
      </mc:Choice>
      <mc:Fallback>
        <control shapeId="1042" r:id="rId12" name="REB_Punt"/>
      </mc:Fallback>
    </mc:AlternateContent>
    <mc:AlternateContent xmlns:mc="http://schemas.openxmlformats.org/markup-compatibility/2006">
      <mc:Choice Requires="x14">
        <control shapeId="1040" r:id="rId14" name="PTS_Punt">
          <controlPr defaultSize="0" autoLine="0" r:id="rId15">
            <anchor>
              <from>
                <xdr:col>35</xdr:col>
                <xdr:colOff>82550</xdr:colOff>
                <xdr:row>3</xdr:row>
                <xdr:rowOff>120650</xdr:rowOff>
              </from>
              <to>
                <xdr:col>37</xdr:col>
                <xdr:colOff>603250</xdr:colOff>
                <xdr:row>5</xdr:row>
                <xdr:rowOff>127000</xdr:rowOff>
              </to>
            </anchor>
          </controlPr>
        </control>
      </mc:Choice>
      <mc:Fallback>
        <control shapeId="1040" r:id="rId14" name="PTS_Punt"/>
      </mc:Fallback>
    </mc:AlternateContent>
    <mc:AlternateContent xmlns:mc="http://schemas.openxmlformats.org/markup-compatibility/2006">
      <mc:Choice Requires="x14">
        <control shapeId="1039" r:id="rId16" name="Three_Punt">
          <controlPr defaultSize="0" autoLine="0" r:id="rId17">
            <anchor>
              <from>
                <xdr:col>32</xdr:col>
                <xdr:colOff>6350</xdr:colOff>
                <xdr:row>3</xdr:row>
                <xdr:rowOff>120650</xdr:rowOff>
              </from>
              <to>
                <xdr:col>34</xdr:col>
                <xdr:colOff>552450</xdr:colOff>
                <xdr:row>5</xdr:row>
                <xdr:rowOff>127000</xdr:rowOff>
              </to>
            </anchor>
          </controlPr>
        </control>
      </mc:Choice>
      <mc:Fallback>
        <control shapeId="1039" r:id="rId16" name="Three_Punt"/>
      </mc:Fallback>
    </mc:AlternateContent>
    <mc:AlternateContent xmlns:mc="http://schemas.openxmlformats.org/markup-compatibility/2006">
      <mc:Choice Requires="x14">
        <control shapeId="1038" r:id="rId18" name="FT_Punt">
          <controlPr defaultSize="0" autoLine="0" r:id="rId19">
            <anchor>
              <from>
                <xdr:col>35</xdr:col>
                <xdr:colOff>63500</xdr:colOff>
                <xdr:row>1</xdr:row>
                <xdr:rowOff>25400</xdr:rowOff>
              </from>
              <to>
                <xdr:col>37</xdr:col>
                <xdr:colOff>603250</xdr:colOff>
                <xdr:row>3</xdr:row>
                <xdr:rowOff>31750</xdr:rowOff>
              </to>
            </anchor>
          </controlPr>
        </control>
      </mc:Choice>
      <mc:Fallback>
        <control shapeId="1038" r:id="rId18" name="FT_Punt"/>
      </mc:Fallback>
    </mc:AlternateContent>
    <mc:AlternateContent xmlns:mc="http://schemas.openxmlformats.org/markup-compatibility/2006">
      <mc:Choice Requires="x14">
        <control shapeId="1037" r:id="rId20" name="FG_Punt">
          <controlPr defaultSize="0" autoLine="0" r:id="rId21">
            <anchor>
              <from>
                <xdr:col>32</xdr:col>
                <xdr:colOff>0</xdr:colOff>
                <xdr:row>1</xdr:row>
                <xdr:rowOff>38100</xdr:rowOff>
              </from>
              <to>
                <xdr:col>34</xdr:col>
                <xdr:colOff>546100</xdr:colOff>
                <xdr:row>3</xdr:row>
                <xdr:rowOff>50800</xdr:rowOff>
              </to>
            </anchor>
          </controlPr>
        </control>
      </mc:Choice>
      <mc:Fallback>
        <control shapeId="1037" r:id="rId20" name="FG_Punt"/>
      </mc:Fallback>
    </mc:AlternateContent>
    <mc:AlternateContent xmlns:mc="http://schemas.openxmlformats.org/markup-compatibility/2006">
      <mc:Choice Requires="x14">
        <control shapeId="1047" r:id="rId22" name="Button 23">
          <controlPr defaultSize="0" print="0" autoFill="0" autoPict="0" macro="[0]!Reset_Rankings">
            <anchor moveWithCells="1" sizeWithCells="1">
              <from>
                <xdr:col>33</xdr:col>
                <xdr:colOff>146050</xdr:colOff>
                <xdr:row>13</xdr:row>
                <xdr:rowOff>247650</xdr:rowOff>
              </from>
              <to>
                <xdr:col>38</xdr:col>
                <xdr:colOff>101600</xdr:colOff>
                <xdr:row>16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F406-3049-40F3-9CD7-55EE1D25D2B4}">
  <sheetPr codeName="Sheet6"/>
  <dimension ref="A1:AT251"/>
  <sheetViews>
    <sheetView tabSelected="1" zoomScale="59" zoomScaleNormal="25" workbookViewId="0">
      <selection activeCell="S155" sqref="S155"/>
    </sheetView>
  </sheetViews>
  <sheetFormatPr defaultRowHeight="14.5" x14ac:dyDescent="0.35"/>
  <cols>
    <col min="1" max="2" width="17.7265625" bestFit="1" customWidth="1"/>
    <col min="3" max="3" width="15.7265625" bestFit="1" customWidth="1"/>
    <col min="4" max="4" width="15.90625" customWidth="1"/>
    <col min="5" max="5" width="14.6328125" bestFit="1" customWidth="1"/>
    <col min="6" max="6" width="21.36328125" bestFit="1" customWidth="1"/>
    <col min="7" max="7" width="4.81640625" style="7" bestFit="1" customWidth="1"/>
    <col min="19" max="19" width="17.81640625" bestFit="1" customWidth="1"/>
    <col min="20" max="20" width="7.1796875" customWidth="1"/>
    <col min="21" max="21" width="6.7265625" customWidth="1"/>
    <col min="22" max="22" width="6.1796875" customWidth="1"/>
    <col min="23" max="23" width="7.36328125" customWidth="1"/>
    <col min="24" max="25" width="6.54296875" customWidth="1"/>
    <col min="26" max="27" width="7.1796875" customWidth="1"/>
    <col min="28" max="28" width="7" customWidth="1"/>
    <col min="29" max="29" width="8.7265625" customWidth="1"/>
    <col min="30" max="30" width="17.81640625" bestFit="1" customWidth="1"/>
    <col min="31" max="31" width="13.81640625" bestFit="1" customWidth="1"/>
    <col min="32" max="32" width="15.26953125" bestFit="1" customWidth="1"/>
    <col min="33" max="33" width="11.90625" bestFit="1" customWidth="1"/>
    <col min="34" max="34" width="18.26953125" bestFit="1" customWidth="1"/>
    <col min="35" max="35" width="14.6328125" bestFit="1" customWidth="1"/>
    <col min="36" max="36" width="13.90625" bestFit="1" customWidth="1"/>
    <col min="37" max="37" width="14.453125" bestFit="1" customWidth="1"/>
    <col min="38" max="38" width="12.7265625" bestFit="1" customWidth="1"/>
    <col min="39" max="39" width="10.36328125" bestFit="1" customWidth="1"/>
    <col min="40" max="40" width="13.6328125" bestFit="1" customWidth="1"/>
    <col min="41" max="41" width="17.26953125" bestFit="1" customWidth="1"/>
    <col min="42" max="42" width="11.453125" bestFit="1" customWidth="1"/>
    <col min="43" max="43" width="9.81640625" bestFit="1" customWidth="1"/>
    <col min="44" max="44" width="12.81640625" bestFit="1" customWidth="1"/>
    <col min="45" max="45" width="8.7265625" customWidth="1"/>
  </cols>
  <sheetData>
    <row r="1" spans="1:44" x14ac:dyDescent="0.35">
      <c r="A1" s="3" t="s">
        <v>664</v>
      </c>
      <c r="C1" s="3" t="s">
        <v>661</v>
      </c>
      <c r="D1">
        <v>13</v>
      </c>
      <c r="F1" s="3" t="str">
        <f>A2</f>
        <v>Team 1</v>
      </c>
      <c r="G1" s="3"/>
      <c r="H1" s="7"/>
      <c r="I1" s="7"/>
      <c r="J1" s="7"/>
      <c r="K1" s="7"/>
      <c r="L1" s="7"/>
      <c r="M1" s="7"/>
      <c r="N1" s="7"/>
      <c r="O1" s="7"/>
      <c r="P1" s="7"/>
      <c r="Q1" s="7"/>
      <c r="S1" s="51" t="s">
        <v>678</v>
      </c>
      <c r="T1" s="52" t="s">
        <v>631</v>
      </c>
      <c r="U1" s="52" t="s">
        <v>632</v>
      </c>
      <c r="V1" s="52" t="s">
        <v>540</v>
      </c>
      <c r="W1" s="52" t="s">
        <v>537</v>
      </c>
      <c r="X1" s="52" t="s">
        <v>541</v>
      </c>
      <c r="Y1" s="52" t="s">
        <v>536</v>
      </c>
      <c r="Z1" s="52" t="s">
        <v>538</v>
      </c>
      <c r="AA1" s="52" t="s">
        <v>539</v>
      </c>
      <c r="AB1" s="53" t="s">
        <v>542</v>
      </c>
      <c r="AD1" s="33" t="s">
        <v>674</v>
      </c>
      <c r="AE1" s="34" t="str">
        <f>A2</f>
        <v>Team 1</v>
      </c>
      <c r="AF1" s="34" t="str">
        <f>A3</f>
        <v>Team 2</v>
      </c>
      <c r="AG1" s="34" t="str">
        <f>A4</f>
        <v>Team 3</v>
      </c>
      <c r="AH1" s="34" t="str">
        <f>A5</f>
        <v>Team 4</v>
      </c>
      <c r="AI1" s="34" t="str">
        <f>A6</f>
        <v>Team 5</v>
      </c>
      <c r="AJ1" s="34" t="str">
        <f>A7</f>
        <v>Team 6</v>
      </c>
      <c r="AK1" s="34" t="str">
        <f>A8</f>
        <v>Team 7</v>
      </c>
      <c r="AL1" s="34" t="str">
        <f>A9</f>
        <v>Team 8</v>
      </c>
      <c r="AM1" s="34" t="str">
        <f>A10</f>
        <v>Team 9</v>
      </c>
      <c r="AN1" s="34" t="str">
        <f>A11</f>
        <v>Team 10</v>
      </c>
      <c r="AO1" s="34" t="str">
        <f>A12</f>
        <v>Team 11</v>
      </c>
      <c r="AP1" s="34" t="str">
        <f>A13</f>
        <v>Team 12</v>
      </c>
      <c r="AQ1" s="34" t="str">
        <f>A14</f>
        <v>Team 13</v>
      </c>
      <c r="AR1" s="35" t="str">
        <f>A15</f>
        <v>Team 14</v>
      </c>
    </row>
    <row r="2" spans="1:44" s="7" customFormat="1" x14ac:dyDescent="0.35">
      <c r="A2" s="7" t="s">
        <v>767</v>
      </c>
      <c r="C2" s="3"/>
      <c r="F2" s="26" t="s">
        <v>662</v>
      </c>
      <c r="G2" s="26" t="s">
        <v>4</v>
      </c>
      <c r="H2" s="26" t="s">
        <v>631</v>
      </c>
      <c r="I2" s="26" t="s">
        <v>632</v>
      </c>
      <c r="J2" s="26" t="s">
        <v>540</v>
      </c>
      <c r="K2" s="26" t="s">
        <v>537</v>
      </c>
      <c r="L2" s="26" t="s">
        <v>541</v>
      </c>
      <c r="M2" s="26" t="s">
        <v>536</v>
      </c>
      <c r="N2" s="26" t="s">
        <v>538</v>
      </c>
      <c r="O2" s="26" t="s">
        <v>539</v>
      </c>
      <c r="P2" s="26" t="s">
        <v>542</v>
      </c>
      <c r="Q2" s="26" t="s">
        <v>633</v>
      </c>
      <c r="S2" s="58" t="str">
        <f>A$2</f>
        <v>Team 1</v>
      </c>
      <c r="T2" s="60">
        <f>H$16</f>
        <v>0.41422388059701104</v>
      </c>
      <c r="U2" s="60">
        <f t="shared" ref="U2:AB2" si="0">I16</f>
        <v>1.1281653992395206</v>
      </c>
      <c r="V2" s="60">
        <f t="shared" si="0"/>
        <v>-8.2037206178336874E-2</v>
      </c>
      <c r="W2" s="60">
        <f t="shared" si="0"/>
        <v>5.4134478966207533</v>
      </c>
      <c r="X2" s="60">
        <f t="shared" si="0"/>
        <v>3.4746849554345083</v>
      </c>
      <c r="Y2" s="60">
        <f t="shared" si="0"/>
        <v>2.5317455123691932</v>
      </c>
      <c r="Z2" s="60">
        <f t="shared" si="0"/>
        <v>0.83956696505468176</v>
      </c>
      <c r="AA2" s="60">
        <f t="shared" si="0"/>
        <v>-0.21057430231419577</v>
      </c>
      <c r="AB2" s="61">
        <f t="shared" si="0"/>
        <v>-4.4592008759749131</v>
      </c>
      <c r="AD2" s="36" t="str">
        <f>A2</f>
        <v>Team 1</v>
      </c>
      <c r="AE2" s="37"/>
      <c r="AF2" s="29">
        <f>9-AE3</f>
        <v>7</v>
      </c>
      <c r="AG2" s="29">
        <f>9-AE$4</f>
        <v>6</v>
      </c>
      <c r="AH2" s="28">
        <f>9-AE$5</f>
        <v>5</v>
      </c>
      <c r="AI2" s="28">
        <f>9-AE6</f>
        <v>4</v>
      </c>
      <c r="AJ2" s="28">
        <f>9-AE7</f>
        <v>7</v>
      </c>
      <c r="AK2" s="28">
        <f>9-AE8</f>
        <v>8</v>
      </c>
      <c r="AL2" s="28">
        <f>9-AE9</f>
        <v>4</v>
      </c>
      <c r="AM2" s="28">
        <f>9-AE10</f>
        <v>5</v>
      </c>
      <c r="AN2" s="28">
        <f>9-AE11</f>
        <v>7</v>
      </c>
      <c r="AO2" s="28">
        <f>9-AE12</f>
        <v>6</v>
      </c>
      <c r="AP2" s="28">
        <f>9-AE13</f>
        <v>4</v>
      </c>
      <c r="AQ2" s="28">
        <f>9-AE14</f>
        <v>5</v>
      </c>
      <c r="AR2" s="38">
        <f>9-AE15</f>
        <v>5</v>
      </c>
    </row>
    <row r="3" spans="1:44" x14ac:dyDescent="0.35">
      <c r="A3" s="7" t="s">
        <v>768</v>
      </c>
      <c r="C3" s="73" t="s">
        <v>656</v>
      </c>
      <c r="D3" s="73"/>
      <c r="F3" s="8" t="s">
        <v>133</v>
      </c>
      <c r="G3" s="8">
        <f>VLOOKUP(F3,Rankings!$D$2:$AE$300,5,0)</f>
        <v>32.5</v>
      </c>
      <c r="H3" s="14">
        <f>VLOOKUP(F3,Rankings!$D$2:$AE$300,17,0)</f>
        <v>1.6465604477611928</v>
      </c>
      <c r="I3" s="14">
        <f>VLOOKUP(F3,Rankings!$D$2:$AE$300,18,0)</f>
        <v>-3.2098859315591532E-2</v>
      </c>
      <c r="J3" s="14">
        <f>VLOOKUP(F3,Rankings!$D$2:$AE$300,19,0)</f>
        <v>-0.18017517244771702</v>
      </c>
      <c r="K3" s="14">
        <f>VLOOKUP(F3,Rankings!$D$2:$AE$300,20,0)</f>
        <v>1.5597564286660743</v>
      </c>
      <c r="L3" s="14">
        <f>VLOOKUP(F3,Rankings!$D$2:$AE$300,21,0)</f>
        <v>1.5109980514930184</v>
      </c>
      <c r="M3" s="14">
        <f>VLOOKUP(F3,Rankings!$D$2:$AE$300,22,0)</f>
        <v>0.14229823675149517</v>
      </c>
      <c r="N3" s="14">
        <f>VLOOKUP(F3,Rankings!$D$2:$AE$300,23,0)</f>
        <v>0.74041810441964995</v>
      </c>
      <c r="O3" s="14">
        <f>VLOOKUP(F3,Rankings!$D$2:$AE$300,24,0)</f>
        <v>2.5089996935869174</v>
      </c>
      <c r="P3" s="14">
        <f>VLOOKUP(F3,Rankings!$D$2:$AE$300,25,0)</f>
        <v>-0.54445322291463361</v>
      </c>
      <c r="Q3" s="14">
        <f>VLOOKUP(F3,Rankings!$D$2:$AE$300,26,0)</f>
        <v>7.3523037080004059</v>
      </c>
      <c r="S3" s="58" t="str">
        <f>A$3</f>
        <v>Team 2</v>
      </c>
      <c r="T3" s="54">
        <f>H$34</f>
        <v>2.9874272388059633</v>
      </c>
      <c r="U3" s="54">
        <f t="shared" ref="U3:AB3" si="1">I34</f>
        <v>1.2234897338402853</v>
      </c>
      <c r="V3" s="54">
        <f t="shared" si="1"/>
        <v>9.4726138535809596</v>
      </c>
      <c r="W3" s="54">
        <f t="shared" si="1"/>
        <v>8.2773295284946418</v>
      </c>
      <c r="X3" s="54">
        <f t="shared" si="1"/>
        <v>3.5526044239355938</v>
      </c>
      <c r="Y3" s="54">
        <f t="shared" si="1"/>
        <v>8.717266311952697</v>
      </c>
      <c r="Z3" s="54">
        <f t="shared" si="1"/>
        <v>8.9825669384992963</v>
      </c>
      <c r="AA3" s="54">
        <f t="shared" si="1"/>
        <v>-2.0548198258503825</v>
      </c>
      <c r="AB3" s="55">
        <f t="shared" si="1"/>
        <v>-9.2775923562991061</v>
      </c>
      <c r="AD3" s="36" t="str">
        <f t="shared" ref="AD3:AD15" si="2">A3</f>
        <v>Team 2</v>
      </c>
      <c r="AE3" s="29">
        <f t="shared" ref="AE3:AE11" si="3">IF(T$2&gt;T3, 1, 0) + IF(U$2&gt;U3, 1, 0) + IF(V$2&gt;V3, 1, 0) + IF(W$2 &gt;W3,1,0) + IF(X$2&gt;X3,1,0) + IF(Y$2&gt;Y3,1,0)+IF(Z$2&gt;Z3,1,0)+IF(AA$2&gt;AA3,1,0)+IF(AB$2&gt;AB3,1,0)</f>
        <v>2</v>
      </c>
      <c r="AF3" s="37"/>
      <c r="AG3" s="29">
        <f>9-AF$4</f>
        <v>3</v>
      </c>
      <c r="AH3" s="28">
        <f>9-AF$5</f>
        <v>4</v>
      </c>
      <c r="AI3" s="28">
        <f>9-AF$6</f>
        <v>2</v>
      </c>
      <c r="AJ3" s="28">
        <f>9-AF$7</f>
        <v>5</v>
      </c>
      <c r="AK3" s="28">
        <f>9-AF$8</f>
        <v>5</v>
      </c>
      <c r="AL3" s="28">
        <f>9-AF$9</f>
        <v>2</v>
      </c>
      <c r="AM3" s="28">
        <f>9-AF$10</f>
        <v>4</v>
      </c>
      <c r="AN3" s="28">
        <f>9-AF$11</f>
        <v>6</v>
      </c>
      <c r="AO3" s="28">
        <f>9-AF$12</f>
        <v>2</v>
      </c>
      <c r="AP3" s="28">
        <f>9-AF$13</f>
        <v>3</v>
      </c>
      <c r="AQ3" s="28">
        <f>9-AF$14</f>
        <v>4</v>
      </c>
      <c r="AR3" s="38">
        <f>9-AF$15</f>
        <v>4</v>
      </c>
    </row>
    <row r="4" spans="1:44" x14ac:dyDescent="0.35">
      <c r="A4" s="7" t="s">
        <v>769</v>
      </c>
      <c r="C4" t="s">
        <v>657</v>
      </c>
      <c r="F4" s="8" t="s">
        <v>149</v>
      </c>
      <c r="G4" s="8">
        <f>VLOOKUP(F4,Rankings!$D$2:$AE$300,5,0)</f>
        <v>32</v>
      </c>
      <c r="H4" s="14">
        <f>VLOOKUP(F4,Rankings!$D$2:$AE$300,17,0)</f>
        <v>1.363402985074627</v>
      </c>
      <c r="I4" s="14">
        <f>VLOOKUP(F4,Rankings!$D$2:$AE$300,18,0)</f>
        <v>0.90086235741444409</v>
      </c>
      <c r="J4" s="14">
        <f>VLOOKUP(F4,Rankings!$D$2:$AE$300,19,0)</f>
        <v>-0.28291335588598915</v>
      </c>
      <c r="K4" s="14">
        <f>VLOOKUP(F4,Rankings!$D$2:$AE$300,20,0)</f>
        <v>2.2157293164137246</v>
      </c>
      <c r="L4" s="14">
        <f>VLOOKUP(F4,Rankings!$D$2:$AE$300,21,0)</f>
        <v>2.8356290160114304</v>
      </c>
      <c r="M4" s="14">
        <f>VLOOKUP(F4,Rankings!$D$2:$AE$300,22,0)</f>
        <v>0.14229823675149517</v>
      </c>
      <c r="N4" s="14">
        <f>VLOOKUP(F4,Rankings!$D$2:$AE$300,23,0)</f>
        <v>1.168997050390419</v>
      </c>
      <c r="O4" s="14">
        <f>VLOOKUP(F4,Rankings!$D$2:$AE$300,24,0)</f>
        <v>1.9557260365260618</v>
      </c>
      <c r="P4" s="14">
        <f>VLOOKUP(F4,Rankings!$D$2:$AE$300,25,0)</f>
        <v>-1.6966772725573753</v>
      </c>
      <c r="Q4" s="14">
        <f>VLOOKUP(F4,Rankings!$D$2:$AE$300,26,0)</f>
        <v>8.6030543701388371</v>
      </c>
      <c r="S4" s="58" t="str">
        <f>A$4</f>
        <v>Team 3</v>
      </c>
      <c r="T4" s="68">
        <f>H$52</f>
        <v>0.41741679104477158</v>
      </c>
      <c r="U4" s="68">
        <f t="shared" ref="U4:AB4" si="4">I52</f>
        <v>-0.56526349809887844</v>
      </c>
      <c r="V4" s="68">
        <f t="shared" si="4"/>
        <v>1.8699882791488305</v>
      </c>
      <c r="W4" s="68">
        <f t="shared" si="4"/>
        <v>1.7016013122925884</v>
      </c>
      <c r="X4" s="68">
        <f t="shared" si="4"/>
        <v>6.2797858214734985</v>
      </c>
      <c r="Y4" s="68">
        <f t="shared" si="4"/>
        <v>3.3597286115260379</v>
      </c>
      <c r="Z4" s="68">
        <f t="shared" si="4"/>
        <v>-4.5176698595799323</v>
      </c>
      <c r="AA4" s="68">
        <f t="shared" si="4"/>
        <v>2.7402185353437032</v>
      </c>
      <c r="AB4" s="69">
        <f t="shared" si="4"/>
        <v>-3.2022291854555598</v>
      </c>
      <c r="AD4" s="36" t="str">
        <f t="shared" si="2"/>
        <v>Team 3</v>
      </c>
      <c r="AE4" s="29">
        <f t="shared" si="3"/>
        <v>3</v>
      </c>
      <c r="AF4" s="29">
        <f t="shared" ref="AF4:AF15" si="5">IF(T$3&gt;T4, 1, 0) + IF(U$3&gt;U4, 1, 0) + IF(V$3&gt;V4, 1, 0) + IF(W$3 &gt;W4,1,0) + IF(X$3&gt;X4,1,0) + IF(Y$3&gt;Y4,1,0)+IF(Z$3&gt;Z4,1,0)+IF(AA$3&gt;AA4,1,0)+IF(AB$3&gt;AB4,1,0)</f>
        <v>6</v>
      </c>
      <c r="AG4" s="37"/>
      <c r="AH4" s="28">
        <f>9-AG$5</f>
        <v>6</v>
      </c>
      <c r="AI4" s="28">
        <f>9-AG$6</f>
        <v>4</v>
      </c>
      <c r="AJ4" s="28">
        <f>9-AG$7</f>
        <v>7</v>
      </c>
      <c r="AK4" s="28">
        <f>9-AG$8</f>
        <v>7</v>
      </c>
      <c r="AL4" s="28">
        <f>9-AG$9</f>
        <v>4</v>
      </c>
      <c r="AM4" s="28">
        <f>9-AG$10</f>
        <v>6</v>
      </c>
      <c r="AN4" s="28">
        <f>9-AG$11</f>
        <v>6</v>
      </c>
      <c r="AO4" s="28">
        <f>9-AG$12</f>
        <v>6</v>
      </c>
      <c r="AP4" s="28">
        <f>9-AG$13</f>
        <v>3</v>
      </c>
      <c r="AQ4" s="28">
        <f>9-AG$14</f>
        <v>4</v>
      </c>
      <c r="AR4" s="38">
        <f>9-AG$15</f>
        <v>4</v>
      </c>
    </row>
    <row r="5" spans="1:44" x14ac:dyDescent="0.35">
      <c r="A5" s="7" t="s">
        <v>770</v>
      </c>
      <c r="C5" s="7" t="s">
        <v>658</v>
      </c>
      <c r="D5" s="7"/>
      <c r="F5" s="8" t="s">
        <v>427</v>
      </c>
      <c r="G5" s="8">
        <f>VLOOKUP(F5,Rankings!$D$2:$AE$300,5,0)</f>
        <v>37.1</v>
      </c>
      <c r="H5" s="14">
        <f>VLOOKUP(F5,Rankings!$D$2:$AE$300,17,0)</f>
        <v>-1.5591951492537319</v>
      </c>
      <c r="I5" s="14">
        <f>VLOOKUP(F5,Rankings!$D$2:$AE$300,18,0)</f>
        <v>-0.53066539923954603</v>
      </c>
      <c r="J5" s="14">
        <f>VLOOKUP(F5,Rankings!$D$2:$AE$300,19,0)</f>
        <v>-7.7436989009445123E-2</v>
      </c>
      <c r="K5" s="14">
        <f>VLOOKUP(F5,Rankings!$D$2:$AE$300,20,0)</f>
        <v>1.0477775894483965</v>
      </c>
      <c r="L5" s="14">
        <f>VLOOKUP(F5,Rankings!$D$2:$AE$300,21,0)</f>
        <v>1.9005953939984337</v>
      </c>
      <c r="M5" s="14">
        <f>VLOOKUP(F5,Rankings!$D$2:$AE$300,22,0)</f>
        <v>4.1360990679786385</v>
      </c>
      <c r="N5" s="14">
        <f>VLOOKUP(F5,Rankings!$D$2:$AE$300,23,0)</f>
        <v>0.95470757740503476</v>
      </c>
      <c r="O5" s="14">
        <f>VLOOKUP(F5,Rankings!$D$2:$AE$300,24,0)</f>
        <v>-0.4417931440709813</v>
      </c>
      <c r="P5" s="14">
        <f>VLOOKUP(F5,Rankings!$D$2:$AE$300,25,0)</f>
        <v>-3.8963777309662451</v>
      </c>
      <c r="Q5" s="14">
        <f>VLOOKUP(F5,Rankings!$D$2:$AE$300,26,0)</f>
        <v>1.5337112162905537</v>
      </c>
      <c r="S5" s="58" t="str">
        <f>A$5</f>
        <v>Team 4</v>
      </c>
      <c r="T5" s="60">
        <f>H$70</f>
        <v>6.9278839552238773</v>
      </c>
      <c r="U5" s="60">
        <f t="shared" ref="U5:AB5" si="6">I70</f>
        <v>1.0323433460075853</v>
      </c>
      <c r="V5" s="60">
        <f t="shared" si="6"/>
        <v>-3.4202614650606962</v>
      </c>
      <c r="W5" s="60">
        <f t="shared" si="6"/>
        <v>4.7258345255725738</v>
      </c>
      <c r="X5" s="60">
        <f t="shared" si="6"/>
        <v>6.725206066785657</v>
      </c>
      <c r="Y5" s="60">
        <f t="shared" si="6"/>
        <v>4.8772130008938346</v>
      </c>
      <c r="Z5" s="60">
        <f t="shared" si="6"/>
        <v>-0.64126924378461791</v>
      </c>
      <c r="AA5" s="60">
        <f t="shared" si="6"/>
        <v>2.3328329570103352</v>
      </c>
      <c r="AB5" s="61">
        <f t="shared" si="6"/>
        <v>-3.8940326345287115</v>
      </c>
      <c r="AD5" s="36" t="str">
        <f t="shared" si="2"/>
        <v>Team 4</v>
      </c>
      <c r="AE5" s="29">
        <f t="shared" si="3"/>
        <v>4</v>
      </c>
      <c r="AF5" s="29">
        <f t="shared" si="5"/>
        <v>5</v>
      </c>
      <c r="AG5" s="29">
        <f t="shared" ref="AG5:AG15" si="7">IF(T$4&gt;T5, 1, 0) + IF(U$4&gt;U5, 1, 0) + IF(V$4&gt;V5, 1, 0) + IF(W$4 &gt;W5,1,0) + IF(X$4&gt;X5,1,0) + IF(Y$4&gt;Y5,1,0)+IF(Z$4&gt;Z5,1,0)+IF(AA$4&gt;AA5,1,0)+IF(AB$4&gt;AB5,1,0)</f>
        <v>3</v>
      </c>
      <c r="AH5" s="37"/>
      <c r="AI5" s="28">
        <f>9-AH6</f>
        <v>3</v>
      </c>
      <c r="AJ5" s="28">
        <f>9-AH7</f>
        <v>5</v>
      </c>
      <c r="AK5" s="28">
        <f>9-AH8</f>
        <v>6</v>
      </c>
      <c r="AL5" s="28">
        <f>9-AH9</f>
        <v>3</v>
      </c>
      <c r="AM5" s="28">
        <f>9-AH10</f>
        <v>6</v>
      </c>
      <c r="AN5" s="28">
        <f>9-AH11</f>
        <v>6</v>
      </c>
      <c r="AO5" s="28">
        <f>9-AH12</f>
        <v>4</v>
      </c>
      <c r="AP5" s="28">
        <f>9-AH13</f>
        <v>4</v>
      </c>
      <c r="AQ5" s="28">
        <f>9-AH14</f>
        <v>4</v>
      </c>
      <c r="AR5" s="38">
        <f>9-AH15</f>
        <v>2</v>
      </c>
    </row>
    <row r="6" spans="1:44" s="7" customFormat="1" x14ac:dyDescent="0.35">
      <c r="A6" s="7" t="s">
        <v>771</v>
      </c>
      <c r="F6" s="8" t="s">
        <v>669</v>
      </c>
      <c r="G6" s="8">
        <f>VLOOKUP(F6,Rankings!$D$2:$AE$300,5,0)</f>
        <v>25.5</v>
      </c>
      <c r="H6" s="14">
        <f>VLOOKUP(F6,Rankings!$D$2:$AE$300,17,0)</f>
        <v>-0.94855000000000034</v>
      </c>
      <c r="I6" s="14">
        <f>VLOOKUP(F6,Rankings!$D$2:$AE$300,18,0)</f>
        <v>-2.3794676806093706E-3</v>
      </c>
      <c r="J6" s="14">
        <f>VLOOKUP(F6,Rankings!$D$2:$AE$300,19,0)</f>
        <v>0.12803937786709912</v>
      </c>
      <c r="K6" s="14">
        <f>VLOOKUP(F6,Rankings!$D$2:$AE$300,20,0)</f>
        <v>0.13581528209190746</v>
      </c>
      <c r="L6" s="14">
        <f>VLOOKUP(F6,Rankings!$D$2:$AE$300,21,0)</f>
        <v>-0.74866653503838987</v>
      </c>
      <c r="M6" s="14">
        <f>VLOOKUP(F6,Rankings!$D$2:$AE$300,22,0)</f>
        <v>-0.3934555332911705</v>
      </c>
      <c r="N6" s="14">
        <f>VLOOKUP(F6,Rankings!$D$2:$AE$300,23,0)</f>
        <v>-0.54531873349265758</v>
      </c>
      <c r="O6" s="14">
        <f>VLOOKUP(F6,Rankings!$D$2:$AE$300,24,0)</f>
        <v>-0.6262176964245999</v>
      </c>
      <c r="P6" s="14">
        <f>VLOOKUP(F6,Rankings!$D$2:$AE$300,25,0)</f>
        <v>-0.43970558203802057</v>
      </c>
      <c r="Q6" s="14">
        <f>VLOOKUP(F6,Rankings!$D$2:$AE$300,26,0)</f>
        <v>-3.4404388880064412</v>
      </c>
      <c r="S6" s="58" t="str">
        <f>A$6</f>
        <v>Team 5</v>
      </c>
      <c r="T6" s="54">
        <f>H$88</f>
        <v>0.50251194029850232</v>
      </c>
      <c r="U6" s="54">
        <f t="shared" ref="U6:AB6" si="8">I88</f>
        <v>-2.596135741444888</v>
      </c>
      <c r="V6" s="54">
        <f t="shared" si="8"/>
        <v>0.22617734413647783</v>
      </c>
      <c r="W6" s="54">
        <f t="shared" si="8"/>
        <v>2.7735570069046016</v>
      </c>
      <c r="X6" s="54">
        <f t="shared" si="8"/>
        <v>3.2409265499312601</v>
      </c>
      <c r="Y6" s="54">
        <f t="shared" si="8"/>
        <v>1.9472868541408288</v>
      </c>
      <c r="Z6" s="54">
        <f t="shared" si="8"/>
        <v>0.62527749206929739</v>
      </c>
      <c r="AA6" s="54">
        <f t="shared" si="8"/>
        <v>0.15827480239304181</v>
      </c>
      <c r="AB6" s="55">
        <f t="shared" si="8"/>
        <v>-2.3642480584426564</v>
      </c>
      <c r="AD6" s="36" t="str">
        <f t="shared" si="2"/>
        <v>Team 5</v>
      </c>
      <c r="AE6" s="29">
        <f t="shared" si="3"/>
        <v>5</v>
      </c>
      <c r="AF6" s="29">
        <f t="shared" si="5"/>
        <v>7</v>
      </c>
      <c r="AG6" s="29">
        <f t="shared" si="7"/>
        <v>5</v>
      </c>
      <c r="AH6" s="28">
        <f>IF(T$5&gt;T6, 1, 0) + IF(U$5&gt;U6, 1, 0) + IF(V$5&gt;V6, 1, 0) + IF(W$5 &gt;W6,1,0) + IF(X$5&gt;X6,1,0) + IF(Y$5&gt;Y6,1,0)+IF(Z$5&gt;Z6,1,0)+IF(AA$5&gt;AA6,1,0)+IF(AB$5&gt;AB6,1,0)</f>
        <v>6</v>
      </c>
      <c r="AI6" s="37"/>
      <c r="AJ6" s="28">
        <f>9-AI7</f>
        <v>8</v>
      </c>
      <c r="AK6" s="28">
        <f>9-AI8</f>
        <v>8</v>
      </c>
      <c r="AL6" s="28">
        <f>9-AI9</f>
        <v>5</v>
      </c>
      <c r="AM6" s="28">
        <f>9-AI10</f>
        <v>6</v>
      </c>
      <c r="AN6" s="28">
        <f>9-AI11</f>
        <v>7</v>
      </c>
      <c r="AO6" s="28">
        <f>9-AI12</f>
        <v>7</v>
      </c>
      <c r="AP6" s="28">
        <f>9-AI13</f>
        <v>4</v>
      </c>
      <c r="AQ6" s="28">
        <f>9-AI14</f>
        <v>6</v>
      </c>
      <c r="AR6" s="38">
        <f>9-AI15</f>
        <v>5</v>
      </c>
    </row>
    <row r="7" spans="1:44" x14ac:dyDescent="0.35">
      <c r="A7" s="7" t="s">
        <v>772</v>
      </c>
      <c r="C7" s="7"/>
      <c r="D7" s="7"/>
      <c r="F7" s="8" t="s">
        <v>435</v>
      </c>
      <c r="G7" s="8">
        <f>VLOOKUP(F7,Rankings!$D$2:$AE$300,5,0)</f>
        <v>20.6</v>
      </c>
      <c r="H7" s="14">
        <f>VLOOKUP(F7,Rankings!$D$2:$AE$300,17,0)</f>
        <v>-6.4634701492537486E-2</v>
      </c>
      <c r="I7" s="14">
        <f>VLOOKUP(F7,Rankings!$D$2:$AE$300,18,0)</f>
        <v>4.1720532319390671E-2</v>
      </c>
      <c r="J7" s="14">
        <f>VLOOKUP(F7,Rankings!$D$2:$AE$300,19,0)</f>
        <v>-0.59112790620080513</v>
      </c>
      <c r="K7" s="14">
        <f>VLOOKUP(F7,Rankings!$D$2:$AE$300,20,0)</f>
        <v>-0.44016091202798019</v>
      </c>
      <c r="L7" s="14">
        <f>VLOOKUP(F7,Rankings!$D$2:$AE$300,21,0)</f>
        <v>-1.1382638775438052</v>
      </c>
      <c r="M7" s="14">
        <f>VLOOKUP(F7,Rankings!$D$2:$AE$300,22,0)</f>
        <v>-5.252131599129229E-2</v>
      </c>
      <c r="N7" s="14">
        <f>VLOOKUP(F7,Rankings!$D$2:$AE$300,23,0)</f>
        <v>-0.33102926050727299</v>
      </c>
      <c r="O7" s="14">
        <f>VLOOKUP(F7,Rankings!$D$2:$AE$300,24,0)</f>
        <v>-0.81064224877821867</v>
      </c>
      <c r="P7" s="14">
        <f>VLOOKUP(F7,Rankings!$D$2:$AE$300,25,0)</f>
        <v>0.71251846760472104</v>
      </c>
      <c r="Q7" s="14">
        <f>VLOOKUP(F7,Rankings!$D$2:$AE$300,26,0)</f>
        <v>-2.6741412226178003</v>
      </c>
      <c r="S7" s="58" t="str">
        <f>A$7</f>
        <v>Team 6</v>
      </c>
      <c r="T7" s="54">
        <f>H$106</f>
        <v>3.8664332089552205</v>
      </c>
      <c r="U7" s="54">
        <f t="shared" ref="U7:AB7" si="9">I106</f>
        <v>4.0866190114068202</v>
      </c>
      <c r="V7" s="54">
        <f t="shared" si="9"/>
        <v>2.6918937466550092</v>
      </c>
      <c r="W7" s="54">
        <f t="shared" si="9"/>
        <v>9.9252614172265421</v>
      </c>
      <c r="X7" s="54">
        <f t="shared" si="9"/>
        <v>1.2929398374041847</v>
      </c>
      <c r="Y7" s="54">
        <f t="shared" si="9"/>
        <v>4.6260557043541581</v>
      </c>
      <c r="Z7" s="54">
        <f t="shared" si="9"/>
        <v>0.62527749206929828</v>
      </c>
      <c r="AA7" s="54">
        <f t="shared" si="9"/>
        <v>0.52712390710027901</v>
      </c>
      <c r="AB7" s="55">
        <f t="shared" si="9"/>
        <v>-1.4215192905531393</v>
      </c>
      <c r="AD7" s="36" t="str">
        <f t="shared" si="2"/>
        <v>Team 6</v>
      </c>
      <c r="AE7" s="29">
        <f t="shared" si="3"/>
        <v>2</v>
      </c>
      <c r="AF7" s="29">
        <f t="shared" si="5"/>
        <v>4</v>
      </c>
      <c r="AG7" s="29">
        <f t="shared" si="7"/>
        <v>2</v>
      </c>
      <c r="AH7" s="28">
        <f>IF(T$5&gt;T7, 1, 0) + IF(U$5&gt;U7, 1, 0) + IF(V$5&gt;V7, 1, 0) + IF(W$5 &gt;W7,1,0) + IF(X$5&gt;X7,1,0) + IF(Y$5&gt;Y7,1,0)+IF(Z$5&gt;Z7,1,0)+IF(AA$5&gt;AA7,1,0)+IF(AB$5&gt;AB7,1,0)</f>
        <v>4</v>
      </c>
      <c r="AI7" s="28">
        <f>IF(T$6&gt;T7, 1, 0) + IF(U$6&gt;U7, 1, 0) + IF(V$6&gt;V7, 1, 0) + IF(W$6 &gt;W7,1,0) + IF(X$6&gt;X7,1,0) + IF(Y$6&gt;Y7,1,0)+IF(Z$6&gt;Z7,1,0)+IF(AA$6&gt;AA7,1,0)+IF(AB$6&gt;AB7,1,0)</f>
        <v>1</v>
      </c>
      <c r="AJ7" s="37"/>
      <c r="AK7" s="28">
        <f>9-AJ8</f>
        <v>5</v>
      </c>
      <c r="AL7" s="28">
        <f>9-AJ9</f>
        <v>1</v>
      </c>
      <c r="AM7" s="28">
        <f>9-AJ10</f>
        <v>5</v>
      </c>
      <c r="AN7" s="28">
        <f>9-AJ11</f>
        <v>5</v>
      </c>
      <c r="AO7" s="28">
        <f>9-AJ12</f>
        <v>4</v>
      </c>
      <c r="AP7" s="28">
        <f>9-AJ13</f>
        <v>3</v>
      </c>
      <c r="AQ7" s="28">
        <f>9-AJ14</f>
        <v>4</v>
      </c>
      <c r="AR7" s="38">
        <f>9-AJ15</f>
        <v>3</v>
      </c>
    </row>
    <row r="8" spans="1:44" x14ac:dyDescent="0.35">
      <c r="A8" s="7" t="s">
        <v>773</v>
      </c>
      <c r="C8" s="7"/>
      <c r="D8" s="7"/>
      <c r="F8" s="8" t="s">
        <v>187</v>
      </c>
      <c r="G8" s="8">
        <f>VLOOKUP(F8,Rankings!$D$2:$AE$300,5,0)</f>
        <v>32.1</v>
      </c>
      <c r="H8" s="14">
        <f>VLOOKUP(F8,Rankings!$D$2:$AE$300,17,0)</f>
        <v>-1.0017264925373137</v>
      </c>
      <c r="I8" s="14">
        <f>VLOOKUP(F8,Rankings!$D$2:$AE$300,18,0)</f>
        <v>-0.26319239543726436</v>
      </c>
      <c r="J8" s="14">
        <f>VLOOKUP(F8,Rankings!$D$2:$AE$300,19,0)</f>
        <v>0.64173029505845924</v>
      </c>
      <c r="K8" s="14">
        <f>VLOOKUP(F8,Rankings!$D$2:$AE$300,20,0)</f>
        <v>0.18381329826856488</v>
      </c>
      <c r="L8" s="14">
        <f>VLOOKUP(F8,Rankings!$D$2:$AE$300,21,0)</f>
        <v>0.34220602397677297</v>
      </c>
      <c r="M8" s="14">
        <f>VLOOKUP(F8,Rankings!$D$2:$AE$300,22,0)</f>
        <v>0.58064223042276697</v>
      </c>
      <c r="N8" s="14">
        <f>VLOOKUP(F8,Rankings!$D$2:$AE$300,23,0)</f>
        <v>0.31183915844888088</v>
      </c>
      <c r="O8" s="14">
        <f>VLOOKUP(F8,Rankings!$D$2:$AE$300,24,0)</f>
        <v>-0.99506680113183732</v>
      </c>
      <c r="P8" s="14">
        <f>VLOOKUP(F8,Rankings!$D$2:$AE$300,25,0)</f>
        <v>0.29352790409826945</v>
      </c>
      <c r="Q8" s="14">
        <f>VLOOKUP(F8,Rankings!$D$2:$AE$300,26,0)</f>
        <v>9.3773221167299026E-2</v>
      </c>
      <c r="S8" s="58" t="str">
        <f>A$8</f>
        <v>Team 7</v>
      </c>
      <c r="T8" s="68">
        <f>H$124</f>
        <v>4.5666600746268635</v>
      </c>
      <c r="U8" s="68">
        <f t="shared" ref="U8:AB8" si="10">I124</f>
        <v>2.1466357414448489</v>
      </c>
      <c r="V8" s="68">
        <f t="shared" si="10"/>
        <v>3.1028464804080951</v>
      </c>
      <c r="W8" s="68">
        <f t="shared" si="10"/>
        <v>5.8614293809362206</v>
      </c>
      <c r="X8" s="68">
        <f t="shared" si="10"/>
        <v>4.7993159199529218</v>
      </c>
      <c r="Y8" s="68">
        <f t="shared" si="10"/>
        <v>2.2395161832550112</v>
      </c>
      <c r="Z8" s="68">
        <f t="shared" si="10"/>
        <v>4.4824880058062204</v>
      </c>
      <c r="AA8" s="68">
        <f t="shared" si="10"/>
        <v>11.961446153024637</v>
      </c>
      <c r="AB8" s="69">
        <f t="shared" si="10"/>
        <v>-2.9927339037023328</v>
      </c>
      <c r="AD8" s="36" t="str">
        <f t="shared" si="2"/>
        <v>Team 7</v>
      </c>
      <c r="AE8" s="29">
        <f t="shared" si="3"/>
        <v>1</v>
      </c>
      <c r="AF8" s="29">
        <f t="shared" si="5"/>
        <v>4</v>
      </c>
      <c r="AG8" s="29">
        <f t="shared" si="7"/>
        <v>2</v>
      </c>
      <c r="AH8" s="28">
        <f t="shared" ref="AH8:AH15" si="11">IF(T$5&gt;T8, 1, 0) + IF(U$5&gt;U8, 1, 0) + IF(V$5&gt;V8, 1, 0) + IF(W$5 &gt;W8,1,0) + IF(X$5&gt;X8,1,0) + IF(Y$5&gt;Y8,1,0)+IF(Z$5&gt;Z8,1,0)+IF(AA$5&gt;AA8,1,0)+IF(AB$5&gt;AB8,1,0)</f>
        <v>3</v>
      </c>
      <c r="AI8" s="28">
        <f>IF(T$6&gt;T8, 1, 0) + IF(U$6&gt;U8, 1, 0) + IF(V$6&gt;V8, 1, 0) + IF(W$6 &gt;W8,1,0) + IF(X$6&gt;X8,1,0) + IF(Y$6&gt;Y8,1,0)+IF(Z$6&gt;Z8,1,0)+IF(AA$6&gt;AA8,1,0)+IF(AB$6&gt;AB8,1,0)</f>
        <v>1</v>
      </c>
      <c r="AJ8" s="28">
        <f>IF(T$7&gt;T8, 1, 0) + IF(U$7&gt;U8, 1, 0) + IF(V$7&gt;V8, 1, 0) + IF(W$7 &gt;W8,1,0) + IF(X$7&gt;X8,1,0) + IF(Y$7&gt;Y8,1,0)+IF(Z$7&gt;Z8,1,0)+IF(AA$7&gt;AA8,1,0)+IF(AB$7&gt;AB8,1,0)</f>
        <v>4</v>
      </c>
      <c r="AK8" s="37"/>
      <c r="AL8" s="28">
        <f>9-AK9</f>
        <v>1</v>
      </c>
      <c r="AM8" s="28">
        <f>9-AK10</f>
        <v>4</v>
      </c>
      <c r="AN8" s="28">
        <f>9-AK11</f>
        <v>5</v>
      </c>
      <c r="AO8" s="28">
        <f>9-AK12</f>
        <v>3</v>
      </c>
      <c r="AP8" s="28">
        <f>9-AK13</f>
        <v>2</v>
      </c>
      <c r="AQ8" s="28">
        <f>9-AK14</f>
        <v>1</v>
      </c>
      <c r="AR8" s="38">
        <f>9-AK15</f>
        <v>1</v>
      </c>
    </row>
    <row r="9" spans="1:44" x14ac:dyDescent="0.35">
      <c r="A9" s="7" t="s">
        <v>774</v>
      </c>
      <c r="C9" s="27"/>
      <c r="D9" s="27"/>
      <c r="F9" s="8" t="s">
        <v>93</v>
      </c>
      <c r="G9" s="8">
        <f>VLOOKUP(F9,Rankings!$D$2:$AE$300,5,0)</f>
        <v>25.5</v>
      </c>
      <c r="H9" s="14">
        <f>VLOOKUP(F9,Rankings!$D$2:$AE$300,17,0)</f>
        <v>3.9616417910447697E-2</v>
      </c>
      <c r="I9" s="14">
        <f>VLOOKUP(F9,Rankings!$D$2:$AE$300,18,0)</f>
        <v>0.18949353612167263</v>
      </c>
      <c r="J9" s="14">
        <f>VLOOKUP(F9,Rankings!$D$2:$AE$300,19,0)</f>
        <v>2.5301194428826994E-2</v>
      </c>
      <c r="K9" s="14">
        <f>VLOOKUP(F9,Rankings!$D$2:$AE$300,20,0)</f>
        <v>-0.52015760565574232</v>
      </c>
      <c r="L9" s="14">
        <f>VLOOKUP(F9,Rankings!$D$2:$AE$300,21,0)</f>
        <v>0.30324628972623124</v>
      </c>
      <c r="M9" s="14">
        <f>VLOOKUP(F9,Rankings!$D$2:$AE$300,22,0)</f>
        <v>-0.63697997421965491</v>
      </c>
      <c r="N9" s="14">
        <f>VLOOKUP(F9,Rankings!$D$2:$AE$300,23,0)</f>
        <v>-0.33102926050727299</v>
      </c>
      <c r="O9" s="14">
        <f>VLOOKUP(F9,Rankings!$D$2:$AE$300,24,0)</f>
        <v>1.218027827111587</v>
      </c>
      <c r="P9" s="14">
        <f>VLOOKUP(F9,Rankings!$D$2:$AE$300,25,0)</f>
        <v>-0.12546265940818194</v>
      </c>
      <c r="Q9" s="14">
        <f>VLOOKUP(F9,Rankings!$D$2:$AE$300,26,0)</f>
        <v>0.16205576550791331</v>
      </c>
      <c r="S9" s="58" t="str">
        <f>A$9</f>
        <v>Team 8</v>
      </c>
      <c r="T9" s="54">
        <f t="shared" ref="T9:AB9" si="12">H142</f>
        <v>-0.85278134328358779</v>
      </c>
      <c r="U9" s="54">
        <f t="shared" si="12"/>
        <v>0.69133003802279402</v>
      </c>
      <c r="V9" s="54">
        <f t="shared" si="12"/>
        <v>-0.69846630680796917</v>
      </c>
      <c r="W9" s="54">
        <f t="shared" si="12"/>
        <v>5.6374386387784883</v>
      </c>
      <c r="X9" s="54">
        <f t="shared" si="12"/>
        <v>0.78646329214714417</v>
      </c>
      <c r="Y9" s="54">
        <f t="shared" si="12"/>
        <v>3.4084334997117351</v>
      </c>
      <c r="Z9" s="54">
        <f t="shared" si="12"/>
        <v>1.4824353840108362</v>
      </c>
      <c r="AA9" s="54">
        <f t="shared" si="12"/>
        <v>0.1582748023930417</v>
      </c>
      <c r="AB9" s="55">
        <f t="shared" si="12"/>
        <v>-6.9731442570136233</v>
      </c>
      <c r="AD9" s="36" t="str">
        <f t="shared" si="2"/>
        <v>Team 8</v>
      </c>
      <c r="AE9" s="29">
        <f t="shared" si="3"/>
        <v>5</v>
      </c>
      <c r="AF9" s="29">
        <f t="shared" si="5"/>
        <v>7</v>
      </c>
      <c r="AG9" s="29">
        <f t="shared" si="7"/>
        <v>5</v>
      </c>
      <c r="AH9" s="28">
        <f t="shared" si="11"/>
        <v>6</v>
      </c>
      <c r="AI9" s="28">
        <f t="shared" ref="AI9:AI15" si="13">IF(T$6&gt;T9, 1, 0) + IF(U$6&gt;U9, 1, 0) + IF(V$6&gt;V9, 1, 0) + IF(W$6 &gt;W9,1,0) + IF(X$6&gt;X9,1,0) + IF(Y$6&gt;Y9,1,0)+IF(Z$6&gt;Z9,1,0)+IF(AA$6&gt;AA9,1,0)+IF(AB$6&gt;AB9,1,0)</f>
        <v>4</v>
      </c>
      <c r="AJ9" s="28">
        <f>IF(T$7&gt;T9, 1, 0) + IF(U$7&gt;U9, 1, 0) + IF(V$7&gt;V9, 1, 0) + IF(W$7 &gt;W9,1,0) + IF(X$7&gt;X9,1,0) + IF(Y$7&gt;Y9,1,0)+IF(Z$7&gt;Z9,1,0)+IF(AA$7&gt;AA9,1,0)+IF(AB$7&gt;AB9,1,0)</f>
        <v>8</v>
      </c>
      <c r="AK9" s="28">
        <f>IF(T$8&gt;T9, 1, 0) + IF(U$8&gt;U9, 1, 0) + IF(V$8&gt;V9, 1, 0) + IF(W$8 &gt;W9,1,0) + IF(X$8&gt;X9,1,0) + IF(Y$8&gt;Y9,1,0)+IF(Z$8&gt;Z9,1,0)+IF(AA$8&gt;AA9,1,0)+IF(AB$8&gt;AB9,1,0)</f>
        <v>8</v>
      </c>
      <c r="AL9" s="37"/>
      <c r="AM9" s="28">
        <f>9-AL10</f>
        <v>7</v>
      </c>
      <c r="AN9" s="28">
        <f>9-AL11</f>
        <v>9</v>
      </c>
      <c r="AO9" s="28">
        <f>9-AL12</f>
        <v>7</v>
      </c>
      <c r="AP9" s="28">
        <f>9-AL13</f>
        <v>4</v>
      </c>
      <c r="AQ9" s="28">
        <f>9-AL14</f>
        <v>4</v>
      </c>
      <c r="AR9" s="38">
        <f>9-AL15</f>
        <v>4</v>
      </c>
    </row>
    <row r="10" spans="1:44" x14ac:dyDescent="0.35">
      <c r="A10" s="7" t="s">
        <v>775</v>
      </c>
      <c r="C10" s="75"/>
      <c r="D10" s="75"/>
      <c r="F10" s="8" t="s">
        <v>603</v>
      </c>
      <c r="G10" s="8">
        <f>VLOOKUP(F10,Rankings!$D$2:$AE$300,5,0)</f>
        <v>23.5</v>
      </c>
      <c r="H10" s="14">
        <f>VLOOKUP(F10,Rankings!$D$2:$AE$300,17,0)</f>
        <v>0.4910119402985072</v>
      </c>
      <c r="I10" s="14">
        <f>VLOOKUP(F10,Rankings!$D$2:$AE$300,18,0)</f>
        <v>0.30991406844106317</v>
      </c>
      <c r="J10" s="14">
        <f>VLOOKUP(F10,Rankings!$D$2:$AE$300,19,0)</f>
        <v>0.33351574474364315</v>
      </c>
      <c r="K10" s="14">
        <f>VLOOKUP(F10,Rankings!$D$2:$AE$300,20,0)</f>
        <v>0.32780734679853685</v>
      </c>
      <c r="L10" s="14">
        <f>VLOOKUP(F10,Rankings!$D$2:$AE$300,21,0)</f>
        <v>-0.98242494054163909</v>
      </c>
      <c r="M10" s="14">
        <f>VLOOKUP(F10,Rankings!$D$2:$AE$300,22,0)</f>
        <v>1.0676911122797357</v>
      </c>
      <c r="N10" s="14">
        <f>VLOOKUP(F10,Rankings!$D$2:$AE$300,23,0)</f>
        <v>-0.54531873349265758</v>
      </c>
      <c r="O10" s="14">
        <f>VLOOKUP(F10,Rankings!$D$2:$AE$300,24,0)</f>
        <v>-0.99506680113183732</v>
      </c>
      <c r="P10" s="14">
        <f>VLOOKUP(F10,Rankings!$D$2:$AE$300,25,0)</f>
        <v>-1.2776867090509234</v>
      </c>
      <c r="Q10" s="14">
        <f>VLOOKUP(F10,Rankings!$D$2:$AE$300,26,0)</f>
        <v>-1.2705569716555716</v>
      </c>
      <c r="S10" s="58" t="str">
        <f>A$10</f>
        <v>Team 9</v>
      </c>
      <c r="T10" s="54">
        <f t="shared" ref="T10:AB10" si="14">H160</f>
        <v>-0.48782985074627189</v>
      </c>
      <c r="U10" s="54">
        <f t="shared" si="14"/>
        <v>2.4167665399239282</v>
      </c>
      <c r="V10" s="54">
        <f t="shared" si="14"/>
        <v>3.6165373975994553</v>
      </c>
      <c r="W10" s="54">
        <f t="shared" si="14"/>
        <v>7.4293645760403599</v>
      </c>
      <c r="X10" s="54">
        <f t="shared" si="14"/>
        <v>1.6046177114085154</v>
      </c>
      <c r="Y10" s="54">
        <f t="shared" si="14"/>
        <v>9.7400689638523286</v>
      </c>
      <c r="Z10" s="54">
        <f t="shared" si="14"/>
        <v>0.62527749206929772</v>
      </c>
      <c r="AA10" s="54">
        <f t="shared" si="14"/>
        <v>4.0311904018190345</v>
      </c>
      <c r="AB10" s="55">
        <f t="shared" si="14"/>
        <v>-7.8111253840265267</v>
      </c>
      <c r="AD10" s="36" t="str">
        <f t="shared" si="2"/>
        <v>Team 9</v>
      </c>
      <c r="AE10" s="29">
        <f t="shared" si="3"/>
        <v>4</v>
      </c>
      <c r="AF10" s="29">
        <f t="shared" si="5"/>
        <v>5</v>
      </c>
      <c r="AG10" s="29">
        <f t="shared" si="7"/>
        <v>3</v>
      </c>
      <c r="AH10" s="28">
        <f t="shared" si="11"/>
        <v>3</v>
      </c>
      <c r="AI10" s="28">
        <f t="shared" si="13"/>
        <v>3</v>
      </c>
      <c r="AJ10" s="28">
        <f t="shared" ref="AJ10:AJ13" si="15">IF(T$7&gt;T10, 1, 0) + IF(U$7&gt;U10, 1, 0) + IF(V$7&gt;V10, 1, 0) + IF(W$7 &gt;W10,1,0) + IF(X$7&gt;X10,1,0) + IF(Y$7&gt;Y10,1,0)+IF(Z$7&gt;Z10,1,0)+IF(AA$7&gt;AA10,1,0)+IF(AB$7&gt;AB10,1,0)</f>
        <v>4</v>
      </c>
      <c r="AK10" s="28">
        <f>IF(T$8&gt;T10, 1, 0) + IF(U$8&gt;U10, 1, 0) + IF(V$8&gt;V10, 1, 0) + IF(W$8 &gt;W10,1,0) + IF(X$8&gt;X10,1,0) + IF(Y$8&gt;Y10,1,0)+IF(Z$8&gt;Z10,1,0)+IF(AA$8&gt;AA10,1,0)+IF(AB$8&gt;AB10,1,0)</f>
        <v>5</v>
      </c>
      <c r="AL10" s="28">
        <f>IF(T$9&gt;T10, 1, 0) + IF(U$9&gt;U10, 1, 0) + IF(V$9&gt;V10, 1, 0) + IF(W$9 &gt;W10,1,0) + IF(X$9&gt;X10,1,0) + IF(Y$9&gt;Y10,1,0)+IF(Z$9&gt;Z10,1,0)+IF(AA$9&gt;AA10,1,0)+IF(AB$9&gt;AB10,1,0)</f>
        <v>2</v>
      </c>
      <c r="AM10" s="37"/>
      <c r="AN10" s="28">
        <f>9-AM11</f>
        <v>6</v>
      </c>
      <c r="AO10" s="28">
        <f>9-AM12</f>
        <v>4</v>
      </c>
      <c r="AP10" s="28">
        <f>9-AM13</f>
        <v>2</v>
      </c>
      <c r="AQ10" s="28">
        <f>9-AM14</f>
        <v>4</v>
      </c>
      <c r="AR10" s="38">
        <f>9-AM15</f>
        <v>4</v>
      </c>
    </row>
    <row r="11" spans="1:44" x14ac:dyDescent="0.35">
      <c r="A11" s="7" t="s">
        <v>776</v>
      </c>
      <c r="C11" s="76"/>
      <c r="D11" s="77"/>
      <c r="F11" s="8" t="s">
        <v>452</v>
      </c>
      <c r="G11" s="8">
        <f>VLOOKUP(F11,Rankings!$D$2:$AE$300,5,0)</f>
        <v>22.3</v>
      </c>
      <c r="H11" s="14">
        <f>VLOOKUP(F11,Rankings!$D$2:$AE$300,17,0)</f>
        <v>-0.33957537313432884</v>
      </c>
      <c r="I11" s="14">
        <f>VLOOKUP(F11,Rankings!$D$2:$AE$300,18,0)</f>
        <v>-0.11997946768060948</v>
      </c>
      <c r="J11" s="14">
        <f>VLOOKUP(F11,Rankings!$D$2:$AE$300,19,0)</f>
        <v>-0.18017517244771702</v>
      </c>
      <c r="K11" s="14">
        <f>VLOOKUP(F11,Rankings!$D$2:$AE$300,20,0)</f>
        <v>-4.0177443889169273E-2</v>
      </c>
      <c r="L11" s="14">
        <f>VLOOKUP(F11,Rankings!$D$2:$AE$300,21,0)</f>
        <v>-0.35906919253297459</v>
      </c>
      <c r="M11" s="14">
        <f>VLOOKUP(F11,Rankings!$D$2:$AE$300,22,0)</f>
        <v>-0.58827508603395795</v>
      </c>
      <c r="N11" s="14">
        <f>VLOOKUP(F11,Rankings!$D$2:$AE$300,23,0)</f>
        <v>0.52612863143426558</v>
      </c>
      <c r="O11" s="14">
        <f>VLOOKUP(F11,Rankings!$D$2:$AE$300,24,0)</f>
        <v>-7.2944039363743871E-2</v>
      </c>
      <c r="P11" s="14">
        <f>VLOOKUP(F11,Rankings!$D$2:$AE$300,25,0)</f>
        <v>0.18878026322165675</v>
      </c>
      <c r="Q11" s="14">
        <f>VLOOKUP(F11,Rankings!$D$2:$AE$300,26,0)</f>
        <v>-0.98528688042657875</v>
      </c>
      <c r="S11" s="58" t="str">
        <f>A$11</f>
        <v>Team 10</v>
      </c>
      <c r="T11" s="54">
        <f t="shared" ref="T11:AB11" si="16">H178</f>
        <v>6.6294776119355525E-3</v>
      </c>
      <c r="U11" s="54">
        <f t="shared" si="16"/>
        <v>1.9647444866919941</v>
      </c>
      <c r="V11" s="54">
        <f t="shared" si="16"/>
        <v>7.187072623510149</v>
      </c>
      <c r="W11" s="54">
        <f t="shared" si="16"/>
        <v>9.2934666346425061</v>
      </c>
      <c r="X11" s="54">
        <f t="shared" si="16"/>
        <v>5.5479824549913106</v>
      </c>
      <c r="Y11" s="54">
        <f t="shared" si="16"/>
        <v>7.5521654233015649</v>
      </c>
      <c r="Z11" s="54">
        <f t="shared" si="16"/>
        <v>10.17075409094811</v>
      </c>
      <c r="AA11" s="54">
        <f t="shared" si="16"/>
        <v>2.8131625747074471</v>
      </c>
      <c r="AB11" s="55">
        <f t="shared" si="16"/>
        <v>-5.1717193435796354</v>
      </c>
      <c r="AD11" s="36" t="str">
        <f t="shared" si="2"/>
        <v>Team 10</v>
      </c>
      <c r="AE11" s="29">
        <f t="shared" si="3"/>
        <v>2</v>
      </c>
      <c r="AF11" s="29">
        <f t="shared" si="5"/>
        <v>3</v>
      </c>
      <c r="AG11" s="29">
        <f t="shared" si="7"/>
        <v>3</v>
      </c>
      <c r="AH11" s="28">
        <f t="shared" si="11"/>
        <v>3</v>
      </c>
      <c r="AI11" s="28">
        <f t="shared" si="13"/>
        <v>2</v>
      </c>
      <c r="AJ11" s="28">
        <f t="shared" si="15"/>
        <v>4</v>
      </c>
      <c r="AK11" s="28">
        <f t="shared" ref="AK11:AK15" si="17">IF(T$8&gt;T11, 1, 0) + IF(U$8&gt;U11, 1, 0) + IF(V$8&gt;V11, 1, 0) + IF(W$8 &gt;W11,1,0) + IF(X$8&gt;X11,1,0) + IF(Y$8&gt;Y11,1,0)+IF(Z$8&gt;Z11,1,0)+IF(AA$8&gt;AA11,1,0)+IF(AB$8&gt;AB11,1,0)</f>
        <v>4</v>
      </c>
      <c r="AL11" s="28">
        <f>IF(T$9&gt;T11, 1, 0) + IF(U$9&gt;U11, 1, 0) + IF(V$9&gt;V11, 1, 0) + IF(W$9 &gt;W11,1,0) + IF(X$9&gt;X11,1,0) + IF(Y$9&gt;Y11,1,0)+IF(Z$9&gt;Z11,1,0)+IF(AA$9&gt;AA11,1,0)+IF(AB$9&gt;AB11,1,0)</f>
        <v>0</v>
      </c>
      <c r="AM11" s="28">
        <f>IF(T$10&gt;T11, 1, 0) + IF(U$10&gt;U11, 1, 0) + IF(V$10&gt;V11, 1, 0) + IF(W$10 &gt;W11,1,0) + IF(X$10&gt;X11,1,0) + IF(Y$10&gt;Y11,1,0)+IF(Z$10&gt;Z11,1,0)+IF(AA$10&gt;AA11,1,0)+IF(AB$10&gt;AB11,1,0)</f>
        <v>3</v>
      </c>
      <c r="AN11" s="37"/>
      <c r="AO11" s="28">
        <f>9-AN12</f>
        <v>2</v>
      </c>
      <c r="AP11" s="28">
        <f>9-AN13</f>
        <v>1</v>
      </c>
      <c r="AQ11" s="28">
        <f>9-AN14</f>
        <v>2</v>
      </c>
      <c r="AR11" s="38">
        <f>9-AN15</f>
        <v>2</v>
      </c>
    </row>
    <row r="12" spans="1:44" x14ac:dyDescent="0.35">
      <c r="A12" s="7" t="s">
        <v>777</v>
      </c>
      <c r="C12" s="76"/>
      <c r="D12" s="77"/>
      <c r="F12" s="8" t="s">
        <v>190</v>
      </c>
      <c r="G12" s="8">
        <f>VLOOKUP(F12,Rankings!$D$2:$AE$300,5,0)</f>
        <v>27.7</v>
      </c>
      <c r="H12" s="14">
        <f>VLOOKUP(F12,Rankings!$D$2:$AE$300,17,0)</f>
        <v>0.41212686567164147</v>
      </c>
      <c r="I12" s="14">
        <f>VLOOKUP(F12,Rankings!$D$2:$AE$300,18,0)</f>
        <v>-5.2532319391636939E-2</v>
      </c>
      <c r="J12" s="14">
        <f>VLOOKUP(F12,Rankings!$D$2:$AE$300,19,0)</f>
        <v>-0.89934245651562128</v>
      </c>
      <c r="K12" s="14">
        <f>VLOOKUP(F12,Rankings!$D$2:$AE$300,20,0)</f>
        <v>0.13581528209190746</v>
      </c>
      <c r="L12" s="14">
        <f>VLOOKUP(F12,Rankings!$D$2:$AE$300,21,0)</f>
        <v>-8.635105277918402E-2</v>
      </c>
      <c r="M12" s="14">
        <f>VLOOKUP(F12,Rankings!$D$2:$AE$300,22,0)</f>
        <v>-0.24734086873407995</v>
      </c>
      <c r="N12" s="14">
        <f>VLOOKUP(F12,Rankings!$D$2:$AE$300,23,0)</f>
        <v>-0.54531873349265758</v>
      </c>
      <c r="O12" s="14">
        <f>VLOOKUP(F12,Rankings!$D$2:$AE$300,24,0)</f>
        <v>-0.81064224877821867</v>
      </c>
      <c r="P12" s="14">
        <f>VLOOKUP(F12,Rankings!$D$2:$AE$300,25,0)</f>
        <v>0.92201374935794678</v>
      </c>
      <c r="Q12" s="14">
        <f>VLOOKUP(F12,Rankings!$D$2:$AE$300,26,0)</f>
        <v>-1.1715717825699026</v>
      </c>
      <c r="S12" s="58" t="str">
        <f>A$12</f>
        <v>Team 11</v>
      </c>
      <c r="T12" s="54">
        <f t="shared" ref="T12:AB12" si="18">H196</f>
        <v>0.96437238805969727</v>
      </c>
      <c r="U12" s="54">
        <f t="shared" si="18"/>
        <v>0.29904372623572117</v>
      </c>
      <c r="V12" s="54">
        <f t="shared" si="18"/>
        <v>1.5617737288340154</v>
      </c>
      <c r="W12" s="54">
        <f t="shared" si="18"/>
        <v>1.7176006510181414</v>
      </c>
      <c r="X12" s="54">
        <f t="shared" si="18"/>
        <v>2.1890137251666397</v>
      </c>
      <c r="Y12" s="54">
        <f t="shared" si="18"/>
        <v>5.3566290271396095</v>
      </c>
      <c r="Z12" s="54">
        <f t="shared" si="18"/>
        <v>6.8396722086454522</v>
      </c>
      <c r="AA12" s="54">
        <f t="shared" si="18"/>
        <v>2.1869448782828469</v>
      </c>
      <c r="AB12" s="55">
        <f t="shared" si="18"/>
        <v>-2.1547527766894277</v>
      </c>
      <c r="AD12" s="36" t="str">
        <f t="shared" si="2"/>
        <v>Team 11</v>
      </c>
      <c r="AE12" s="29">
        <f t="shared" ref="AE12" si="19">IF(T$2&gt;T12, 1, 0) + IF(U$2&gt;U12, 1, 0) + IF(V$2&gt;V12, 1, 0) + IF(W$2 &gt;W12,1,0) + IF(X$2&gt;X12,1,0) + IF(Y$2&gt;Y12,1,0)+IF(Z$2&gt;Z12,1,0)+IF(AA$2&gt;AA12,1,0)+IF(AB$2&gt;AB12,1,0)</f>
        <v>3</v>
      </c>
      <c r="AF12" s="29">
        <f t="shared" si="5"/>
        <v>7</v>
      </c>
      <c r="AG12" s="29">
        <f t="shared" si="7"/>
        <v>3</v>
      </c>
      <c r="AH12" s="28">
        <f t="shared" si="11"/>
        <v>5</v>
      </c>
      <c r="AI12" s="28">
        <f t="shared" si="13"/>
        <v>2</v>
      </c>
      <c r="AJ12" s="28">
        <f t="shared" si="15"/>
        <v>5</v>
      </c>
      <c r="AK12" s="28">
        <f t="shared" si="17"/>
        <v>6</v>
      </c>
      <c r="AL12" s="28">
        <f t="shared" ref="AL12:AL15" si="20">IF(T$9&gt;T12, 1, 0) + IF(U$9&gt;U12, 1, 0) + IF(V$9&gt;V12, 1, 0) + IF(W$9 &gt;W12,1,0) + IF(X$9&gt;X12,1,0) + IF(Y$9&gt;Y12,1,0)+IF(Z$9&gt;Z12,1,0)+IF(AA$9&gt;AA12,1,0)+IF(AB$9&gt;AB12,1,0)</f>
        <v>2</v>
      </c>
      <c r="AM12" s="28">
        <f>IF(T$10&gt;T12, 1, 0) + IF(U$10&gt;U12, 1, 0) + IF(V$10&gt;V12, 1, 0) + IF(W$10 &gt;W12,1,0) + IF(X$10&gt;X12,1,0) + IF(Y$10&gt;Y12,1,0)+IF(Z$10&gt;Z12,1,0)+IF(AA$10&gt;AA12,1,0)+IF(AB$10&gt;AB12,1,0)</f>
        <v>5</v>
      </c>
      <c r="AN12" s="28">
        <f>IF(T$11&gt;T12, 1, 0) + IF(U$11&gt;U12, 1, 0) + IF(V$11&gt;V12, 1, 0) + IF(W$11 &gt;W12,1,0) + IF(X$11&gt;X12,1,0) + IF(Y$11&gt;Y12,1,0)+IF(Z$11&gt;Z12,1,0)+IF(AA$11&gt;AA12,1,0)+IF(AB$11&gt;AB12,1,0)</f>
        <v>7</v>
      </c>
      <c r="AO12" s="37"/>
      <c r="AP12" s="28">
        <f>9-AO13</f>
        <v>4</v>
      </c>
      <c r="AQ12" s="28">
        <f>9-AO14</f>
        <v>4</v>
      </c>
      <c r="AR12" s="38">
        <f>9-AO15</f>
        <v>3</v>
      </c>
    </row>
    <row r="13" spans="1:44" x14ac:dyDescent="0.35">
      <c r="A13" s="7" t="s">
        <v>778</v>
      </c>
      <c r="C13" s="76"/>
      <c r="D13" s="77"/>
      <c r="F13" s="8" t="s">
        <v>57</v>
      </c>
      <c r="G13" s="8">
        <f>VLOOKUP(F13,Rankings!$D$2:$AE$300,5,0)</f>
        <v>34.6</v>
      </c>
      <c r="H13" s="14">
        <f>VLOOKUP(F13,Rankings!$D$2:$AE$300,17,0)</f>
        <v>0.85210970149253729</v>
      </c>
      <c r="I13" s="14">
        <f>VLOOKUP(F13,Rankings!$D$2:$AE$300,18,0)</f>
        <v>0.13856121673003585</v>
      </c>
      <c r="J13" s="14">
        <f>VLOOKUP(F13,Rankings!$D$2:$AE$300,19,0)</f>
        <v>2.5301194428826994E-2</v>
      </c>
      <c r="K13" s="14">
        <f>VLOOKUP(F13,Rankings!$D$2:$AE$300,20,0)</f>
        <v>0.82378684729066209</v>
      </c>
      <c r="L13" s="14">
        <f>VLOOKUP(F13,Rankings!$D$2:$AE$300,21,0)</f>
        <v>0.80972283498327136</v>
      </c>
      <c r="M13" s="14">
        <f>VLOOKUP(F13,Rankings!$D$2:$AE$300,22,0)</f>
        <v>0.14229823675149517</v>
      </c>
      <c r="N13" s="14">
        <f>VLOOKUP(F13,Rankings!$D$2:$AE$300,23,0)</f>
        <v>-0.33102926050727299</v>
      </c>
      <c r="O13" s="14">
        <f>VLOOKUP(F13,Rankings!$D$2:$AE$300,24,0)</f>
        <v>-0.4417931440709813</v>
      </c>
      <c r="P13" s="14">
        <f>VLOOKUP(F13,Rankings!$D$2:$AE$300,25,0)</f>
        <v>0.18878026322165675</v>
      </c>
      <c r="Q13" s="14">
        <f>VLOOKUP(F13,Rankings!$D$2:$AE$300,26,0)</f>
        <v>2.2077378903202307</v>
      </c>
      <c r="S13" s="58" t="str">
        <f>A$13</f>
        <v>Team 12</v>
      </c>
      <c r="T13" s="60">
        <f t="shared" ref="T13:AB13" si="21">H214</f>
        <v>-4.7698529850746318</v>
      </c>
      <c r="U13" s="60">
        <f t="shared" si="21"/>
        <v>1.725034220532305</v>
      </c>
      <c r="V13" s="60">
        <f t="shared" si="21"/>
        <v>7.0843344400718768</v>
      </c>
      <c r="W13" s="60">
        <f t="shared" si="21"/>
        <v>1.1338038846107654</v>
      </c>
      <c r="X13" s="60">
        <f t="shared" si="21"/>
        <v>0.48321700242091242</v>
      </c>
      <c r="Y13" s="60">
        <f t="shared" si="21"/>
        <v>-0.58155090370981144</v>
      </c>
      <c r="Z13" s="60">
        <f t="shared" si="21"/>
        <v>-5.9009563829557354</v>
      </c>
      <c r="AA13" s="60">
        <f t="shared" si="21"/>
        <v>2.6287380223538293</v>
      </c>
      <c r="AB13" s="61">
        <f t="shared" si="21"/>
        <v>0.17041034112762266</v>
      </c>
      <c r="AD13" s="36" t="str">
        <f t="shared" si="2"/>
        <v>Team 12</v>
      </c>
      <c r="AE13" s="29">
        <f>IF(T$2&gt;T13, 1, 0) + IF(U$2&gt;U13, 1, 0) + IF(V$2&gt;V13, 1, 0) + IF(W$2 &gt;W13,1,0) + IF(X$2&gt;X13,1,0) + IF(Y$2&gt;Y13,1,0)+IF(Z$2&gt;Z13,1,0)+IF(AA$2&gt;AA13,1,0)+IF(AB$2&gt;AB13,1,0)</f>
        <v>5</v>
      </c>
      <c r="AF13" s="29">
        <f t="shared" si="5"/>
        <v>6</v>
      </c>
      <c r="AG13" s="29">
        <f t="shared" si="7"/>
        <v>6</v>
      </c>
      <c r="AH13" s="28">
        <f t="shared" si="11"/>
        <v>5</v>
      </c>
      <c r="AI13" s="28">
        <f t="shared" si="13"/>
        <v>5</v>
      </c>
      <c r="AJ13" s="28">
        <f t="shared" si="15"/>
        <v>6</v>
      </c>
      <c r="AK13" s="28">
        <f t="shared" si="17"/>
        <v>7</v>
      </c>
      <c r="AL13" s="28">
        <f t="shared" si="20"/>
        <v>5</v>
      </c>
      <c r="AM13" s="28">
        <f t="shared" ref="AM13:AM15" si="22">IF(T$10&gt;T13, 1, 0) + IF(U$10&gt;U13, 1, 0) + IF(V$10&gt;V13, 1, 0) + IF(W$10 &gt;W13,1,0) + IF(X$10&gt;X13,1,0) + IF(Y$10&gt;Y13,1,0)+IF(Z$10&gt;Z13,1,0)+IF(AA$10&gt;AA13,1,0)+IF(AB$10&gt;AB13,1,0)</f>
        <v>7</v>
      </c>
      <c r="AN13" s="28">
        <f>IF(T$11&gt;T13, 1, 0) + IF(U$11&gt;U13, 1, 0) + IF(V$11&gt;V13, 1, 0) + IF(W$11 &gt;W13,1,0) + IF(X$11&gt;X13,1,0) + IF(Y$11&gt;Y13,1,0)+IF(Z$11&gt;Z13,1,0)+IF(AA$11&gt;AA13,1,0)+IF(AB$11&gt;AB13,1,0)</f>
        <v>8</v>
      </c>
      <c r="AO13" s="28">
        <f>IF(T$12&gt;T13, 1, 0) + IF(U$12&gt;U13, 1, 0) + IF(V$12&gt;V13, 1, 0) + IF(W$12 &gt;W13,1,0) + IF(X$12&gt;X13,1,0) + IF(Y$12&gt;Y13,1,0)+IF(Z$12&gt;Z13,1,0)+IF(AA$12&gt;AA13,1,0)+IF(AB$12&gt;AB13,1,0)</f>
        <v>5</v>
      </c>
      <c r="AP13" s="37"/>
      <c r="AQ13" s="28">
        <f>9-AP14</f>
        <v>4</v>
      </c>
      <c r="AR13" s="38">
        <f>9-AP15</f>
        <v>4</v>
      </c>
    </row>
    <row r="14" spans="1:44" x14ac:dyDescent="0.35">
      <c r="A14" s="7" t="s">
        <v>779</v>
      </c>
      <c r="C14" s="76"/>
      <c r="D14" s="77"/>
      <c r="F14" s="8" t="s">
        <v>42</v>
      </c>
      <c r="G14" s="8">
        <f>VLOOKUP(F14,Rankings!$D$2:$AE$300,5,0)</f>
        <v>25.2</v>
      </c>
      <c r="H14" s="14">
        <f>VLOOKUP(F14,Rankings!$D$2:$AE$300,17,0)</f>
        <v>-0.55083694029850749</v>
      </c>
      <c r="I14" s="14">
        <f>VLOOKUP(F14,Rankings!$D$2:$AE$300,18,0)</f>
        <v>0.479180988593154</v>
      </c>
      <c r="J14" s="14">
        <f>VLOOKUP(F14,Rankings!$D$2:$AE$300,19,0)</f>
        <v>0.33351574474364315</v>
      </c>
      <c r="K14" s="14">
        <f>VLOOKUP(F14,Rankings!$D$2:$AE$300,20,0)</f>
        <v>3.981924973859291E-2</v>
      </c>
      <c r="L14" s="14">
        <f>VLOOKUP(F14,Rankings!$D$2:$AE$300,21,0)</f>
        <v>-0.47594839528459909</v>
      </c>
      <c r="M14" s="14">
        <f>VLOOKUP(F14,Rankings!$D$2:$AE$300,22,0)</f>
        <v>-0.78309463877674546</v>
      </c>
      <c r="N14" s="14">
        <f>VLOOKUP(F14,Rankings!$D$2:$AE$300,23,0)</f>
        <v>-0.11673978752188821</v>
      </c>
      <c r="O14" s="14">
        <f>VLOOKUP(F14,Rankings!$D$2:$AE$300,24,0)</f>
        <v>-0.25736859171736254</v>
      </c>
      <c r="P14" s="14">
        <f>VLOOKUP(F14,Rankings!$D$2:$AE$300,25,0)</f>
        <v>0.81726610848133385</v>
      </c>
      <c r="Q14" s="14">
        <f>VLOOKUP(F14,Rankings!$D$2:$AE$300,26,0)</f>
        <v>-0.51420626204237896</v>
      </c>
      <c r="S14" s="58" t="str">
        <f>A$14</f>
        <v>Team 13</v>
      </c>
      <c r="T14" s="54">
        <f t="shared" ref="T14:AB14" si="23">H232</f>
        <v>4.9750537313432801</v>
      </c>
      <c r="U14" s="54">
        <f t="shared" si="23"/>
        <v>0.43258897338401325</v>
      </c>
      <c r="V14" s="54">
        <f t="shared" si="23"/>
        <v>-1.4176335908758733</v>
      </c>
      <c r="W14" s="54">
        <f t="shared" si="23"/>
        <v>4.8694703799519692</v>
      </c>
      <c r="X14" s="54">
        <f t="shared" si="23"/>
        <v>3.8253225636893831</v>
      </c>
      <c r="Y14" s="54">
        <f t="shared" si="23"/>
        <v>-0.63407221970110372</v>
      </c>
      <c r="Z14" s="54">
        <f t="shared" si="23"/>
        <v>0.83956696505468342</v>
      </c>
      <c r="AA14" s="54">
        <f t="shared" si="23"/>
        <v>1.2648221165147537</v>
      </c>
      <c r="AB14" s="55">
        <f t="shared" si="23"/>
        <v>-3.5164721080853978</v>
      </c>
      <c r="AD14" s="36" t="str">
        <f t="shared" si="2"/>
        <v>Team 13</v>
      </c>
      <c r="AE14" s="29">
        <f>IF(T$2&gt;T14, 1, 0) + IF(U$2&gt;U14, 1, 0) + IF(V$2&gt;V14, 1, 0) + IF(W$2 &gt;W14,1,0) + IF(X$2&gt;X14,1,0) + IF(Y$2&gt;Y14,1,0)+IF(Z$2&gt;Z14,1,0)+IF(AA$2&gt;AA14,1,0)+IF(AB$2&gt;AB14,1,0)</f>
        <v>4</v>
      </c>
      <c r="AF14" s="29">
        <f t="shared" si="5"/>
        <v>5</v>
      </c>
      <c r="AG14" s="29">
        <f t="shared" si="7"/>
        <v>5</v>
      </c>
      <c r="AH14" s="28">
        <f t="shared" si="11"/>
        <v>5</v>
      </c>
      <c r="AI14" s="28">
        <f t="shared" si="13"/>
        <v>3</v>
      </c>
      <c r="AJ14" s="28">
        <f>IF(T$7&gt;T14, 1, 0) + IF(U$7&gt;U14, 1, 0) + IF(V$7&gt;V14, 1, 0) + IF(W$7 &gt;W14,1,0) + IF(X$7&gt;X14,1,0) + IF(Y$7&gt;Y14,1,0)+IF(Z$7&gt;Z14,1,0)+IF(AA$7&gt;AA14,1,0)+IF(AB$7&gt;AB14,1,0)</f>
        <v>5</v>
      </c>
      <c r="AK14" s="28">
        <f t="shared" si="17"/>
        <v>8</v>
      </c>
      <c r="AL14" s="28">
        <f t="shared" si="20"/>
        <v>5</v>
      </c>
      <c r="AM14" s="28">
        <f t="shared" si="22"/>
        <v>5</v>
      </c>
      <c r="AN14" s="28">
        <f t="shared" ref="AN14:AN15" si="24">IF(T$11&gt;T14, 1, 0) + IF(U$11&gt;U14, 1, 0) + IF(V$11&gt;V14, 1, 0) + IF(W$11 &gt;W14,1,0) + IF(X$11&gt;X14,1,0) + IF(Y$11&gt;Y14,1,0)+IF(Z$11&gt;Z14,1,0)+IF(AA$11&gt;AA14,1,0)+IF(AB$11&gt;AB14,1,0)</f>
        <v>7</v>
      </c>
      <c r="AO14" s="28">
        <f>IF(T$12&gt;T14, 1, 0) + IF(U$12&gt;U14, 1, 0) + IF(V$12&gt;V14, 1, 0) + IF(W$12 &gt;W14,1,0) + IF(X$12&gt;X14,1,0) + IF(Y$12&gt;Y14,1,0)+IF(Z$12&gt;Z14,1,0)+IF(AA$12&gt;AA14,1,0)+IF(AB$12&gt;AB14,1,0)</f>
        <v>5</v>
      </c>
      <c r="AP14" s="28">
        <f>IF(T$13&gt;T14, 1, 0) + IF(U$13&gt;U14, 1, 0) + IF(V$13&gt;V14, 1, 0) + IF(W$13 &gt;W14,1,0) + IF(X$13&gt;X14,1,0) + IF(Y$13&gt;Y14,1,0)+IF(Z$13&gt;Z14,1,0)+IF(AA$13&gt;AA14,1,0)+IF(AB$13&gt;AB14,1,0)</f>
        <v>5</v>
      </c>
      <c r="AQ14" s="37"/>
      <c r="AR14" s="38">
        <f>9-AQ15</f>
        <v>2</v>
      </c>
    </row>
    <row r="15" spans="1:44" ht="15" thickBot="1" x14ac:dyDescent="0.4">
      <c r="A15" s="7" t="s">
        <v>780</v>
      </c>
      <c r="C15" s="76"/>
      <c r="D15" s="77"/>
      <c r="F15" s="8" t="s">
        <v>141</v>
      </c>
      <c r="G15" s="8">
        <f>VLOOKUP(F15,Rankings!$D$2:$AE$300,5,0)</f>
        <v>27.9</v>
      </c>
      <c r="H15" s="14">
        <f>VLOOKUP(F15,Rankings!$D$2:$AE$300,17,0)</f>
        <v>7.3914179104477562E-2</v>
      </c>
      <c r="I15" s="14">
        <f>VLOOKUP(F15,Rankings!$D$2:$AE$300,18,0)</f>
        <v>6.9280608365017926E-2</v>
      </c>
      <c r="J15" s="14">
        <f>VLOOKUP(F15,Rankings!$D$2:$AE$300,19,0)</f>
        <v>0.64173029505845924</v>
      </c>
      <c r="K15" s="14">
        <f>VLOOKUP(F15,Rankings!$D$2:$AE$300,20,0)</f>
        <v>-5.617678261472165E-2</v>
      </c>
      <c r="L15" s="14">
        <f>VLOOKUP(F15,Rankings!$D$2:$AE$300,21,0)</f>
        <v>-0.43698866103405754</v>
      </c>
      <c r="M15" s="14">
        <f>VLOOKUP(F15,Rankings!$D$2:$AE$300,22,0)</f>
        <v>-0.97791419151953307</v>
      </c>
      <c r="N15" s="14">
        <f>VLOOKUP(F15,Rankings!$D$2:$AE$300,23,0)</f>
        <v>-0.11673978752188821</v>
      </c>
      <c r="O15" s="14">
        <f>VLOOKUP(F15,Rankings!$D$2:$AE$300,24,0)</f>
        <v>-0.4417931440709813</v>
      </c>
      <c r="P15" s="14">
        <f>VLOOKUP(F15,Rankings!$D$2:$AE$300,25,0)</f>
        <v>0.39827554497488243</v>
      </c>
      <c r="Q15" s="14">
        <f>VLOOKUP(F15,Rankings!$D$2:$AE$300,26,0)</f>
        <v>-0.84641193925834446</v>
      </c>
      <c r="S15" s="59" t="str">
        <f>A$15</f>
        <v>Team 14</v>
      </c>
      <c r="T15" s="56">
        <f t="shared" ref="T15:AB15" si="25">H250</f>
        <v>4.3761817164179053</v>
      </c>
      <c r="U15" s="56">
        <f t="shared" si="25"/>
        <v>-0.22493003802283276</v>
      </c>
      <c r="V15" s="56">
        <f t="shared" si="25"/>
        <v>-1.7258481411906899</v>
      </c>
      <c r="W15" s="56">
        <f t="shared" si="25"/>
        <v>4.4374882343620543</v>
      </c>
      <c r="X15" s="56">
        <f t="shared" si="25"/>
        <v>5.344752199460503</v>
      </c>
      <c r="Y15" s="56">
        <f t="shared" si="25"/>
        <v>-2.3387433062004948</v>
      </c>
      <c r="Z15" s="56">
        <f t="shared" si="25"/>
        <v>2.3395932759523754</v>
      </c>
      <c r="AA15" s="56">
        <f t="shared" si="25"/>
        <v>-0.21057430231419572</v>
      </c>
      <c r="AB15" s="57">
        <f t="shared" si="25"/>
        <v>-4.2497055942216884</v>
      </c>
      <c r="AD15" s="39" t="str">
        <f t="shared" si="2"/>
        <v>Team 14</v>
      </c>
      <c r="AE15" s="32">
        <f>IF(T$2&gt;T15, 1, 0) + IF(U$2&gt;U15, 1, 0) + IF(V$2&gt;V15, 1, 0) + IF(W$2 &gt;W15,1,0) + IF(X$2&gt;X15,1,0) + IF(Y$2&gt;Y15,1,0)+IF(Z$2&gt;Z15,1,0)+IF(AA$2&gt;AA15,1,0)+IF(AB$2&gt;AB15,1,0)</f>
        <v>4</v>
      </c>
      <c r="AF15" s="32">
        <f t="shared" si="5"/>
        <v>5</v>
      </c>
      <c r="AG15" s="32">
        <f t="shared" si="7"/>
        <v>5</v>
      </c>
      <c r="AH15" s="31">
        <f t="shared" si="11"/>
        <v>7</v>
      </c>
      <c r="AI15" s="31">
        <f t="shared" si="13"/>
        <v>4</v>
      </c>
      <c r="AJ15" s="31">
        <f>IF(T$7&gt;T15, 1, 0) + IF(U$7&gt;U15, 1, 0) + IF(V$7&gt;V15, 1, 0) + IF(W$7 &gt;W15,1,0) + IF(X$7&gt;X15,1,0) + IF(Y$7&gt;Y15,1,0)+IF(Z$7&gt;Z15,1,0)+IF(AA$7&gt;AA15,1,0)+IF(AB$7&gt;AB15,1,0)</f>
        <v>6</v>
      </c>
      <c r="AK15" s="31">
        <f t="shared" si="17"/>
        <v>8</v>
      </c>
      <c r="AL15" s="31">
        <f t="shared" si="20"/>
        <v>5</v>
      </c>
      <c r="AM15" s="31">
        <f t="shared" si="22"/>
        <v>5</v>
      </c>
      <c r="AN15" s="31">
        <f t="shared" si="24"/>
        <v>7</v>
      </c>
      <c r="AO15" s="31">
        <f t="shared" ref="AO15" si="26">IF(T$12&gt;T15, 1, 0) + IF(U$12&gt;U15, 1, 0) + IF(V$12&gt;V15, 1, 0) + IF(W$12 &gt;W15,1,0) + IF(X$12&gt;X15,1,0) + IF(Y$12&gt;Y15,1,0)+IF(Z$12&gt;Z15,1,0)+IF(AA$12&gt;AA15,1,0)+IF(AB$12&gt;AB15,1,0)</f>
        <v>6</v>
      </c>
      <c r="AP15" s="31">
        <f>IF(T$13&gt;T15, 1, 0) + IF(U$13&gt;U15, 1, 0) + IF(V$13&gt;V15, 1, 0) + IF(W$13 &gt;W15,1,0) + IF(X$13&gt;X15,1,0) + IF(Y$13&gt;Y15,1,0)+IF(Z$13&gt;Z15,1,0)+IF(AA$13&gt;AA15,1,0)+IF(AB$13&gt;AB15,1,0)</f>
        <v>5</v>
      </c>
      <c r="AQ15" s="31">
        <f>IF(T$14&gt;T15, 1, 0) + IF(U$14&gt;U15, 1, 0) + IF(V$14&gt;V15, 1, 0) + IF(W$14 &gt;W15,1,0) + IF(X$14&gt;X15,1,0) + IF(Y$14&gt;Y15,1,0)+IF(Z$14&gt;Z15,1,0)+IF(AA$14&gt;AA15,1,0)+IF(AB$14&gt;AB15,1,0)</f>
        <v>7</v>
      </c>
      <c r="AR15" s="40"/>
    </row>
    <row r="16" spans="1:44" ht="15" thickBot="1" x14ac:dyDescent="0.4">
      <c r="C16" s="76"/>
      <c r="D16" s="77"/>
      <c r="F16" s="46" t="s">
        <v>663</v>
      </c>
      <c r="G16" s="46"/>
      <c r="H16" s="47">
        <f>SUM(H3:H15)</f>
        <v>0.41422388059701104</v>
      </c>
      <c r="I16" s="47">
        <f t="shared" ref="I16:Q16" si="27">SUM(I3:I15)</f>
        <v>1.1281653992395206</v>
      </c>
      <c r="J16" s="47">
        <f t="shared" si="27"/>
        <v>-8.2037206178336874E-2</v>
      </c>
      <c r="K16" s="47">
        <f t="shared" si="27"/>
        <v>5.4134478966207533</v>
      </c>
      <c r="L16" s="47">
        <f t="shared" si="27"/>
        <v>3.4746849554345083</v>
      </c>
      <c r="M16" s="47">
        <f t="shared" si="27"/>
        <v>2.5317455123691932</v>
      </c>
      <c r="N16" s="47">
        <f t="shared" si="27"/>
        <v>0.83956696505468176</v>
      </c>
      <c r="O16" s="47">
        <f t="shared" si="27"/>
        <v>-0.21057430231419577</v>
      </c>
      <c r="P16" s="47">
        <f t="shared" si="27"/>
        <v>-4.4592008759749131</v>
      </c>
      <c r="Q16" s="47">
        <f t="shared" si="27"/>
        <v>9.0500222248482256</v>
      </c>
      <c r="AD16" s="41" t="s">
        <v>675</v>
      </c>
      <c r="AE16" s="42">
        <f>COUNTIF(AE2:AE15,"&gt;4")</f>
        <v>3</v>
      </c>
      <c r="AF16" s="42">
        <f t="shared" ref="AF16:AJ16" si="28">COUNTIF(AF2:AF15,"&gt;4")</f>
        <v>10</v>
      </c>
      <c r="AG16" s="42">
        <f t="shared" si="28"/>
        <v>6</v>
      </c>
      <c r="AH16" s="42">
        <f t="shared" si="28"/>
        <v>8</v>
      </c>
      <c r="AI16" s="42">
        <f t="shared" si="28"/>
        <v>1</v>
      </c>
      <c r="AJ16" s="42">
        <f t="shared" si="28"/>
        <v>10</v>
      </c>
      <c r="AK16" s="42">
        <f t="shared" ref="AK16" si="29">COUNTIF(AK2:AK15,"&gt;4")</f>
        <v>12</v>
      </c>
      <c r="AL16" s="42">
        <f t="shared" ref="AL16" si="30">COUNTIF(AL2:AL15,"&gt;4")</f>
        <v>4</v>
      </c>
      <c r="AM16" s="42">
        <f t="shared" ref="AM16" si="31">COUNTIF(AM2:AM15,"&gt;4")</f>
        <v>10</v>
      </c>
      <c r="AN16" s="42">
        <f t="shared" ref="AN16" si="32">COUNTIF(AN2:AN15,"&gt;4")</f>
        <v>13</v>
      </c>
      <c r="AO16" s="42">
        <f>COUNTIF(AO2:AO15,"&gt;4")</f>
        <v>7</v>
      </c>
      <c r="AP16" s="42">
        <f t="shared" ref="AP16" si="33">COUNTIF(AP2:AP15,"&gt;4")</f>
        <v>2</v>
      </c>
      <c r="AQ16" s="42">
        <f t="shared" ref="AQ16" si="34">COUNTIF(AQ2:AQ15,"&gt;4")</f>
        <v>3</v>
      </c>
      <c r="AR16" s="43">
        <f t="shared" ref="AR16" si="35">COUNTIF(AR2:AR15,"&gt;4")</f>
        <v>2</v>
      </c>
    </row>
    <row r="17" spans="3:46" x14ac:dyDescent="0.35">
      <c r="C17" s="76"/>
      <c r="D17" s="77"/>
      <c r="F17" s="26" t="s">
        <v>652</v>
      </c>
      <c r="G17" s="26"/>
      <c r="H17" s="45" t="str">
        <f>IF(H16&lt;-2, "Punt", "")</f>
        <v/>
      </c>
      <c r="I17" s="45" t="str">
        <f t="shared" ref="I17:Q17" si="36">IF(I16&lt;-2, "Punt", "")</f>
        <v/>
      </c>
      <c r="J17" s="45" t="str">
        <f t="shared" si="36"/>
        <v/>
      </c>
      <c r="K17" s="45" t="str">
        <f t="shared" si="36"/>
        <v/>
      </c>
      <c r="L17" s="45" t="str">
        <f t="shared" si="36"/>
        <v/>
      </c>
      <c r="M17" s="45" t="str">
        <f t="shared" si="36"/>
        <v/>
      </c>
      <c r="N17" s="45" t="str">
        <f t="shared" si="36"/>
        <v/>
      </c>
      <c r="O17" s="45" t="str">
        <f t="shared" si="36"/>
        <v/>
      </c>
      <c r="P17" s="50" t="str">
        <f t="shared" si="36"/>
        <v>Punt</v>
      </c>
      <c r="Q17" s="45" t="str">
        <f t="shared" si="36"/>
        <v/>
      </c>
      <c r="S17" s="33" t="s">
        <v>679</v>
      </c>
      <c r="T17" s="34" t="s">
        <v>631</v>
      </c>
      <c r="U17" s="34" t="s">
        <v>632</v>
      </c>
      <c r="V17" s="34" t="s">
        <v>540</v>
      </c>
      <c r="W17" s="34" t="s">
        <v>537</v>
      </c>
      <c r="X17" s="34" t="s">
        <v>541</v>
      </c>
      <c r="Y17" s="34" t="s">
        <v>536</v>
      </c>
      <c r="Z17" s="34" t="s">
        <v>538</v>
      </c>
      <c r="AA17" s="34" t="s">
        <v>539</v>
      </c>
      <c r="AB17" s="35" t="s">
        <v>542</v>
      </c>
      <c r="AJ17" s="7"/>
    </row>
    <row r="18" spans="3:46" x14ac:dyDescent="0.35">
      <c r="C18" s="76"/>
      <c r="D18" s="77"/>
      <c r="H18" s="14"/>
      <c r="I18" s="14"/>
      <c r="J18" s="14"/>
      <c r="K18" s="14"/>
      <c r="L18" s="14"/>
      <c r="M18" s="14"/>
      <c r="N18" s="14"/>
      <c r="O18" s="14"/>
      <c r="P18" s="14"/>
      <c r="Q18" s="14"/>
      <c r="S18" s="36" t="str">
        <f>A2</f>
        <v>Team 1</v>
      </c>
      <c r="T18" s="28" t="str">
        <f>H17</f>
        <v/>
      </c>
      <c r="U18" s="28" t="str">
        <f t="shared" ref="U18:AC18" si="37">I17</f>
        <v/>
      </c>
      <c r="V18" s="28" t="str">
        <f t="shared" si="37"/>
        <v/>
      </c>
      <c r="W18" s="28" t="str">
        <f t="shared" si="37"/>
        <v/>
      </c>
      <c r="X18" s="28" t="str">
        <f t="shared" si="37"/>
        <v/>
      </c>
      <c r="Y18" s="28" t="str">
        <f t="shared" si="37"/>
        <v/>
      </c>
      <c r="Z18" s="28" t="str">
        <f t="shared" si="37"/>
        <v/>
      </c>
      <c r="AA18" s="28" t="str">
        <f t="shared" si="37"/>
        <v/>
      </c>
      <c r="AB18" s="38" t="str">
        <f t="shared" si="37"/>
        <v>Punt</v>
      </c>
      <c r="AC18" s="28" t="str">
        <f t="shared" si="37"/>
        <v/>
      </c>
      <c r="AD18" s="26" t="s">
        <v>534</v>
      </c>
      <c r="AE18" s="26" t="s">
        <v>676</v>
      </c>
      <c r="AF18" s="26" t="s">
        <v>677</v>
      </c>
      <c r="AG18" s="66"/>
      <c r="AH18" s="66"/>
      <c r="AI18" s="66"/>
      <c r="AJ18" s="66"/>
      <c r="AK18" s="67"/>
      <c r="AL18" s="67"/>
      <c r="AM18" s="67"/>
      <c r="AN18" s="28"/>
      <c r="AO18" s="28"/>
      <c r="AP18" s="28"/>
      <c r="AQ18" s="28"/>
      <c r="AR18" s="28"/>
      <c r="AS18" s="28"/>
    </row>
    <row r="19" spans="3:46" x14ac:dyDescent="0.35">
      <c r="C19" s="76"/>
      <c r="D19" s="77"/>
      <c r="F19" s="48" t="str">
        <f>A3</f>
        <v>Team 2</v>
      </c>
      <c r="G19" s="48"/>
      <c r="H19" s="14"/>
      <c r="I19" s="14"/>
      <c r="J19" s="14"/>
      <c r="K19" s="14"/>
      <c r="L19" s="14"/>
      <c r="M19" s="14"/>
      <c r="N19" s="14"/>
      <c r="O19" s="14"/>
      <c r="P19" s="14"/>
      <c r="Q19" s="14"/>
      <c r="S19" s="36" t="str">
        <f t="shared" ref="S19:S31" si="38">A3</f>
        <v>Team 2</v>
      </c>
      <c r="T19" s="28" t="str">
        <f>H35</f>
        <v/>
      </c>
      <c r="U19" s="28" t="str">
        <f t="shared" ref="U19:AB19" si="39">I35</f>
        <v/>
      </c>
      <c r="V19" s="28" t="str">
        <f t="shared" si="39"/>
        <v/>
      </c>
      <c r="W19" s="28" t="str">
        <f t="shared" si="39"/>
        <v/>
      </c>
      <c r="X19" s="28" t="str">
        <f t="shared" si="39"/>
        <v/>
      </c>
      <c r="Y19" s="28" t="str">
        <f t="shared" si="39"/>
        <v/>
      </c>
      <c r="Z19" s="28" t="str">
        <f t="shared" si="39"/>
        <v/>
      </c>
      <c r="AA19" s="28" t="str">
        <f t="shared" si="39"/>
        <v>Punt</v>
      </c>
      <c r="AB19" s="38" t="str">
        <f t="shared" si="39"/>
        <v>Punt</v>
      </c>
      <c r="AD19" s="26" t="str">
        <f>A$3</f>
        <v>Team 2</v>
      </c>
      <c r="AE19">
        <f>AF$16</f>
        <v>10</v>
      </c>
      <c r="AF19">
        <f t="shared" ref="AF19:AF32" si="40">13-AE19</f>
        <v>3</v>
      </c>
      <c r="AG19" s="71"/>
      <c r="AH19" s="66"/>
      <c r="AI19" s="71"/>
      <c r="AJ19" s="71"/>
      <c r="AK19" s="66"/>
      <c r="AL19" s="66"/>
      <c r="AM19" s="66"/>
      <c r="AN19" s="29"/>
      <c r="AO19" s="28"/>
      <c r="AP19" s="28"/>
      <c r="AQ19" s="28"/>
      <c r="AR19" s="28"/>
      <c r="AS19" s="28"/>
    </row>
    <row r="20" spans="3:46" x14ac:dyDescent="0.35">
      <c r="F20" s="45" t="s">
        <v>662</v>
      </c>
      <c r="G20" s="26" t="s">
        <v>4</v>
      </c>
      <c r="H20" s="45" t="s">
        <v>631</v>
      </c>
      <c r="I20" s="45" t="s">
        <v>632</v>
      </c>
      <c r="J20" s="45" t="s">
        <v>540</v>
      </c>
      <c r="K20" s="45" t="s">
        <v>537</v>
      </c>
      <c r="L20" s="45" t="s">
        <v>541</v>
      </c>
      <c r="M20" s="45" t="s">
        <v>536</v>
      </c>
      <c r="N20" s="45" t="s">
        <v>538</v>
      </c>
      <c r="O20" s="45" t="s">
        <v>539</v>
      </c>
      <c r="P20" s="45" t="s">
        <v>542</v>
      </c>
      <c r="Q20" s="45" t="s">
        <v>633</v>
      </c>
      <c r="S20" s="36" t="str">
        <f t="shared" si="38"/>
        <v>Team 3</v>
      </c>
      <c r="T20" s="28" t="str">
        <f>H53</f>
        <v/>
      </c>
      <c r="U20" s="28" t="str">
        <f t="shared" ref="U20:AB20" si="41">I53</f>
        <v>Punt</v>
      </c>
      <c r="V20" s="28" t="str">
        <f t="shared" si="41"/>
        <v/>
      </c>
      <c r="W20" s="28" t="str">
        <f t="shared" si="41"/>
        <v/>
      </c>
      <c r="X20" s="28" t="str">
        <f t="shared" si="41"/>
        <v/>
      </c>
      <c r="Y20" s="28" t="str">
        <f t="shared" si="41"/>
        <v/>
      </c>
      <c r="Z20" s="28" t="str">
        <f t="shared" si="41"/>
        <v>Punt</v>
      </c>
      <c r="AA20" s="28" t="str">
        <f t="shared" si="41"/>
        <v/>
      </c>
      <c r="AB20" s="38" t="str">
        <f t="shared" si="41"/>
        <v>Punt</v>
      </c>
      <c r="AD20" s="26" t="str">
        <f>A$11</f>
        <v>Team 10</v>
      </c>
      <c r="AE20" s="7">
        <f>AN$16</f>
        <v>13</v>
      </c>
      <c r="AF20" s="7">
        <f t="shared" si="40"/>
        <v>0</v>
      </c>
      <c r="AG20" s="66"/>
      <c r="AH20" s="67"/>
      <c r="AI20" s="67"/>
      <c r="AJ20" s="66"/>
      <c r="AK20" s="67"/>
      <c r="AL20" s="67"/>
      <c r="AM20" s="66"/>
      <c r="AN20" s="28"/>
      <c r="AO20" s="28"/>
      <c r="AP20" s="28"/>
      <c r="AQ20" s="28"/>
      <c r="AR20" s="28"/>
      <c r="AS20" s="28"/>
    </row>
    <row r="21" spans="3:46" x14ac:dyDescent="0.35">
      <c r="F21" s="8" t="s">
        <v>608</v>
      </c>
      <c r="G21" s="8">
        <f>VLOOKUP(F21,Rankings!$D$2:$AE$300,5,0)</f>
        <v>35</v>
      </c>
      <c r="H21" s="14">
        <f>VLOOKUP(F21,Rankings!$D$2:$AE$300,17,0)</f>
        <v>1.82851791044776</v>
      </c>
      <c r="I21" s="14">
        <f>VLOOKUP(F21,Rankings!$D$2:$AE$300,18,0)</f>
        <v>0.35298821292775334</v>
      </c>
      <c r="J21" s="14">
        <f>VLOOKUP(F21,Rankings!$D$2:$AE$300,19,0)</f>
        <v>-0.18017517244771702</v>
      </c>
      <c r="K21" s="14">
        <f>VLOOKUP(F21,Rankings!$D$2:$AE$300,20,0)</f>
        <v>1.8477445257260183</v>
      </c>
      <c r="L21" s="14">
        <f>VLOOKUP(F21,Rankings!$D$2:$AE$300,21,0)</f>
        <v>2.3681122050049326</v>
      </c>
      <c r="M21" s="14">
        <f>VLOOKUP(F21,Rankings!$D$2:$AE$300,22,0)</f>
        <v>3.7464599624930637</v>
      </c>
      <c r="N21" s="14">
        <f>VLOOKUP(F21,Rankings!$D$2:$AE$300,23,0)</f>
        <v>2.0261549423319578</v>
      </c>
      <c r="O21" s="14">
        <f>VLOOKUP(F21,Rankings!$D$2:$AE$300,24,0)</f>
        <v>-7.2944039363743871E-2</v>
      </c>
      <c r="P21" s="14">
        <f>VLOOKUP(F21,Rankings!$D$2:$AE$300,25,0)</f>
        <v>-2.7441536813235037</v>
      </c>
      <c r="Q21" s="14">
        <f>VLOOKUP(F21,Rankings!$D$2:$AE$300,26,0)</f>
        <v>9.172704865796522</v>
      </c>
      <c r="S21" s="36" t="str">
        <f t="shared" si="38"/>
        <v>Team 4</v>
      </c>
      <c r="T21" s="28" t="str">
        <f>H71</f>
        <v/>
      </c>
      <c r="U21" s="28" t="str">
        <f t="shared" ref="U21:AB21" si="42">I71</f>
        <v/>
      </c>
      <c r="V21" s="28" t="str">
        <f t="shared" si="42"/>
        <v>Punt</v>
      </c>
      <c r="W21" s="28" t="str">
        <f t="shared" si="42"/>
        <v/>
      </c>
      <c r="X21" s="28" t="str">
        <f t="shared" si="42"/>
        <v/>
      </c>
      <c r="Y21" s="28" t="str">
        <f t="shared" si="42"/>
        <v/>
      </c>
      <c r="Z21" s="28" t="str">
        <f t="shared" si="42"/>
        <v>Punt</v>
      </c>
      <c r="AA21" s="28" t="str">
        <f t="shared" si="42"/>
        <v/>
      </c>
      <c r="AB21" s="38" t="str">
        <f t="shared" si="42"/>
        <v>Punt</v>
      </c>
      <c r="AD21" s="26" t="str">
        <f>A$8</f>
        <v>Team 7</v>
      </c>
      <c r="AE21">
        <f>AK$16</f>
        <v>12</v>
      </c>
      <c r="AF21" s="7">
        <f t="shared" si="40"/>
        <v>1</v>
      </c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7"/>
    </row>
    <row r="22" spans="3:46" x14ac:dyDescent="0.35">
      <c r="F22" s="8" t="s">
        <v>144</v>
      </c>
      <c r="G22" s="8">
        <f>VLOOKUP(F22,Rankings!$D$2:$AE$300,5,0)</f>
        <v>31.5</v>
      </c>
      <c r="H22" s="14">
        <f>VLOOKUP(F22,Rankings!$D$2:$AE$300,17,0)</f>
        <v>0.13468805970149245</v>
      </c>
      <c r="I22" s="14">
        <f>VLOOKUP(F22,Rankings!$D$2:$AE$300,18,0)</f>
        <v>-1.3045053231939188</v>
      </c>
      <c r="J22" s="14">
        <f>VLOOKUP(F22,Rankings!$D$2:$AE$300,19,0)</f>
        <v>-1.5157715571452535</v>
      </c>
      <c r="K22" s="14">
        <f>VLOOKUP(F22,Rankings!$D$2:$AE$300,20,0)</f>
        <v>0.83978618601621469</v>
      </c>
      <c r="L22" s="14">
        <f>VLOOKUP(F22,Rankings!$D$2:$AE$300,21,0)</f>
        <v>4.0044210435276764</v>
      </c>
      <c r="M22" s="14">
        <f>VLOOKUP(F22,Rankings!$D$2:$AE$300,22,0)</f>
        <v>4.488846038010133E-2</v>
      </c>
      <c r="N22" s="14">
        <f>VLOOKUP(F22,Rankings!$D$2:$AE$300,23,0)</f>
        <v>1.5975759963611886</v>
      </c>
      <c r="O22" s="14">
        <f>VLOOKUP(F22,Rankings!$D$2:$AE$300,24,0)</f>
        <v>1.771301484172443</v>
      </c>
      <c r="P22" s="14">
        <f>VLOOKUP(F22,Rankings!$D$2:$AE$300,25,0)</f>
        <v>-2.4299107586936652</v>
      </c>
      <c r="Q22" s="14">
        <f>VLOOKUP(F22,Rankings!$D$2:$AE$300,26,0)</f>
        <v>3.1424735911262789</v>
      </c>
      <c r="S22" s="36" t="str">
        <f t="shared" si="38"/>
        <v>Team 5</v>
      </c>
      <c r="T22" s="28" t="str">
        <f>H89</f>
        <v/>
      </c>
      <c r="U22" s="28" t="str">
        <f t="shared" ref="U22:AB22" si="43">I89</f>
        <v>Punt</v>
      </c>
      <c r="V22" s="28" t="str">
        <f t="shared" si="43"/>
        <v/>
      </c>
      <c r="W22" s="28" t="str">
        <f t="shared" si="43"/>
        <v/>
      </c>
      <c r="X22" s="28" t="str">
        <f t="shared" si="43"/>
        <v/>
      </c>
      <c r="Y22" s="28" t="str">
        <f t="shared" si="43"/>
        <v/>
      </c>
      <c r="Z22" s="28" t="str">
        <f t="shared" si="43"/>
        <v/>
      </c>
      <c r="AA22" s="28" t="str">
        <f t="shared" si="43"/>
        <v/>
      </c>
      <c r="AB22" s="38" t="str">
        <f t="shared" si="43"/>
        <v>Punt</v>
      </c>
      <c r="AD22" s="26" t="str">
        <f>A$10</f>
        <v>Team 9</v>
      </c>
      <c r="AE22">
        <f>AM$16</f>
        <v>10</v>
      </c>
      <c r="AF22" s="7">
        <f t="shared" si="40"/>
        <v>3</v>
      </c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7"/>
    </row>
    <row r="23" spans="3:46" x14ac:dyDescent="0.35">
      <c r="F23" s="8" t="s">
        <v>269</v>
      </c>
      <c r="G23" s="8">
        <f>VLOOKUP(F23,Rankings!$D$2:$AE$300,5,0)</f>
        <v>35.200000000000003</v>
      </c>
      <c r="H23" s="14">
        <f>VLOOKUP(F23,Rankings!$D$2:$AE$300,17,0)</f>
        <v>0.63781119402984998</v>
      </c>
      <c r="I23" s="14">
        <f>VLOOKUP(F23,Rankings!$D$2:$AE$300,18,0)</f>
        <v>0.6936547528517083</v>
      </c>
      <c r="J23" s="14">
        <f>VLOOKUP(F23,Rankings!$D$2:$AE$300,19,0)</f>
        <v>1.8745884963177233</v>
      </c>
      <c r="K23" s="14">
        <f>VLOOKUP(F23,Rankings!$D$2:$AE$300,20,0)</f>
        <v>2.3917220423948011</v>
      </c>
      <c r="L23" s="14">
        <f>VLOOKUP(F23,Rankings!$D$2:$AE$300,21,0)</f>
        <v>0.1084476184735236</v>
      </c>
      <c r="M23" s="14">
        <f>VLOOKUP(F23,Rankings!$D$2:$AE$300,22,0)</f>
        <v>0.87287155953694806</v>
      </c>
      <c r="N23" s="14">
        <f>VLOOKUP(F23,Rankings!$D$2:$AE$300,23,0)</f>
        <v>0.95470757740503476</v>
      </c>
      <c r="O23" s="14">
        <f>VLOOKUP(F23,Rankings!$D$2:$AE$300,24,0)</f>
        <v>0.11148051298987478</v>
      </c>
      <c r="P23" s="14">
        <f>VLOOKUP(F23,Rankings!$D$2:$AE$300,25,0)</f>
        <v>-2.6394060404468904</v>
      </c>
      <c r="Q23" s="14">
        <f>VLOOKUP(F23,Rankings!$D$2:$AE$300,26,0)</f>
        <v>5.0058777135525743</v>
      </c>
      <c r="S23" s="36" t="str">
        <f t="shared" si="38"/>
        <v>Team 6</v>
      </c>
      <c r="T23" s="28" t="str">
        <f>H107</f>
        <v/>
      </c>
      <c r="U23" s="28" t="str">
        <f t="shared" ref="U23:AB23" si="44">I107</f>
        <v/>
      </c>
      <c r="V23" s="28" t="str">
        <f t="shared" si="44"/>
        <v/>
      </c>
      <c r="W23" s="28" t="str">
        <f t="shared" si="44"/>
        <v/>
      </c>
      <c r="X23" s="28" t="str">
        <f t="shared" si="44"/>
        <v/>
      </c>
      <c r="Y23" s="28" t="str">
        <f t="shared" si="44"/>
        <v/>
      </c>
      <c r="Z23" s="28" t="str">
        <f t="shared" si="44"/>
        <v/>
      </c>
      <c r="AA23" s="28" t="str">
        <f t="shared" si="44"/>
        <v/>
      </c>
      <c r="AB23" s="38" t="str">
        <f t="shared" si="44"/>
        <v>Punt</v>
      </c>
      <c r="AD23" s="26" t="str">
        <f>A$7</f>
        <v>Team 6</v>
      </c>
      <c r="AE23">
        <f>AJ$16</f>
        <v>10</v>
      </c>
      <c r="AF23" s="7">
        <f t="shared" si="40"/>
        <v>3</v>
      </c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7"/>
    </row>
    <row r="24" spans="3:46" x14ac:dyDescent="0.35">
      <c r="F24" s="8" t="s">
        <v>94</v>
      </c>
      <c r="G24" s="8">
        <f>VLOOKUP(F24,Rankings!$D$2:$AE$300,5,0)</f>
        <v>37.1</v>
      </c>
      <c r="H24" s="14">
        <f>VLOOKUP(F24,Rankings!$D$2:$AE$300,17,0)</f>
        <v>0.27078582089552145</v>
      </c>
      <c r="I24" s="14">
        <f>VLOOKUP(F24,Rankings!$D$2:$AE$300,18,0)</f>
        <v>0.32441406844106319</v>
      </c>
      <c r="J24" s="14">
        <f>VLOOKUP(F24,Rankings!$D$2:$AE$300,19,0)</f>
        <v>1.6691121294411795</v>
      </c>
      <c r="K24" s="14">
        <f>VLOOKUP(F24,Rankings!$D$2:$AE$300,20,0)</f>
        <v>1.5597564286660743</v>
      </c>
      <c r="L24" s="14">
        <f>VLOOKUP(F24,Rankings!$D$2:$AE$300,21,0)</f>
        <v>-0.28114972403189165</v>
      </c>
      <c r="M24" s="14">
        <f>VLOOKUP(F24,Rankings!$D$2:$AE$300,22,0)</f>
        <v>2.2853133169221573</v>
      </c>
      <c r="N24" s="14">
        <f>VLOOKUP(F24,Rankings!$D$2:$AE$300,23,0)</f>
        <v>1.8118654693465728</v>
      </c>
      <c r="O24" s="14">
        <f>VLOOKUP(F24,Rankings!$D$2:$AE$300,24,0)</f>
        <v>-0.6262176964245999</v>
      </c>
      <c r="P24" s="14">
        <f>VLOOKUP(F24,Rankings!$D$2:$AE$300,25,0)</f>
        <v>-2.0715018531569193E-2</v>
      </c>
      <c r="Q24" s="14">
        <f>VLOOKUP(F24,Rankings!$D$2:$AE$300,26,0)</f>
        <v>6.9931647947245077</v>
      </c>
      <c r="S24" s="36" t="str">
        <f t="shared" si="38"/>
        <v>Team 7</v>
      </c>
      <c r="T24" s="28" t="str">
        <f>H125</f>
        <v/>
      </c>
      <c r="U24" s="28" t="str">
        <f t="shared" ref="U24:AB24" si="45">I125</f>
        <v/>
      </c>
      <c r="V24" s="28" t="str">
        <f t="shared" si="45"/>
        <v/>
      </c>
      <c r="W24" s="28" t="str">
        <f t="shared" si="45"/>
        <v/>
      </c>
      <c r="X24" s="28" t="str">
        <f t="shared" si="45"/>
        <v/>
      </c>
      <c r="Y24" s="28" t="str">
        <f t="shared" si="45"/>
        <v/>
      </c>
      <c r="Z24" s="28" t="str">
        <f t="shared" si="45"/>
        <v/>
      </c>
      <c r="AA24" s="28" t="str">
        <f t="shared" si="45"/>
        <v/>
      </c>
      <c r="AB24" s="38" t="str">
        <f t="shared" si="45"/>
        <v>Punt</v>
      </c>
      <c r="AD24" s="26" t="str">
        <f>A$5</f>
        <v>Team 4</v>
      </c>
      <c r="AE24">
        <f>AH$16</f>
        <v>8</v>
      </c>
      <c r="AF24" s="7">
        <f t="shared" si="40"/>
        <v>5</v>
      </c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7"/>
    </row>
    <row r="25" spans="3:46" x14ac:dyDescent="0.35">
      <c r="F25" s="8" t="s">
        <v>171</v>
      </c>
      <c r="G25" s="8">
        <f>VLOOKUP(F25,Rankings!$D$2:$AE$300,5,0)</f>
        <v>34.700000000000003</v>
      </c>
      <c r="H25" s="14">
        <f>VLOOKUP(F25,Rankings!$D$2:$AE$300,17,0)</f>
        <v>0.63050932835820839</v>
      </c>
      <c r="I25" s="14">
        <f>VLOOKUP(F25,Rankings!$D$2:$AE$300,18,0)</f>
        <v>0.73856121673003583</v>
      </c>
      <c r="J25" s="14">
        <f>VLOOKUP(F25,Rankings!$D$2:$AE$300,19,0)</f>
        <v>2.7992321472621722</v>
      </c>
      <c r="K25" s="14">
        <f>VLOOKUP(F25,Rankings!$D$2:$AE$300,20,0)</f>
        <v>1.9597398968048854</v>
      </c>
      <c r="L25" s="14">
        <f>VLOOKUP(F25,Rankings!$D$2:$AE$300,21,0)</f>
        <v>0.57596442948002202</v>
      </c>
      <c r="M25" s="14">
        <f>VLOOKUP(F25,Rankings!$D$2:$AE$300,22,0)</f>
        <v>1.2625106650225233</v>
      </c>
      <c r="N25" s="14">
        <f>VLOOKUP(F25,Rankings!$D$2:$AE$300,23,0)</f>
        <v>1.3832865233758038</v>
      </c>
      <c r="O25" s="14">
        <f>VLOOKUP(F25,Rankings!$D$2:$AE$300,24,0)</f>
        <v>-7.2944039363743871E-2</v>
      </c>
      <c r="P25" s="14">
        <f>VLOOKUP(F25,Rankings!$D$2:$AE$300,25,0)</f>
        <v>-2.5346583995702781</v>
      </c>
      <c r="Q25" s="14">
        <f>VLOOKUP(F25,Rankings!$D$2:$AE$300,26,0)</f>
        <v>6.742201768099628</v>
      </c>
      <c r="S25" s="36" t="str">
        <f t="shared" si="38"/>
        <v>Team 8</v>
      </c>
      <c r="T25" s="28" t="str">
        <f>H143</f>
        <v>Punt</v>
      </c>
      <c r="U25" s="28" t="str">
        <f t="shared" ref="U25:AB25" si="46">I143</f>
        <v/>
      </c>
      <c r="V25" s="28" t="str">
        <f t="shared" si="46"/>
        <v>Punt</v>
      </c>
      <c r="W25" s="28" t="str">
        <f t="shared" si="46"/>
        <v/>
      </c>
      <c r="X25" s="28" t="str">
        <f t="shared" si="46"/>
        <v/>
      </c>
      <c r="Y25" s="28" t="str">
        <f t="shared" si="46"/>
        <v/>
      </c>
      <c r="Z25" s="28" t="str">
        <f t="shared" si="46"/>
        <v/>
      </c>
      <c r="AA25" s="28" t="str">
        <f t="shared" si="46"/>
        <v/>
      </c>
      <c r="AB25" s="38" t="str">
        <f t="shared" si="46"/>
        <v>Punt</v>
      </c>
      <c r="AD25" s="26" t="str">
        <f>A$14</f>
        <v>Team 13</v>
      </c>
      <c r="AE25">
        <f>AQ$16</f>
        <v>3</v>
      </c>
      <c r="AF25" s="7">
        <f t="shared" si="40"/>
        <v>10</v>
      </c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7"/>
    </row>
    <row r="26" spans="3:46" x14ac:dyDescent="0.35">
      <c r="F26" s="8" t="s">
        <v>671</v>
      </c>
      <c r="G26" s="8">
        <f>VLOOKUP(F26,Rankings!$D$2:$AE$300,5,0)</f>
        <v>28.6</v>
      </c>
      <c r="H26" s="14">
        <f>VLOOKUP(F26,Rankings!$D$2:$AE$300,17,0)</f>
        <v>0.50806529850746263</v>
      </c>
      <c r="I26" s="14">
        <f>VLOOKUP(F26,Rankings!$D$2:$AE$300,18,0)</f>
        <v>6.5840304182508858E-2</v>
      </c>
      <c r="J26" s="14">
        <f>VLOOKUP(F26,Rankings!$D$2:$AE$300,19,0)</f>
        <v>0.94994484537327517</v>
      </c>
      <c r="K26" s="14">
        <f>VLOOKUP(F26,Rankings!$D$2:$AE$300,20,0)</f>
        <v>-0.10417479879137907</v>
      </c>
      <c r="L26" s="14">
        <f>VLOOKUP(F26,Rankings!$D$2:$AE$300,21,0)</f>
        <v>-0.82658600353947276</v>
      </c>
      <c r="M26" s="14">
        <f>VLOOKUP(F26,Rankings!$D$2:$AE$300,22,0)</f>
        <v>1.2138057768368262</v>
      </c>
      <c r="N26" s="14">
        <f>VLOOKUP(F26,Rankings!$D$2:$AE$300,23,0)</f>
        <v>0.95470757740503476</v>
      </c>
      <c r="O26" s="14">
        <f>VLOOKUP(F26,Rankings!$D$2:$AE$300,24,0)</f>
        <v>-0.25736859171736254</v>
      </c>
      <c r="P26" s="14">
        <f>VLOOKUP(F26,Rankings!$D$2:$AE$300,25,0)</f>
        <v>0.60777082672810812</v>
      </c>
      <c r="Q26" s="14">
        <f>VLOOKUP(F26,Rankings!$D$2:$AE$300,26,0)</f>
        <v>3.1120052349850011</v>
      </c>
      <c r="S26" s="36" t="str">
        <f t="shared" si="38"/>
        <v>Team 9</v>
      </c>
      <c r="T26" s="28" t="str">
        <f>H161</f>
        <v>Punt</v>
      </c>
      <c r="U26" s="28" t="str">
        <f t="shared" ref="U26:AC26" si="47">I161</f>
        <v/>
      </c>
      <c r="V26" s="28" t="str">
        <f t="shared" si="47"/>
        <v/>
      </c>
      <c r="W26" s="28" t="str">
        <f t="shared" si="47"/>
        <v/>
      </c>
      <c r="X26" s="28" t="str">
        <f t="shared" si="47"/>
        <v/>
      </c>
      <c r="Y26" s="28" t="str">
        <f t="shared" si="47"/>
        <v/>
      </c>
      <c r="Z26" s="28" t="str">
        <f t="shared" si="47"/>
        <v/>
      </c>
      <c r="AA26" s="28" t="str">
        <f t="shared" si="47"/>
        <v/>
      </c>
      <c r="AB26" s="38" t="str">
        <f t="shared" si="47"/>
        <v>Punt</v>
      </c>
      <c r="AC26" s="28" t="str">
        <f t="shared" si="47"/>
        <v/>
      </c>
      <c r="AD26" s="26" t="str">
        <f>A$4</f>
        <v>Team 3</v>
      </c>
      <c r="AE26">
        <f>AG$16</f>
        <v>6</v>
      </c>
      <c r="AF26" s="7">
        <f t="shared" si="40"/>
        <v>7</v>
      </c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7"/>
    </row>
    <row r="27" spans="3:46" x14ac:dyDescent="0.35">
      <c r="F27" s="8" t="s">
        <v>647</v>
      </c>
      <c r="G27" s="8">
        <f>VLOOKUP(F27,Rankings!$D$2:$AE$300,5,0)</f>
        <v>17.8</v>
      </c>
      <c r="H27" s="14">
        <f>VLOOKUP(F27,Rankings!$D$2:$AE$300,17,0)</f>
        <v>0.25551865671641771</v>
      </c>
      <c r="I27" s="14">
        <f>VLOOKUP(F27,Rankings!$D$2:$AE$300,18,0)</f>
        <v>9.4746768060836317E-2</v>
      </c>
      <c r="J27" s="14">
        <f>VLOOKUP(F27,Rankings!$D$2:$AE$300,19,0)</f>
        <v>-0.48838972276253317</v>
      </c>
      <c r="K27" s="14">
        <f>VLOOKUP(F27,Rankings!$D$2:$AE$300,20,0)</f>
        <v>-0.8081457027156862</v>
      </c>
      <c r="L27" s="14">
        <f>VLOOKUP(F27,Rankings!$D$2:$AE$300,21,0)</f>
        <v>-0.94346520629109754</v>
      </c>
      <c r="M27" s="14">
        <f>VLOOKUP(F27,Rankings!$D$2:$AE$300,22,0)</f>
        <v>0.72675689497985752</v>
      </c>
      <c r="N27" s="14">
        <f>VLOOKUP(F27,Rankings!$D$2:$AE$300,23,0)</f>
        <v>-0.33102926050727299</v>
      </c>
      <c r="O27" s="14">
        <f>VLOOKUP(F27,Rankings!$D$2:$AE$300,24,0)</f>
        <v>-0.81064224877821867</v>
      </c>
      <c r="P27" s="14">
        <f>VLOOKUP(F27,Rankings!$D$2:$AE$300,25,0)</f>
        <v>0.29352790409826945</v>
      </c>
      <c r="Q27" s="14">
        <f>VLOOKUP(F27,Rankings!$D$2:$AE$300,26,0)</f>
        <v>-2.0111219171994277</v>
      </c>
      <c r="S27" s="36" t="str">
        <f t="shared" si="38"/>
        <v>Team 10</v>
      </c>
      <c r="T27" s="28" t="str">
        <f>H179</f>
        <v/>
      </c>
      <c r="U27" s="28" t="str">
        <f t="shared" ref="U27:AB27" si="48">I179</f>
        <v/>
      </c>
      <c r="V27" s="28" t="str">
        <f t="shared" si="48"/>
        <v/>
      </c>
      <c r="W27" s="28" t="str">
        <f t="shared" si="48"/>
        <v/>
      </c>
      <c r="X27" s="28" t="str">
        <f t="shared" si="48"/>
        <v/>
      </c>
      <c r="Y27" s="28" t="str">
        <f t="shared" si="48"/>
        <v/>
      </c>
      <c r="Z27" s="28" t="str">
        <f t="shared" si="48"/>
        <v/>
      </c>
      <c r="AA27" s="28" t="str">
        <f t="shared" si="48"/>
        <v/>
      </c>
      <c r="AB27" s="38" t="str">
        <f t="shared" si="48"/>
        <v>Punt</v>
      </c>
      <c r="AD27" s="26" t="str">
        <f>A$12</f>
        <v>Team 11</v>
      </c>
      <c r="AE27">
        <f>AO$16</f>
        <v>7</v>
      </c>
      <c r="AF27" s="7">
        <f t="shared" si="40"/>
        <v>6</v>
      </c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7"/>
    </row>
    <row r="28" spans="3:46" x14ac:dyDescent="0.35">
      <c r="F28" s="8" t="s">
        <v>224</v>
      </c>
      <c r="G28" s="8">
        <f>VLOOKUP(F28,Rankings!$D$2:$AE$300,5,0)</f>
        <v>27.2</v>
      </c>
      <c r="H28" s="14">
        <f>VLOOKUP(F28,Rankings!$D$2:$AE$300,17,0)</f>
        <v>-0.37218805970149299</v>
      </c>
      <c r="I28" s="14">
        <f>VLOOKUP(F28,Rankings!$D$2:$AE$300,18,0)</f>
        <v>8.9493536121672615E-2</v>
      </c>
      <c r="J28" s="14">
        <f>VLOOKUP(F28,Rankings!$D$2:$AE$300,19,0)</f>
        <v>0.84720666193500305</v>
      </c>
      <c r="K28" s="14">
        <f>VLOOKUP(F28,Rankings!$D$2:$AE$300,20,0)</f>
        <v>-0.15217281496803622</v>
      </c>
      <c r="L28" s="14">
        <f>VLOOKUP(F28,Rankings!$D$2:$AE$300,21,0)</f>
        <v>-0.47594839528459909</v>
      </c>
      <c r="M28" s="14">
        <f>VLOOKUP(F28,Rankings!$D$2:$AE$300,22,0)</f>
        <v>0.23970801312288878</v>
      </c>
      <c r="N28" s="14">
        <f>VLOOKUP(F28,Rankings!$D$2:$AE$300,23,0)</f>
        <v>0.52612863143426558</v>
      </c>
      <c r="O28" s="14">
        <f>VLOOKUP(F28,Rankings!$D$2:$AE$300,24,0)</f>
        <v>-0.81064224877821867</v>
      </c>
      <c r="P28" s="14">
        <f>VLOOKUP(F28,Rankings!$D$2:$AE$300,25,0)</f>
        <v>0.50302318585149519</v>
      </c>
      <c r="Q28" s="14">
        <f>VLOOKUP(F28,Rankings!$D$2:$AE$300,26,0)</f>
        <v>0.39460850973297823</v>
      </c>
      <c r="S28" s="36" t="str">
        <f t="shared" si="38"/>
        <v>Team 11</v>
      </c>
      <c r="T28" s="28" t="str">
        <f>H197</f>
        <v/>
      </c>
      <c r="U28" s="28" t="str">
        <f t="shared" ref="U28:AC28" si="49">I197</f>
        <v/>
      </c>
      <c r="V28" s="28" t="str">
        <f t="shared" si="49"/>
        <v/>
      </c>
      <c r="W28" s="28" t="str">
        <f t="shared" si="49"/>
        <v/>
      </c>
      <c r="X28" s="28" t="str">
        <f t="shared" si="49"/>
        <v/>
      </c>
      <c r="Y28" s="28" t="str">
        <f t="shared" si="49"/>
        <v/>
      </c>
      <c r="Z28" s="28" t="str">
        <f t="shared" si="49"/>
        <v/>
      </c>
      <c r="AA28" s="28" t="str">
        <f t="shared" si="49"/>
        <v/>
      </c>
      <c r="AB28" s="38" t="str">
        <f t="shared" si="49"/>
        <v>Punt</v>
      </c>
      <c r="AC28" s="28" t="str">
        <f t="shared" si="49"/>
        <v/>
      </c>
      <c r="AD28" s="26" t="str">
        <f>A$6</f>
        <v>Team 5</v>
      </c>
      <c r="AE28">
        <f>AI$16</f>
        <v>1</v>
      </c>
      <c r="AF28" s="7">
        <f t="shared" si="40"/>
        <v>12</v>
      </c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7"/>
    </row>
    <row r="29" spans="3:46" x14ac:dyDescent="0.35">
      <c r="F29" s="8" t="s">
        <v>377</v>
      </c>
      <c r="G29" s="8">
        <f>VLOOKUP(F29,Rankings!$D$2:$AE$300,5,0)</f>
        <v>27.3</v>
      </c>
      <c r="H29" s="14">
        <f>VLOOKUP(F29,Rankings!$D$2:$AE$300,17,0)</f>
        <v>-0.18632014925373167</v>
      </c>
      <c r="I29" s="14">
        <f>VLOOKUP(F29,Rankings!$D$2:$AE$300,18,0)</f>
        <v>0.50614752851710865</v>
      </c>
      <c r="J29" s="14">
        <f>VLOOKUP(F29,Rankings!$D$2:$AE$300,19,0)</f>
        <v>0.74446847849673137</v>
      </c>
      <c r="K29" s="14">
        <f>VLOOKUP(F29,Rankings!$D$2:$AE$300,20,0)</f>
        <v>0.59979610513292814</v>
      </c>
      <c r="L29" s="14">
        <f>VLOOKUP(F29,Rankings!$D$2:$AE$300,21,0)</f>
        <v>-0.94346520629109754</v>
      </c>
      <c r="M29" s="14">
        <f>VLOOKUP(F29,Rankings!$D$2:$AE$300,22,0)</f>
        <v>-0.63697997421965491</v>
      </c>
      <c r="N29" s="14">
        <f>VLOOKUP(F29,Rankings!$D$2:$AE$300,23,0)</f>
        <v>1.168997050390419</v>
      </c>
      <c r="O29" s="14">
        <f>VLOOKUP(F29,Rankings!$D$2:$AE$300,24,0)</f>
        <v>-0.6262176964245999</v>
      </c>
      <c r="P29" s="14">
        <f>VLOOKUP(F29,Rankings!$D$2:$AE$300,25,0)</f>
        <v>-0.23021030028479489</v>
      </c>
      <c r="Q29" s="14">
        <f>VLOOKUP(F29,Rankings!$D$2:$AE$300,26,0)</f>
        <v>0.39621583606330818</v>
      </c>
      <c r="S29" s="36" t="str">
        <f t="shared" si="38"/>
        <v>Team 12</v>
      </c>
      <c r="T29" s="28" t="str">
        <f>H215</f>
        <v>Punt</v>
      </c>
      <c r="U29" s="28" t="str">
        <f t="shared" ref="U29:AB29" si="50">I215</f>
        <v/>
      </c>
      <c r="V29" s="28" t="str">
        <f t="shared" si="50"/>
        <v/>
      </c>
      <c r="W29" s="28" t="str">
        <f t="shared" si="50"/>
        <v/>
      </c>
      <c r="X29" s="28" t="str">
        <f t="shared" si="50"/>
        <v/>
      </c>
      <c r="Y29" s="28" t="str">
        <f t="shared" si="50"/>
        <v>Punt</v>
      </c>
      <c r="Z29" s="28" t="str">
        <f t="shared" si="50"/>
        <v>Punt</v>
      </c>
      <c r="AA29" s="28" t="str">
        <f t="shared" si="50"/>
        <v/>
      </c>
      <c r="AB29" s="38" t="str">
        <f t="shared" si="50"/>
        <v/>
      </c>
      <c r="AD29" s="26" t="str">
        <f>A$2</f>
        <v>Team 1</v>
      </c>
      <c r="AE29">
        <f>AE$16</f>
        <v>3</v>
      </c>
      <c r="AF29" s="7">
        <f t="shared" si="40"/>
        <v>10</v>
      </c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7"/>
    </row>
    <row r="30" spans="3:46" x14ac:dyDescent="0.35">
      <c r="F30" s="8" t="s">
        <v>380</v>
      </c>
      <c r="G30" s="8">
        <f>VLOOKUP(F30,Rankings!$D$2:$AE$300,5,0)</f>
        <v>31</v>
      </c>
      <c r="H30" s="14">
        <f>VLOOKUP(F30,Rankings!$D$2:$AE$300,17,0)</f>
        <v>-0.48349925373134389</v>
      </c>
      <c r="I30" s="14">
        <f>VLOOKUP(F30,Rankings!$D$2:$AE$300,18,0)</f>
        <v>-0.26996577946768213</v>
      </c>
      <c r="J30" s="14">
        <f>VLOOKUP(F30,Rankings!$D$2:$AE$300,19,0)</f>
        <v>1.4636357625646352</v>
      </c>
      <c r="K30" s="14">
        <f>VLOOKUP(F30,Rankings!$D$2:$AE$300,20,0)</f>
        <v>1.2077709767039209</v>
      </c>
      <c r="L30" s="14">
        <f>VLOOKUP(F30,Rankings!$D$2:$AE$300,21,0)</f>
        <v>-0.6317873322867652</v>
      </c>
      <c r="M30" s="14">
        <f>VLOOKUP(F30,Rankings!$D$2:$AE$300,22,0)</f>
        <v>1.1651008886511296</v>
      </c>
      <c r="N30" s="14">
        <f>VLOOKUP(F30,Rankings!$D$2:$AE$300,23,0)</f>
        <v>0.74041810441964995</v>
      </c>
      <c r="O30" s="14">
        <f>VLOOKUP(F30,Rankings!$D$2:$AE$300,24,0)</f>
        <v>-0.25736859171736254</v>
      </c>
      <c r="P30" s="14">
        <f>VLOOKUP(F30,Rankings!$D$2:$AE$300,25,0)</f>
        <v>-1.8014249134339877</v>
      </c>
      <c r="Q30" s="14">
        <f>VLOOKUP(F30,Rankings!$D$2:$AE$300,26,0)</f>
        <v>1.1328798617021942</v>
      </c>
      <c r="S30" s="36" t="str">
        <f t="shared" si="38"/>
        <v>Team 13</v>
      </c>
      <c r="T30" s="28" t="str">
        <f>H233</f>
        <v/>
      </c>
      <c r="U30" s="28" t="str">
        <f t="shared" ref="U30:AB30" si="51">I233</f>
        <v/>
      </c>
      <c r="V30" s="28" t="str">
        <f t="shared" si="51"/>
        <v>Punt</v>
      </c>
      <c r="W30" s="28" t="str">
        <f t="shared" si="51"/>
        <v/>
      </c>
      <c r="X30" s="28" t="str">
        <f t="shared" si="51"/>
        <v/>
      </c>
      <c r="Y30" s="28" t="str">
        <f t="shared" si="51"/>
        <v>Punt</v>
      </c>
      <c r="Z30" s="28" t="str">
        <f t="shared" si="51"/>
        <v/>
      </c>
      <c r="AA30" s="28" t="str">
        <f t="shared" si="51"/>
        <v/>
      </c>
      <c r="AB30" s="38" t="str">
        <f t="shared" si="51"/>
        <v>Punt</v>
      </c>
      <c r="AD30" s="26" t="str">
        <f>A$9</f>
        <v>Team 8</v>
      </c>
      <c r="AE30">
        <f>AL$16</f>
        <v>4</v>
      </c>
      <c r="AF30" s="7">
        <f t="shared" si="40"/>
        <v>9</v>
      </c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7"/>
    </row>
    <row r="31" spans="3:46" ht="15" thickBot="1" x14ac:dyDescent="0.4">
      <c r="F31" s="8" t="s">
        <v>266</v>
      </c>
      <c r="G31" s="8">
        <f>VLOOKUP(F31,Rankings!$D$2:$AE$300,5,0)</f>
        <v>25.6</v>
      </c>
      <c r="H31" s="14">
        <f>VLOOKUP(F31,Rankings!$D$2:$AE$300,17,0)</f>
        <v>-0.11197947761194052</v>
      </c>
      <c r="I31" s="14">
        <f>VLOOKUP(F31,Rankings!$D$2:$AE$300,18,0)</f>
        <v>-7.6906463878327364E-2</v>
      </c>
      <c r="J31" s="14">
        <f>VLOOKUP(F31,Rankings!$D$2:$AE$300,19,0)</f>
        <v>0.33351574474364315</v>
      </c>
      <c r="K31" s="14">
        <f>VLOOKUP(F31,Rankings!$D$2:$AE$300,20,0)</f>
        <v>-0.31216620222356056</v>
      </c>
      <c r="L31" s="14">
        <f>VLOOKUP(F31,Rankings!$D$2:$AE$300,21,0)</f>
        <v>-0.16427052128026678</v>
      </c>
      <c r="M31" s="14">
        <f>VLOOKUP(F31,Rankings!$D$2:$AE$300,22,0)</f>
        <v>-0.78309463877674546</v>
      </c>
      <c r="N31" s="14">
        <f>VLOOKUP(F31,Rankings!$D$2:$AE$300,23,0)</f>
        <v>-1.4024766254341958</v>
      </c>
      <c r="O31" s="14">
        <f>VLOOKUP(F31,Rankings!$D$2:$AE$300,24,0)</f>
        <v>0.4803296176971123</v>
      </c>
      <c r="P31" s="14">
        <f>VLOOKUP(F31,Rankings!$D$2:$AE$300,25,0)</f>
        <v>-0.12546265940818194</v>
      </c>
      <c r="Q31" s="14">
        <f>VLOOKUP(F31,Rankings!$D$2:$AE$300,26,0)</f>
        <v>-2.1625112261724633</v>
      </c>
      <c r="S31" s="39" t="str">
        <f t="shared" si="38"/>
        <v>Team 14</v>
      </c>
      <c r="T31" s="31" t="str">
        <f>H251</f>
        <v/>
      </c>
      <c r="U31" s="31" t="str">
        <f t="shared" ref="U31:AC31" si="52">I251</f>
        <v>Punt</v>
      </c>
      <c r="V31" s="31" t="str">
        <f t="shared" si="52"/>
        <v>Punt</v>
      </c>
      <c r="W31" s="31" t="str">
        <f t="shared" si="52"/>
        <v/>
      </c>
      <c r="X31" s="31" t="str">
        <f t="shared" si="52"/>
        <v/>
      </c>
      <c r="Y31" s="31" t="str">
        <f t="shared" si="52"/>
        <v>Punt</v>
      </c>
      <c r="Z31" s="31" t="str">
        <f t="shared" si="52"/>
        <v/>
      </c>
      <c r="AA31" s="31" t="str">
        <f t="shared" si="52"/>
        <v>Punt</v>
      </c>
      <c r="AB31" s="44" t="str">
        <f t="shared" si="52"/>
        <v>Punt</v>
      </c>
      <c r="AC31" s="28" t="str">
        <f t="shared" si="52"/>
        <v/>
      </c>
      <c r="AD31" s="26" t="str">
        <f>A$13</f>
        <v>Team 12</v>
      </c>
      <c r="AE31">
        <f>AP$16</f>
        <v>2</v>
      </c>
      <c r="AF31" s="7">
        <f t="shared" si="40"/>
        <v>11</v>
      </c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7"/>
    </row>
    <row r="32" spans="3:46" x14ac:dyDescent="0.35">
      <c r="F32" s="8" t="s">
        <v>200</v>
      </c>
      <c r="G32" s="8">
        <f>VLOOKUP(F32,Rankings!$D$2:$AE$300,5,0)</f>
        <v>28.1</v>
      </c>
      <c r="H32" s="14">
        <f>VLOOKUP(F32,Rankings!$D$2:$AE$300,17,0)</f>
        <v>-0.23806007462686596</v>
      </c>
      <c r="I32" s="14">
        <f>VLOOKUP(F32,Rankings!$D$2:$AE$300,18,0)</f>
        <v>-0.11300608365019131</v>
      </c>
      <c r="J32" s="14">
        <f>VLOOKUP(F32,Rankings!$D$2:$AE$300,19,0)</f>
        <v>-7.7436989009445123E-2</v>
      </c>
      <c r="K32" s="14">
        <f>VLOOKUP(F32,Rankings!$D$2:$AE$300,20,0)</f>
        <v>-0.69615033163681905</v>
      </c>
      <c r="L32" s="14">
        <f>VLOOKUP(F32,Rankings!$D$2:$AE$300,21,0)</f>
        <v>1.3941188487413942</v>
      </c>
      <c r="M32" s="14">
        <f>VLOOKUP(F32,Rankings!$D$2:$AE$300,22,0)</f>
        <v>-0.78309463877674546</v>
      </c>
      <c r="N32" s="14">
        <f>VLOOKUP(F32,Rankings!$D$2:$AE$300,23,0)</f>
        <v>0.31183915844888088</v>
      </c>
      <c r="O32" s="14">
        <f>VLOOKUP(F32,Rankings!$D$2:$AE$300,24,0)</f>
        <v>-0.81064224877821867</v>
      </c>
      <c r="P32" s="14">
        <f>VLOOKUP(F32,Rankings!$D$2:$AE$300,25,0)</f>
        <v>0.71251846760472104</v>
      </c>
      <c r="Q32" s="14">
        <f>VLOOKUP(F32,Rankings!$D$2:$AE$300,26,0)</f>
        <v>-0.29991389168328941</v>
      </c>
      <c r="S32" s="7"/>
      <c r="AD32" s="26" t="str">
        <f>A$15</f>
        <v>Team 14</v>
      </c>
      <c r="AE32">
        <f>AR$16</f>
        <v>2</v>
      </c>
      <c r="AF32" s="7">
        <f t="shared" si="40"/>
        <v>11</v>
      </c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</row>
    <row r="33" spans="6:17" x14ac:dyDescent="0.35">
      <c r="F33" s="8" t="s">
        <v>243</v>
      </c>
      <c r="G33" s="8">
        <f>VLOOKUP(F33,Rankings!$D$2:$AE$300,5,0)</f>
        <v>23.2</v>
      </c>
      <c r="H33" s="14">
        <f>VLOOKUP(F33,Rankings!$D$2:$AE$300,17,0)</f>
        <v>0.11357798507462634</v>
      </c>
      <c r="I33" s="14">
        <f>VLOOKUP(F33,Rankings!$D$2:$AE$300,18,0)</f>
        <v>0.12202699619771798</v>
      </c>
      <c r="J33" s="14">
        <f>VLOOKUP(F33,Rankings!$D$2:$AE$300,19,0)</f>
        <v>1.0526830288115472</v>
      </c>
      <c r="K33" s="14">
        <f>VLOOKUP(F33,Rankings!$D$2:$AE$300,20,0)</f>
        <v>-5.617678261472165E-2</v>
      </c>
      <c r="L33" s="14">
        <f>VLOOKUP(F33,Rankings!$D$2:$AE$300,21,0)</f>
        <v>-0.6317873322867652</v>
      </c>
      <c r="M33" s="14">
        <f>VLOOKUP(F33,Rankings!$D$2:$AE$300,22,0)</f>
        <v>-0.63697997421965491</v>
      </c>
      <c r="N33" s="14">
        <f>VLOOKUP(F33,Rankings!$D$2:$AE$300,23,0)</f>
        <v>-0.75960820647804206</v>
      </c>
      <c r="O33" s="14">
        <f>VLOOKUP(F33,Rankings!$D$2:$AE$300,24,0)</f>
        <v>-7.2944039363743871E-2</v>
      </c>
      <c r="P33" s="14">
        <f>VLOOKUP(F33,Rankings!$D$2:$AE$300,25,0)</f>
        <v>1.1315090311111724</v>
      </c>
      <c r="Q33" s="14">
        <f>VLOOKUP(F33,Rankings!$D$2:$AE$300,26,0)</f>
        <v>0.2623007062321363</v>
      </c>
    </row>
    <row r="34" spans="6:17" x14ac:dyDescent="0.35">
      <c r="F34" s="49" t="s">
        <v>663</v>
      </c>
      <c r="G34" s="49"/>
      <c r="H34" s="47">
        <f t="shared" ref="H34:Q34" si="53">SUM(H19:H33)</f>
        <v>2.9874272388059633</v>
      </c>
      <c r="I34" s="47">
        <f t="shared" si="53"/>
        <v>1.2234897338402853</v>
      </c>
      <c r="J34" s="47">
        <f t="shared" si="53"/>
        <v>9.4726138535809596</v>
      </c>
      <c r="K34" s="47">
        <f t="shared" si="53"/>
        <v>8.2773295284946418</v>
      </c>
      <c r="L34" s="47">
        <f t="shared" si="53"/>
        <v>3.5526044239355938</v>
      </c>
      <c r="M34" s="47">
        <f t="shared" si="53"/>
        <v>8.717266311952697</v>
      </c>
      <c r="N34" s="47">
        <f t="shared" si="53"/>
        <v>8.9825669384992963</v>
      </c>
      <c r="O34" s="47">
        <f t="shared" si="53"/>
        <v>-2.0548198258503825</v>
      </c>
      <c r="P34" s="47">
        <f t="shared" si="53"/>
        <v>-9.2775923562991061</v>
      </c>
      <c r="Q34" s="47">
        <f t="shared" si="53"/>
        <v>31.880885846959945</v>
      </c>
    </row>
    <row r="35" spans="6:17" x14ac:dyDescent="0.35">
      <c r="F35" s="45" t="s">
        <v>652</v>
      </c>
      <c r="G35" s="45"/>
      <c r="H35" s="45" t="str">
        <f>IF(H34&lt;0, "Punt", "")</f>
        <v/>
      </c>
      <c r="I35" s="45" t="str">
        <f t="shared" ref="I35:Q35" si="54">IF(I34&lt;0, "Punt", "")</f>
        <v/>
      </c>
      <c r="J35" s="45" t="str">
        <f t="shared" si="54"/>
        <v/>
      </c>
      <c r="K35" s="45" t="str">
        <f t="shared" si="54"/>
        <v/>
      </c>
      <c r="L35" s="45" t="str">
        <f t="shared" si="54"/>
        <v/>
      </c>
      <c r="M35" s="45" t="str">
        <f t="shared" si="54"/>
        <v/>
      </c>
      <c r="N35" s="45" t="str">
        <f t="shared" si="54"/>
        <v/>
      </c>
      <c r="O35" s="45" t="str">
        <f t="shared" si="54"/>
        <v>Punt</v>
      </c>
      <c r="P35" s="45" t="str">
        <f t="shared" si="54"/>
        <v>Punt</v>
      </c>
      <c r="Q35" s="45" t="str">
        <f t="shared" si="54"/>
        <v/>
      </c>
    </row>
    <row r="36" spans="6:17" x14ac:dyDescent="0.35">
      <c r="H36" s="14"/>
      <c r="I36" s="14"/>
      <c r="J36" s="14"/>
      <c r="K36" s="14"/>
      <c r="L36" s="14"/>
      <c r="M36" s="14"/>
      <c r="N36" s="14"/>
      <c r="O36" s="14"/>
      <c r="P36" s="14"/>
      <c r="Q36" s="14"/>
    </row>
    <row r="37" spans="6:17" x14ac:dyDescent="0.35">
      <c r="F37" s="48" t="str">
        <f>A4</f>
        <v>Team 3</v>
      </c>
      <c r="G37" s="48"/>
      <c r="H37" s="14"/>
      <c r="I37" s="14"/>
      <c r="J37" s="14"/>
      <c r="K37" s="14"/>
      <c r="L37" s="14"/>
      <c r="M37" s="14"/>
      <c r="N37" s="14"/>
      <c r="O37" s="14"/>
      <c r="P37" s="14"/>
      <c r="Q37" s="14"/>
    </row>
    <row r="38" spans="6:17" x14ac:dyDescent="0.35">
      <c r="F38" s="45" t="s">
        <v>662</v>
      </c>
      <c r="G38" s="26" t="s">
        <v>4</v>
      </c>
      <c r="H38" s="45" t="s">
        <v>631</v>
      </c>
      <c r="I38" s="45" t="s">
        <v>632</v>
      </c>
      <c r="J38" s="45" t="s">
        <v>540</v>
      </c>
      <c r="K38" s="45" t="s">
        <v>537</v>
      </c>
      <c r="L38" s="45" t="s">
        <v>541</v>
      </c>
      <c r="M38" s="45" t="s">
        <v>536</v>
      </c>
      <c r="N38" s="45" t="s">
        <v>538</v>
      </c>
      <c r="O38" s="45" t="s">
        <v>539</v>
      </c>
      <c r="P38" s="45" t="s">
        <v>542</v>
      </c>
      <c r="Q38" s="45" t="s">
        <v>633</v>
      </c>
    </row>
    <row r="39" spans="6:17" x14ac:dyDescent="0.35">
      <c r="F39" s="8" t="s">
        <v>132</v>
      </c>
      <c r="G39" s="8">
        <f>VLOOKUP(F39,Rankings!$D$2:$AE$300,5,0)</f>
        <v>34.299999999999997</v>
      </c>
      <c r="H39" s="14">
        <f>VLOOKUP(F39,Rankings!$D$2:$AE$300,17,0)</f>
        <v>-0.58438246268656802</v>
      </c>
      <c r="I39" s="14">
        <f>VLOOKUP(F39,Rankings!$D$2:$AE$300,18,0)</f>
        <v>1.1314083650190085</v>
      </c>
      <c r="J39" s="14">
        <f>VLOOKUP(F39,Rankings!$D$2:$AE$300,19,0)</f>
        <v>2.6964939638238996</v>
      </c>
      <c r="K39" s="14">
        <f>VLOOKUP(F39,Rankings!$D$2:$AE$300,20,0)</f>
        <v>2.4077213811203535</v>
      </c>
      <c r="L39" s="14">
        <f>VLOOKUP(F39,Rankings!$D$2:$AE$300,21,0)</f>
        <v>0.1084476184735236</v>
      </c>
      <c r="M39" s="14">
        <f>VLOOKUP(F39,Rankings!$D$2:$AE$300,22,0)</f>
        <v>1.749559546879492</v>
      </c>
      <c r="N39" s="14">
        <f>VLOOKUP(F39,Rankings!$D$2:$AE$300,23,0)</f>
        <v>0.74041810441964995</v>
      </c>
      <c r="O39" s="14">
        <f>VLOOKUP(F39,Rankings!$D$2:$AE$300,24,0)</f>
        <v>-0.6262176964245999</v>
      </c>
      <c r="P39" s="14">
        <f>VLOOKUP(F39,Rankings!$D$2:$AE$300,25,0)</f>
        <v>-1.5919296316807623</v>
      </c>
      <c r="Q39" s="14">
        <f>VLOOKUP(F39,Rankings!$D$2:$AE$300,26,0)</f>
        <v>6.0315191889439967</v>
      </c>
    </row>
    <row r="40" spans="6:17" x14ac:dyDescent="0.35">
      <c r="F40" s="8" t="s">
        <v>238</v>
      </c>
      <c r="G40" s="8">
        <f>VLOOKUP(F40,Rankings!$D$2:$AE$300,5,0)</f>
        <v>32.299999999999997</v>
      </c>
      <c r="H40" s="14">
        <f>VLOOKUP(F40,Rankings!$D$2:$AE$300,17,0)</f>
        <v>0.49799216417910369</v>
      </c>
      <c r="I40" s="14">
        <f>VLOOKUP(F40,Rankings!$D$2:$AE$300,18,0)</f>
        <v>-0.36617186311787381</v>
      </c>
      <c r="J40" s="14">
        <f>VLOOKUP(F40,Rankings!$D$2:$AE$300,19,0)</f>
        <v>0.84720666193500305</v>
      </c>
      <c r="K40" s="14">
        <f>VLOOKUP(F40,Rankings!$D$2:$AE$300,20,0)</f>
        <v>1.8317451870004657</v>
      </c>
      <c r="L40" s="14">
        <f>VLOOKUP(F40,Rankings!$D$2:$AE$300,21,0)</f>
        <v>1.3551591144908528</v>
      </c>
      <c r="M40" s="14">
        <f>VLOOKUP(F40,Rankings!$D$2:$AE$300,22,0)</f>
        <v>2.2853133169221573</v>
      </c>
      <c r="N40" s="14">
        <f>VLOOKUP(F40,Rankings!$D$2:$AE$300,23,0)</f>
        <v>-0.11673978752188821</v>
      </c>
      <c r="O40" s="14">
        <f>VLOOKUP(F40,Rankings!$D$2:$AE$300,24,0)</f>
        <v>-0.25736859171736254</v>
      </c>
      <c r="P40" s="14">
        <f>VLOOKUP(F40,Rankings!$D$2:$AE$300,25,0)</f>
        <v>-2.2204154769404396</v>
      </c>
      <c r="Q40" s="14">
        <f>VLOOKUP(F40,Rankings!$D$2:$AE$300,26,0)</f>
        <v>3.856720725230018</v>
      </c>
    </row>
    <row r="41" spans="6:17" x14ac:dyDescent="0.35">
      <c r="F41" s="8" t="s">
        <v>175</v>
      </c>
      <c r="G41" s="8">
        <f>VLOOKUP(F41,Rankings!$D$2:$AE$300,5,0)</f>
        <v>30.4</v>
      </c>
      <c r="H41" s="14">
        <f>VLOOKUP(F41,Rankings!$D$2:$AE$300,17,0)</f>
        <v>0.80080783582089565</v>
      </c>
      <c r="I41" s="14">
        <f>VLOOKUP(F41,Rankings!$D$2:$AE$300,18,0)</f>
        <v>-1.2740988593155915</v>
      </c>
      <c r="J41" s="14">
        <f>VLOOKUP(F41,Rankings!$D$2:$AE$300,19,0)</f>
        <v>-1.5157715571452535</v>
      </c>
      <c r="K41" s="14">
        <f>VLOOKUP(F41,Rankings!$D$2:$AE$300,20,0)</f>
        <v>-0.18417149241914127</v>
      </c>
      <c r="L41" s="14">
        <f>VLOOKUP(F41,Rankings!$D$2:$AE$300,21,0)</f>
        <v>3.3421055612684705</v>
      </c>
      <c r="M41" s="14">
        <f>VLOOKUP(F41,Rankings!$D$2:$AE$300,22,0)</f>
        <v>-0.63697997421965491</v>
      </c>
      <c r="N41" s="14">
        <f>VLOOKUP(F41,Rankings!$D$2:$AE$300,23,0)</f>
        <v>-0.75960820647804206</v>
      </c>
      <c r="O41" s="14">
        <f>VLOOKUP(F41,Rankings!$D$2:$AE$300,24,0)</f>
        <v>3.7999715600622488</v>
      </c>
      <c r="P41" s="14">
        <f>VLOOKUP(F41,Rankings!$D$2:$AE$300,25,0)</f>
        <v>-0.23021030028479489</v>
      </c>
      <c r="Q41" s="14">
        <f>VLOOKUP(F41,Rankings!$D$2:$AE$300,26,0)</f>
        <v>3.342044567289137</v>
      </c>
    </row>
    <row r="42" spans="6:17" x14ac:dyDescent="0.35">
      <c r="F42" s="8" t="s">
        <v>183</v>
      </c>
      <c r="G42" s="8">
        <f>VLOOKUP(F42,Rankings!$D$2:$AE$300,5,0)</f>
        <v>27.1</v>
      </c>
      <c r="H42" s="14">
        <f>VLOOKUP(F42,Rankings!$D$2:$AE$300,17,0)</f>
        <v>-0.68278544776119421</v>
      </c>
      <c r="I42" s="14">
        <f>VLOOKUP(F42,Rankings!$D$2:$AE$300,18,0)</f>
        <v>1.1147148288972486E-2</v>
      </c>
      <c r="J42" s="14">
        <f>VLOOKUP(F42,Rankings!$D$2:$AE$300,19,0)</f>
        <v>-1.1048188233921654</v>
      </c>
      <c r="K42" s="14">
        <f>VLOOKUP(F42,Rankings!$D$2:$AE$300,20,0)</f>
        <v>-1.3361238806589166</v>
      </c>
      <c r="L42" s="14">
        <f>VLOOKUP(F42,Rankings!$D$2:$AE$300,21,0)</f>
        <v>0.1084476184735236</v>
      </c>
      <c r="M42" s="14">
        <f>VLOOKUP(F42,Rankings!$D$2:$AE$300,22,0)</f>
        <v>1.8469693232508855</v>
      </c>
      <c r="N42" s="14">
        <f>VLOOKUP(F42,Rankings!$D$2:$AE$300,23,0)</f>
        <v>0.95470757740503476</v>
      </c>
      <c r="O42" s="14">
        <f>VLOOKUP(F42,Rankings!$D$2:$AE$300,24,0)</f>
        <v>-0.4417931440709813</v>
      </c>
      <c r="P42" s="14">
        <f>VLOOKUP(F42,Rankings!$D$2:$AE$300,25,0)</f>
        <v>-0.43970558203802057</v>
      </c>
      <c r="Q42" s="14">
        <f>VLOOKUP(F42,Rankings!$D$2:$AE$300,26,0)</f>
        <v>-1.0839552105028623</v>
      </c>
    </row>
    <row r="43" spans="6:17" x14ac:dyDescent="0.35">
      <c r="F43" s="8" t="s">
        <v>177</v>
      </c>
      <c r="G43" s="8">
        <f>VLOOKUP(F43,Rankings!$D$2:$AE$300,5,0)</f>
        <v>27.2</v>
      </c>
      <c r="H43" s="14">
        <f>VLOOKUP(F43,Rankings!$D$2:$AE$300,17,0)</f>
        <v>0.26462462686567112</v>
      </c>
      <c r="I43" s="14">
        <f>VLOOKUP(F43,Rankings!$D$2:$AE$300,18,0)</f>
        <v>-0.60090570342205518</v>
      </c>
      <c r="J43" s="14">
        <f>VLOOKUP(F43,Rankings!$D$2:$AE$300,19,0)</f>
        <v>2.5301194428826994E-2</v>
      </c>
      <c r="K43" s="14">
        <f>VLOOKUP(F43,Rankings!$D$2:$AE$300,20,0)</f>
        <v>0.32780734679853685</v>
      </c>
      <c r="L43" s="14">
        <f>VLOOKUP(F43,Rankings!$D$2:$AE$300,21,0)</f>
        <v>0.69284363223164647</v>
      </c>
      <c r="M43" s="14">
        <f>VLOOKUP(F43,Rankings!$D$2:$AE$300,22,0)</f>
        <v>-3.8164278055955883E-3</v>
      </c>
      <c r="N43" s="14">
        <f>VLOOKUP(F43,Rankings!$D$2:$AE$300,23,0)</f>
        <v>9.7549685463496322E-2</v>
      </c>
      <c r="O43" s="14">
        <f>VLOOKUP(F43,Rankings!$D$2:$AE$300,24,0)</f>
        <v>0.29590506534349342</v>
      </c>
      <c r="P43" s="14">
        <f>VLOOKUP(F43,Rankings!$D$2:$AE$300,25,0)</f>
        <v>-0.43970558203802057</v>
      </c>
      <c r="Q43" s="14">
        <f>VLOOKUP(F43,Rankings!$D$2:$AE$300,26,0)</f>
        <v>0.65960383786599996</v>
      </c>
    </row>
    <row r="44" spans="6:17" x14ac:dyDescent="0.35">
      <c r="F44" s="8" t="s">
        <v>637</v>
      </c>
      <c r="G44" s="8">
        <f>VLOOKUP(F44,Rankings!$D$2:$AE$300,5,0)</f>
        <v>27</v>
      </c>
      <c r="H44" s="14">
        <f>VLOOKUP(F44,Rankings!$D$2:$AE$300,17,0)</f>
        <v>0.59591417910447753</v>
      </c>
      <c r="I44" s="14">
        <f>VLOOKUP(F44,Rankings!$D$2:$AE$300,18,0)</f>
        <v>-0.17257224334600982</v>
      </c>
      <c r="J44" s="14">
        <f>VLOOKUP(F44,Rankings!$D$2:$AE$300,19,0)</f>
        <v>-1.2075570068304373</v>
      </c>
      <c r="K44" s="14">
        <f>VLOOKUP(F44,Rankings!$D$2:$AE$300,20,0)</f>
        <v>7.8205722874881475E-3</v>
      </c>
      <c r="L44" s="14">
        <f>VLOOKUP(F44,Rankings!$D$2:$AE$300,21,0)</f>
        <v>1.1603604432381449</v>
      </c>
      <c r="M44" s="14">
        <f>VLOOKUP(F44,Rankings!$D$2:$AE$300,22,0)</f>
        <v>-5.252131599129229E-2</v>
      </c>
      <c r="N44" s="14">
        <f>VLOOKUP(F44,Rankings!$D$2:$AE$300,23,0)</f>
        <v>-1.1881871524488112</v>
      </c>
      <c r="O44" s="14">
        <f>VLOOKUP(F44,Rankings!$D$2:$AE$300,24,0)</f>
        <v>-7.2944039363743871E-2</v>
      </c>
      <c r="P44" s="14">
        <f>VLOOKUP(F44,Rankings!$D$2:$AE$300,25,0)</f>
        <v>-0.23021030028479489</v>
      </c>
      <c r="Q44" s="14">
        <f>VLOOKUP(F44,Rankings!$D$2:$AE$300,26,0)</f>
        <v>-1.1598968636349789</v>
      </c>
    </row>
    <row r="45" spans="6:17" x14ac:dyDescent="0.35">
      <c r="F45" s="8" t="s">
        <v>370</v>
      </c>
      <c r="G45" s="8">
        <f>VLOOKUP(F45,Rankings!$D$2:$AE$300,5,0)</f>
        <v>28</v>
      </c>
      <c r="H45" s="14">
        <f>VLOOKUP(F45,Rankings!$D$2:$AE$300,17,0)</f>
        <v>0.45767798507462665</v>
      </c>
      <c r="I45" s="14">
        <f>VLOOKUP(F45,Rankings!$D$2:$AE$300,18,0)</f>
        <v>0</v>
      </c>
      <c r="J45" s="14">
        <f>VLOOKUP(F45,Rankings!$D$2:$AE$300,19,0)</f>
        <v>1.1554212122498193</v>
      </c>
      <c r="K45" s="14">
        <f>VLOOKUP(F45,Rankings!$D$2:$AE$300,20,0)</f>
        <v>-0.12017413751693146</v>
      </c>
      <c r="L45" s="14">
        <f>VLOOKUP(F45,Rankings!$D$2:$AE$300,21,0)</f>
        <v>-0.94346520629109754</v>
      </c>
      <c r="M45" s="14">
        <f>VLOOKUP(F45,Rankings!$D$2:$AE$300,22,0)</f>
        <v>-0.1012262041769892</v>
      </c>
      <c r="N45" s="14">
        <f>VLOOKUP(F45,Rankings!$D$2:$AE$300,23,0)</f>
        <v>-0.33102926050727299</v>
      </c>
      <c r="O45" s="14">
        <f>VLOOKUP(F45,Rankings!$D$2:$AE$300,24,0)</f>
        <v>-0.99506680113183732</v>
      </c>
      <c r="P45" s="14">
        <f>VLOOKUP(F45,Rankings!$D$2:$AE$300,25,0)</f>
        <v>-2.0715018531569193E-2</v>
      </c>
      <c r="Q45" s="14">
        <f>VLOOKUP(F45,Rankings!$D$2:$AE$300,26,0)</f>
        <v>-0.89857743083125174</v>
      </c>
    </row>
    <row r="46" spans="6:17" x14ac:dyDescent="0.35">
      <c r="F46" s="8" t="s">
        <v>599</v>
      </c>
      <c r="G46" s="8">
        <f>VLOOKUP(F46,Rankings!$D$2:$AE$300,5,0)</f>
        <v>30.4</v>
      </c>
      <c r="H46" s="14">
        <f>VLOOKUP(F46,Rankings!$D$2:$AE$300,17,0)</f>
        <v>-1.0089690298507468</v>
      </c>
      <c r="I46" s="14">
        <f>VLOOKUP(F46,Rankings!$D$2:$AE$300,18,0)</f>
        <v>0.10973384030418143</v>
      </c>
      <c r="J46" s="14">
        <f>VLOOKUP(F46,Rankings!$D$2:$AE$300,19,0)</f>
        <v>0.84720666193500305</v>
      </c>
      <c r="K46" s="14">
        <f>VLOOKUP(F46,Rankings!$D$2:$AE$300,20,0)</f>
        <v>7.8205722874881475E-3</v>
      </c>
      <c r="L46" s="14">
        <f>VLOOKUP(F46,Rankings!$D$2:$AE$300,21,0)</f>
        <v>-0.47594839528459909</v>
      </c>
      <c r="M46" s="14">
        <f>VLOOKUP(F46,Rankings!$D$2:$AE$300,22,0)</f>
        <v>-0.58827508603395795</v>
      </c>
      <c r="N46" s="14">
        <f>VLOOKUP(F46,Rankings!$D$2:$AE$300,23,0)</f>
        <v>-1.1881871524488112</v>
      </c>
      <c r="O46" s="14">
        <f>VLOOKUP(F46,Rankings!$D$2:$AE$300,24,0)</f>
        <v>-0.81064224877821867</v>
      </c>
      <c r="P46" s="14">
        <f>VLOOKUP(F46,Rankings!$D$2:$AE$300,25,0)</f>
        <v>0.18878026322165675</v>
      </c>
      <c r="Q46" s="14">
        <f>VLOOKUP(F46,Rankings!$D$2:$AE$300,26,0)</f>
        <v>-2.9184805746480045</v>
      </c>
    </row>
    <row r="47" spans="6:17" x14ac:dyDescent="0.35">
      <c r="F47" s="8" t="s">
        <v>225</v>
      </c>
      <c r="G47" s="8">
        <f>VLOOKUP(F47,Rankings!$D$2:$AE$300,5,0)</f>
        <v>31.6</v>
      </c>
      <c r="H47" s="14">
        <f>VLOOKUP(F47,Rankings!$D$2:$AE$300,17,0)</f>
        <v>0.6513395522388058</v>
      </c>
      <c r="I47" s="14">
        <f>VLOOKUP(F47,Rankings!$D$2:$AE$300,18,0)</f>
        <v>0.30554752851710854</v>
      </c>
      <c r="J47" s="14">
        <f>VLOOKUP(F47,Rankings!$D$2:$AE$300,19,0)</f>
        <v>0.53899211162018712</v>
      </c>
      <c r="K47" s="14">
        <f>VLOOKUP(F47,Rankings!$D$2:$AE$300,20,0)</f>
        <v>0.5677974276818234</v>
      </c>
      <c r="L47" s="14">
        <f>VLOOKUP(F47,Rankings!$D$2:$AE$300,21,0)</f>
        <v>0.77076310073272958</v>
      </c>
      <c r="M47" s="14">
        <f>VLOOKUP(F47,Rankings!$D$2:$AE$300,22,0)</f>
        <v>-0.3447506451054736</v>
      </c>
      <c r="N47" s="14">
        <f>VLOOKUP(F47,Rankings!$D$2:$AE$300,23,0)</f>
        <v>-0.54531873349265758</v>
      </c>
      <c r="O47" s="14">
        <f>VLOOKUP(F47,Rankings!$D$2:$AE$300,24,0)</f>
        <v>0.11148051298987478</v>
      </c>
      <c r="P47" s="14">
        <f>VLOOKUP(F47,Rankings!$D$2:$AE$300,25,0)</f>
        <v>0.60777082672810812</v>
      </c>
      <c r="Q47" s="14">
        <f>VLOOKUP(F47,Rankings!$D$2:$AE$300,26,0)</f>
        <v>2.6636216819105063</v>
      </c>
    </row>
    <row r="48" spans="6:17" x14ac:dyDescent="0.35">
      <c r="F48" s="8" t="s">
        <v>88</v>
      </c>
      <c r="G48" s="8">
        <f>VLOOKUP(F48,Rankings!$D$2:$AE$300,5,0)</f>
        <v>22.9</v>
      </c>
      <c r="H48" s="14">
        <f>VLOOKUP(F48,Rankings!$D$2:$AE$300,17,0)</f>
        <v>0.22785261194029821</v>
      </c>
      <c r="I48" s="14">
        <f>VLOOKUP(F48,Rankings!$D$2:$AE$300,18,0)</f>
        <v>1.9326996197718029E-2</v>
      </c>
      <c r="J48" s="14">
        <f>VLOOKUP(F48,Rankings!$D$2:$AE$300,19,0)</f>
        <v>0.436253928181915</v>
      </c>
      <c r="K48" s="14">
        <f>VLOOKUP(F48,Rankings!$D$2:$AE$300,20,0)</f>
        <v>-0.44016091202798019</v>
      </c>
      <c r="L48" s="14">
        <f>VLOOKUP(F48,Rankings!$D$2:$AE$300,21,0)</f>
        <v>-1.1382638775438052</v>
      </c>
      <c r="M48" s="14">
        <f>VLOOKUP(F48,Rankings!$D$2:$AE$300,22,0)</f>
        <v>-0.5395701978482611</v>
      </c>
      <c r="N48" s="14">
        <f>VLOOKUP(F48,Rankings!$D$2:$AE$300,23,0)</f>
        <v>9.7549685463496322E-2</v>
      </c>
      <c r="O48" s="14">
        <f>VLOOKUP(F48,Rankings!$D$2:$AE$300,24,0)</f>
        <v>-0.81064224877821867</v>
      </c>
      <c r="P48" s="14">
        <f>VLOOKUP(F48,Rankings!$D$2:$AE$300,25,0)</f>
        <v>0.92201374935794678</v>
      </c>
      <c r="Q48" s="14">
        <f>VLOOKUP(F48,Rankings!$D$2:$AE$300,26,0)</f>
        <v>-1.2256402650568912</v>
      </c>
    </row>
    <row r="49" spans="6:18" x14ac:dyDescent="0.35">
      <c r="F49" s="8" t="s">
        <v>170</v>
      </c>
      <c r="G49" s="8">
        <f>VLOOKUP(F49,Rankings!$D$2:$AE$300,5,0)</f>
        <v>23.1</v>
      </c>
      <c r="H49" s="14">
        <f>VLOOKUP(F49,Rankings!$D$2:$AE$300,17,0)</f>
        <v>-0.28662425373134365</v>
      </c>
      <c r="I49" s="14">
        <f>VLOOKUP(F49,Rankings!$D$2:$AE$300,18,0)</f>
        <v>-3.6133079847909255E-2</v>
      </c>
      <c r="J49" s="14">
        <f>VLOOKUP(F49,Rankings!$D$2:$AE$300,19,0)</f>
        <v>0.230777561305371</v>
      </c>
      <c r="K49" s="14">
        <f>VLOOKUP(F49,Rankings!$D$2:$AE$300,20,0)</f>
        <v>-0.16817215369358887</v>
      </c>
      <c r="L49" s="14">
        <f>VLOOKUP(F49,Rankings!$D$2:$AE$300,21,0)</f>
        <v>0.14740735272406535</v>
      </c>
      <c r="M49" s="14">
        <f>VLOOKUP(F49,Rankings!$D$2:$AE$300,22,0)</f>
        <v>-0.63697997421965491</v>
      </c>
      <c r="N49" s="14">
        <f>VLOOKUP(F49,Rankings!$D$2:$AE$300,23,0)</f>
        <v>-0.33102926050727299</v>
      </c>
      <c r="O49" s="14">
        <f>VLOOKUP(F49,Rankings!$D$2:$AE$300,24,0)</f>
        <v>0.6647541700507309</v>
      </c>
      <c r="P49" s="14">
        <f>VLOOKUP(F49,Rankings!$D$2:$AE$300,25,0)</f>
        <v>0.60777082672810812</v>
      </c>
      <c r="Q49" s="14">
        <f>VLOOKUP(F49,Rankings!$D$2:$AE$300,26,0)</f>
        <v>0.19177118880850563</v>
      </c>
    </row>
    <row r="50" spans="6:18" x14ac:dyDescent="0.35">
      <c r="F50" s="8" t="s">
        <v>35</v>
      </c>
      <c r="G50" s="8">
        <f>VLOOKUP(F50,Rankings!$D$2:$AE$300,5,0)</f>
        <v>30.5</v>
      </c>
      <c r="H50" s="14">
        <f>VLOOKUP(F50,Rankings!$D$2:$AE$300,17,0)</f>
        <v>-0.51669029850746329</v>
      </c>
      <c r="I50" s="14">
        <f>VLOOKUP(F50,Rankings!$D$2:$AE$300,18,0)</f>
        <v>0.16202737642585399</v>
      </c>
      <c r="J50" s="14">
        <f>VLOOKUP(F50,Rankings!$D$2:$AE$300,19,0)</f>
        <v>-7.7436989009445123E-2</v>
      </c>
      <c r="K50" s="14">
        <f>VLOOKUP(F50,Rankings!$D$2:$AE$300,20,0)</f>
        <v>0.11981594336635509</v>
      </c>
      <c r="L50" s="14">
        <f>VLOOKUP(F50,Rankings!$D$2:$AE$300,21,0)</f>
        <v>0.96556177198543724</v>
      </c>
      <c r="M50" s="14">
        <f>VLOOKUP(F50,Rankings!$D$2:$AE$300,22,0)</f>
        <v>0.62934711860846371</v>
      </c>
      <c r="N50" s="14">
        <f>VLOOKUP(F50,Rankings!$D$2:$AE$300,23,0)</f>
        <v>-0.97389767946342665</v>
      </c>
      <c r="O50" s="14">
        <f>VLOOKUP(F50,Rankings!$D$2:$AE$300,24,0)</f>
        <v>0.29590506534349342</v>
      </c>
      <c r="P50" s="14">
        <f>VLOOKUP(F50,Rankings!$D$2:$AE$300,25,0)</f>
        <v>-0.54445322291463361</v>
      </c>
      <c r="Q50" s="14">
        <f>VLOOKUP(F50,Rankings!$D$2:$AE$300,26,0)</f>
        <v>6.0179085834634827E-2</v>
      </c>
    </row>
    <row r="51" spans="6:18" x14ac:dyDescent="0.35">
      <c r="F51" s="8" t="s">
        <v>169</v>
      </c>
      <c r="G51" s="8">
        <f>VLOOKUP(F51,Rankings!$D$2:$AE$300,5,0)</f>
        <v>19.399999999999999</v>
      </c>
      <c r="H51" s="14">
        <f>VLOOKUP(F51,Rankings!$D$2:$AE$300,17,0)</f>
        <v>6.5932835820891602E-4</v>
      </c>
      <c r="I51" s="14">
        <f>VLOOKUP(F51,Rankings!$D$2:$AE$300,18,0)</f>
        <v>0.14542699619771801</v>
      </c>
      <c r="J51" s="14">
        <f>VLOOKUP(F51,Rankings!$D$2:$AE$300,19,0)</f>
        <v>-1.0020806399538933</v>
      </c>
      <c r="K51" s="14">
        <f>VLOOKUP(F51,Rankings!$D$2:$AE$300,20,0)</f>
        <v>-1.3201245419333643</v>
      </c>
      <c r="L51" s="14">
        <f>VLOOKUP(F51,Rankings!$D$2:$AE$300,21,0)</f>
        <v>0.18636708697460674</v>
      </c>
      <c r="M51" s="14">
        <f>VLOOKUP(F51,Rankings!$D$2:$AE$300,22,0)</f>
        <v>-0.24734086873407995</v>
      </c>
      <c r="N51" s="14">
        <f>VLOOKUP(F51,Rankings!$D$2:$AE$300,23,0)</f>
        <v>-0.97389767946342665</v>
      </c>
      <c r="O51" s="14">
        <f>VLOOKUP(F51,Rankings!$D$2:$AE$300,24,0)</f>
        <v>1.5868769318188243</v>
      </c>
      <c r="P51" s="14">
        <f>VLOOKUP(F51,Rankings!$D$2:$AE$300,25,0)</f>
        <v>0.18878026322165675</v>
      </c>
      <c r="Q51" s="14">
        <f>VLOOKUP(F51,Rankings!$D$2:$AE$300,26,0)</f>
        <v>-1.4353331235137499</v>
      </c>
    </row>
    <row r="52" spans="6:18" x14ac:dyDescent="0.35">
      <c r="F52" s="49" t="s">
        <v>663</v>
      </c>
      <c r="G52" s="49"/>
      <c r="H52" s="47">
        <f t="shared" ref="H52:Q52" si="55">SUM(H39:H51)</f>
        <v>0.41741679104477158</v>
      </c>
      <c r="I52" s="47">
        <f t="shared" si="55"/>
        <v>-0.56526349809887844</v>
      </c>
      <c r="J52" s="47">
        <f t="shared" si="55"/>
        <v>1.8699882791488305</v>
      </c>
      <c r="K52" s="47">
        <f t="shared" si="55"/>
        <v>1.7016013122925884</v>
      </c>
      <c r="L52" s="47">
        <f t="shared" si="55"/>
        <v>6.2797858214734985</v>
      </c>
      <c r="M52" s="47">
        <f t="shared" si="55"/>
        <v>3.3597286115260379</v>
      </c>
      <c r="N52" s="47">
        <f t="shared" si="55"/>
        <v>-4.5176698595799323</v>
      </c>
      <c r="O52" s="47">
        <f t="shared" si="55"/>
        <v>2.7402185353437032</v>
      </c>
      <c r="P52" s="47">
        <f t="shared" si="55"/>
        <v>-3.2022291854555598</v>
      </c>
      <c r="Q52" s="47">
        <f t="shared" si="55"/>
        <v>8.08357680769506</v>
      </c>
    </row>
    <row r="53" spans="6:18" x14ac:dyDescent="0.35">
      <c r="F53" s="45" t="s">
        <v>652</v>
      </c>
      <c r="G53" s="45"/>
      <c r="H53" s="45" t="str">
        <f>IF(H52&lt;0, "Punt", "")</f>
        <v/>
      </c>
      <c r="I53" s="45" t="str">
        <f t="shared" ref="I53" si="56">IF(I52&lt;0, "Punt", "")</f>
        <v>Punt</v>
      </c>
      <c r="J53" s="45" t="str">
        <f t="shared" ref="J53" si="57">IF(J52&lt;0, "Punt", "")</f>
        <v/>
      </c>
      <c r="K53" s="45" t="str">
        <f t="shared" ref="K53" si="58">IF(K52&lt;0, "Punt", "")</f>
        <v/>
      </c>
      <c r="L53" s="45" t="str">
        <f t="shared" ref="L53" si="59">IF(L52&lt;0, "Punt", "")</f>
        <v/>
      </c>
      <c r="M53" s="45" t="str">
        <f t="shared" ref="M53" si="60">IF(M52&lt;0, "Punt", "")</f>
        <v/>
      </c>
      <c r="N53" s="45" t="str">
        <f t="shared" ref="N53" si="61">IF(N52&lt;0, "Punt", "")</f>
        <v>Punt</v>
      </c>
      <c r="O53" s="45" t="str">
        <f t="shared" ref="O53" si="62">IF(O52&lt;0, "Punt", "")</f>
        <v/>
      </c>
      <c r="P53" s="45" t="str">
        <f t="shared" ref="P53" si="63">IF(P52&lt;0, "Punt", "")</f>
        <v>Punt</v>
      </c>
      <c r="Q53" s="45" t="str">
        <f t="shared" ref="Q53" si="64">IF(Q52&lt;0, "Punt", "")</f>
        <v/>
      </c>
    </row>
    <row r="54" spans="6:18" x14ac:dyDescent="0.35">
      <c r="H54" s="14"/>
      <c r="I54" s="14"/>
      <c r="J54" s="14"/>
      <c r="K54" s="14"/>
      <c r="L54" s="14"/>
      <c r="M54" s="14"/>
      <c r="N54" s="14"/>
      <c r="O54" s="14"/>
      <c r="P54" s="14"/>
      <c r="Q54" s="14"/>
    </row>
    <row r="55" spans="6:18" x14ac:dyDescent="0.35">
      <c r="F55" s="48" t="str">
        <f>A5</f>
        <v>Team 4</v>
      </c>
      <c r="G55" s="48"/>
      <c r="H55" s="14"/>
      <c r="I55" s="14"/>
      <c r="J55" s="14"/>
      <c r="K55" s="14"/>
      <c r="L55" s="14"/>
      <c r="M55" s="14"/>
      <c r="N55" s="14"/>
      <c r="O55" s="14"/>
      <c r="P55" s="14"/>
      <c r="Q55" s="14"/>
    </row>
    <row r="56" spans="6:18" x14ac:dyDescent="0.35">
      <c r="F56" s="45" t="s">
        <v>662</v>
      </c>
      <c r="G56" s="26" t="s">
        <v>4</v>
      </c>
      <c r="H56" s="45" t="s">
        <v>631</v>
      </c>
      <c r="I56" s="45" t="s">
        <v>632</v>
      </c>
      <c r="J56" s="45" t="s">
        <v>540</v>
      </c>
      <c r="K56" s="45" t="s">
        <v>537</v>
      </c>
      <c r="L56" s="45" t="s">
        <v>541</v>
      </c>
      <c r="M56" s="45" t="s">
        <v>536</v>
      </c>
      <c r="N56" s="45" t="s">
        <v>538</v>
      </c>
      <c r="O56" s="45" t="s">
        <v>539</v>
      </c>
      <c r="P56" s="45" t="s">
        <v>542</v>
      </c>
      <c r="Q56" s="45" t="s">
        <v>633</v>
      </c>
    </row>
    <row r="57" spans="6:18" x14ac:dyDescent="0.35">
      <c r="F57" s="8" t="s">
        <v>122</v>
      </c>
      <c r="G57" s="8">
        <f>VLOOKUP(F57,Rankings!$D$2:$AE$300,5,0)</f>
        <v>28.1</v>
      </c>
      <c r="H57" s="14">
        <f>VLOOKUP(F57,Rankings!$D$2:$AE$300,17,0)</f>
        <v>1.0259458955223881</v>
      </c>
      <c r="I57" s="14">
        <f>VLOOKUP(F57,Rankings!$D$2:$AE$300,18,0)</f>
        <v>0.12903422053231783</v>
      </c>
      <c r="J57" s="14">
        <f>VLOOKUP(F57,Rankings!$D$2:$AE$300,19,0)</f>
        <v>-0.18017517244771702</v>
      </c>
      <c r="K57" s="14">
        <f>VLOOKUP(F57,Rankings!$D$2:$AE$300,20,0)</f>
        <v>0.63179478258403299</v>
      </c>
      <c r="L57" s="14">
        <f>VLOOKUP(F57,Rankings!$D$2:$AE$300,21,0)</f>
        <v>1.1214007089876035</v>
      </c>
      <c r="M57" s="14">
        <f>VLOOKUP(F57,Rankings!$D$2:$AE$300,22,0)</f>
        <v>-0.63697997421965491</v>
      </c>
      <c r="N57" s="14">
        <f>VLOOKUP(F57,Rankings!$D$2:$AE$300,23,0)</f>
        <v>-0.54531873349265758</v>
      </c>
      <c r="O57" s="14">
        <f>VLOOKUP(F57,Rankings!$D$2:$AE$300,24,0)</f>
        <v>0.29590506534349342</v>
      </c>
      <c r="P57" s="14">
        <f>VLOOKUP(F57,Rankings!$D$2:$AE$300,25,0)</f>
        <v>0.50302318585149519</v>
      </c>
      <c r="Q57" s="14">
        <f>VLOOKUP(F57,Rankings!$D$2:$AE$300,26,0)</f>
        <v>2.3446299786613012</v>
      </c>
      <c r="R57" s="14"/>
    </row>
    <row r="58" spans="6:18" x14ac:dyDescent="0.35">
      <c r="F58" s="8" t="s">
        <v>20</v>
      </c>
      <c r="G58" s="8">
        <f>VLOOKUP(F58,Rankings!$D$2:$AE$300,5,0)</f>
        <v>30.4</v>
      </c>
      <c r="H58" s="14">
        <f>VLOOKUP(F58,Rankings!$D$2:$AE$300,17,0)</f>
        <v>1.8504481343283581</v>
      </c>
      <c r="I58" s="14">
        <f>VLOOKUP(F58,Rankings!$D$2:$AE$300,18,0)</f>
        <v>0.17526806083649943</v>
      </c>
      <c r="J58" s="14">
        <f>VLOOKUP(F58,Rankings!$D$2:$AE$300,19,0)</f>
        <v>-1.5157715571452535</v>
      </c>
      <c r="K58" s="14">
        <f>VLOOKUP(F58,Rankings!$D$2:$AE$300,20,0)</f>
        <v>0.74379015366289991</v>
      </c>
      <c r="L58" s="14">
        <f>VLOOKUP(F58,Rankings!$D$2:$AE$300,21,0)</f>
        <v>1.6278772542446434</v>
      </c>
      <c r="M58" s="14">
        <f>VLOOKUP(F58,Rankings!$D$2:$AE$300,22,0)</f>
        <v>1.0676911122797357</v>
      </c>
      <c r="N58" s="14">
        <f>VLOOKUP(F58,Rankings!$D$2:$AE$300,23,0)</f>
        <v>0.31183915844888088</v>
      </c>
      <c r="O58" s="14">
        <f>VLOOKUP(F58,Rankings!$D$2:$AE$300,24,0)</f>
        <v>0.84917872240434955</v>
      </c>
      <c r="P58" s="14">
        <f>VLOOKUP(F58,Rankings!$D$2:$AE$300,25,0)</f>
        <v>-1.9061725543106007</v>
      </c>
      <c r="Q58" s="14">
        <f>VLOOKUP(F58,Rankings!$D$2:$AE$300,26,0)</f>
        <v>3.2041484847495134</v>
      </c>
    </row>
    <row r="59" spans="6:18" x14ac:dyDescent="0.35">
      <c r="F59" s="8" t="s">
        <v>230</v>
      </c>
      <c r="G59" s="8">
        <f>VLOOKUP(F59,Rankings!$D$2:$AE$300,5,0)</f>
        <v>33</v>
      </c>
      <c r="H59" s="14">
        <f>VLOOKUP(F59,Rankings!$D$2:$AE$300,17,0)</f>
        <v>0.90877499999999944</v>
      </c>
      <c r="I59" s="14">
        <f>VLOOKUP(F59,Rankings!$D$2:$AE$300,18,0)</f>
        <v>0.73428745247148142</v>
      </c>
      <c r="J59" s="14">
        <f>VLOOKUP(F59,Rankings!$D$2:$AE$300,19,0)</f>
        <v>2.285541230070812</v>
      </c>
      <c r="K59" s="14">
        <f>VLOOKUP(F59,Rankings!$D$2:$AE$300,20,0)</f>
        <v>2.2957260100414865</v>
      </c>
      <c r="L59" s="14">
        <f>VLOOKUP(F59,Rankings!$D$2:$AE$300,21,0)</f>
        <v>0.18636708697460674</v>
      </c>
      <c r="M59" s="14">
        <f>VLOOKUP(F59,Rankings!$D$2:$AE$300,22,0)</f>
        <v>1.6034448823224012</v>
      </c>
      <c r="N59" s="14">
        <f>VLOOKUP(F59,Rankings!$D$2:$AE$300,23,0)</f>
        <v>1.5975759963611886</v>
      </c>
      <c r="O59" s="14">
        <f>VLOOKUP(F59,Rankings!$D$2:$AE$300,24,0)</f>
        <v>-0.4417931440709813</v>
      </c>
      <c r="P59" s="14">
        <f>VLOOKUP(F59,Rankings!$D$2:$AE$300,25,0)</f>
        <v>-0.54445322291463361</v>
      </c>
      <c r="Q59" s="14">
        <f>VLOOKUP(F59,Rankings!$D$2:$AE$300,26,0)</f>
        <v>8.6254712912563605</v>
      </c>
    </row>
    <row r="60" spans="6:18" x14ac:dyDescent="0.35">
      <c r="F60" s="8" t="s">
        <v>318</v>
      </c>
      <c r="G60" s="8">
        <f>VLOOKUP(F60,Rankings!$D$2:$AE$300,5,0)</f>
        <v>27</v>
      </c>
      <c r="H60" s="14">
        <f>VLOOKUP(F60,Rankings!$D$2:$AE$300,17,0)</f>
        <v>1.5776921641791046</v>
      </c>
      <c r="I60" s="14">
        <f>VLOOKUP(F60,Rankings!$D$2:$AE$300,18,0)</f>
        <v>0.49686159695817161</v>
      </c>
      <c r="J60" s="14">
        <f>VLOOKUP(F60,Rankings!$D$2:$AE$300,19,0)</f>
        <v>-0.48838972276253317</v>
      </c>
      <c r="K60" s="14">
        <f>VLOOKUP(F60,Rankings!$D$2:$AE$300,20,0)</f>
        <v>2.1677313002370671</v>
      </c>
      <c r="L60" s="14">
        <f>VLOOKUP(F60,Rankings!$D$2:$AE$300,21,0)</f>
        <v>-0.98242494054163909</v>
      </c>
      <c r="M60" s="14">
        <f>VLOOKUP(F60,Rankings!$D$2:$AE$300,22,0)</f>
        <v>1.7008546586937949</v>
      </c>
      <c r="N60" s="14">
        <f>VLOOKUP(F60,Rankings!$D$2:$AE$300,23,0)</f>
        <v>-0.33102926050727299</v>
      </c>
      <c r="O60" s="14">
        <f>VLOOKUP(F60,Rankings!$D$2:$AE$300,24,0)</f>
        <v>0.29590506534349342</v>
      </c>
      <c r="P60" s="14">
        <f>VLOOKUP(F60,Rankings!$D$2:$AE$300,25,0)</f>
        <v>-0.75394850466785901</v>
      </c>
      <c r="Q60" s="14">
        <f>VLOOKUP(F60,Rankings!$D$2:$AE$300,26,0)</f>
        <v>3.6832523569323277</v>
      </c>
    </row>
    <row r="61" spans="6:18" x14ac:dyDescent="0.35">
      <c r="F61" s="8" t="s">
        <v>430</v>
      </c>
      <c r="G61" s="8"/>
      <c r="H61" s="14"/>
      <c r="I61" s="14"/>
      <c r="J61" s="14"/>
      <c r="K61" s="14"/>
      <c r="L61" s="14"/>
      <c r="M61" s="14"/>
      <c r="N61" s="14"/>
      <c r="O61" s="14"/>
      <c r="P61" s="14"/>
      <c r="Q61" s="14"/>
    </row>
    <row r="62" spans="6:18" x14ac:dyDescent="0.35">
      <c r="F62" s="8" t="s">
        <v>207</v>
      </c>
      <c r="G62" s="8">
        <f>VLOOKUP(F62,Rankings!$D$2:$AE$300,5,0)</f>
        <v>33.9</v>
      </c>
      <c r="H62" s="14">
        <f>VLOOKUP(F62,Rankings!$D$2:$AE$300,17,0)</f>
        <v>0.18629888059701413</v>
      </c>
      <c r="I62" s="14">
        <f>VLOOKUP(F62,Rankings!$D$2:$AE$300,18,0)</f>
        <v>3.6947528517108676E-2</v>
      </c>
      <c r="J62" s="14">
        <f>VLOOKUP(F62,Rankings!$D$2:$AE$300,19,0)</f>
        <v>0.230777561305371</v>
      </c>
      <c r="K62" s="14">
        <f>VLOOKUP(F62,Rankings!$D$2:$AE$300,20,0)</f>
        <v>0.79178816983955724</v>
      </c>
      <c r="L62" s="14">
        <f>VLOOKUP(F62,Rankings!$D$2:$AE$300,21,0)</f>
        <v>0.77076310073272958</v>
      </c>
      <c r="M62" s="14">
        <f>VLOOKUP(F62,Rankings!$D$2:$AE$300,22,0)</f>
        <v>0.53193734223707001</v>
      </c>
      <c r="N62" s="14">
        <f>VLOOKUP(F62,Rankings!$D$2:$AE$300,23,0)</f>
        <v>-1.1881871524488112</v>
      </c>
      <c r="O62" s="14">
        <f>VLOOKUP(F62,Rankings!$D$2:$AE$300,24,0)</f>
        <v>-0.81064224877821867</v>
      </c>
      <c r="P62" s="14">
        <f>VLOOKUP(F62,Rankings!$D$2:$AE$300,25,0)</f>
        <v>-1.2776867090509234</v>
      </c>
      <c r="Q62" s="14">
        <f>VLOOKUP(F62,Rankings!$D$2:$AE$300,26,0)</f>
        <v>-0.72800352704910265</v>
      </c>
    </row>
    <row r="63" spans="6:18" x14ac:dyDescent="0.35">
      <c r="F63" s="8" t="s">
        <v>454</v>
      </c>
      <c r="G63" s="8">
        <f>VLOOKUP(F63,Rankings!$D$2:$AE$300,5,0)</f>
        <v>33.299999999999997</v>
      </c>
      <c r="H63" s="14">
        <f>VLOOKUP(F63,Rankings!$D$2:$AE$300,17,0)</f>
        <v>-0.63860559701492614</v>
      </c>
      <c r="I63" s="14">
        <f>VLOOKUP(F63,Rankings!$D$2:$AE$300,18,0)</f>
        <v>-0.13584562737642791</v>
      </c>
      <c r="J63" s="14">
        <f>VLOOKUP(F63,Rankings!$D$2:$AE$300,19,0)</f>
        <v>1.3608975791263631</v>
      </c>
      <c r="K63" s="14">
        <f>VLOOKUP(F63,Rankings!$D$2:$AE$300,20,0)</f>
        <v>1.1597729605272635</v>
      </c>
      <c r="L63" s="14">
        <f>VLOOKUP(F63,Rankings!$D$2:$AE$300,21,0)</f>
        <v>0.34220602397677297</v>
      </c>
      <c r="M63" s="14">
        <f>VLOOKUP(F63,Rankings!$D$2:$AE$300,22,0)</f>
        <v>0.67805200679416078</v>
      </c>
      <c r="N63" s="14">
        <f>VLOOKUP(F63,Rankings!$D$2:$AE$300,23,0)</f>
        <v>1.8118654693465728</v>
      </c>
      <c r="O63" s="14">
        <f>VLOOKUP(F63,Rankings!$D$2:$AE$300,24,0)</f>
        <v>-0.6262176964245999</v>
      </c>
      <c r="P63" s="14">
        <f>VLOOKUP(F63,Rankings!$D$2:$AE$300,25,0)</f>
        <v>-0.43970558203802057</v>
      </c>
      <c r="Q63" s="14">
        <f>VLOOKUP(F63,Rankings!$D$2:$AE$300,26,0)</f>
        <v>3.5124195369171587</v>
      </c>
    </row>
    <row r="64" spans="6:18" x14ac:dyDescent="0.35">
      <c r="F64" s="8" t="s">
        <v>29</v>
      </c>
      <c r="G64" s="8">
        <f>VLOOKUP(F64,Rankings!$D$2:$AE$300,5,0)</f>
        <v>26.7</v>
      </c>
      <c r="H64" s="14">
        <f>VLOOKUP(F64,Rankings!$D$2:$AE$300,17,0)</f>
        <v>1.1783485074626867</v>
      </c>
      <c r="I64" s="14">
        <f>VLOOKUP(F64,Rankings!$D$2:$AE$300,18,0)</f>
        <v>-4.6578707224337074E-2</v>
      </c>
      <c r="J64" s="14">
        <f>VLOOKUP(F64,Rankings!$D$2:$AE$300,19,0)</f>
        <v>-1.5157715571452535</v>
      </c>
      <c r="K64" s="14">
        <f>VLOOKUP(F64,Rankings!$D$2:$AE$300,20,0)</f>
        <v>-0.24816884732135105</v>
      </c>
      <c r="L64" s="14">
        <f>VLOOKUP(F64,Rankings!$D$2:$AE$300,21,0)</f>
        <v>2.1733135337522249</v>
      </c>
      <c r="M64" s="14">
        <f>VLOOKUP(F64,Rankings!$D$2:$AE$300,22,0)</f>
        <v>-0.5395701978482611</v>
      </c>
      <c r="N64" s="14">
        <f>VLOOKUP(F64,Rankings!$D$2:$AE$300,23,0)</f>
        <v>-0.54531873349265758</v>
      </c>
      <c r="O64" s="14">
        <f>VLOOKUP(F64,Rankings!$D$2:$AE$300,24,0)</f>
        <v>1.9557260365260618</v>
      </c>
      <c r="P64" s="14">
        <f>VLOOKUP(F64,Rankings!$D$2:$AE$300,25,0)</f>
        <v>-0.23021030028479489</v>
      </c>
      <c r="Q64" s="14">
        <f>VLOOKUP(F64,Rankings!$D$2:$AE$300,26,0)</f>
        <v>2.1817697344243183</v>
      </c>
    </row>
    <row r="65" spans="6:17" x14ac:dyDescent="0.35">
      <c r="F65" s="8" t="s">
        <v>665</v>
      </c>
      <c r="G65" s="8"/>
      <c r="H65" s="14"/>
      <c r="I65" s="14"/>
      <c r="J65" s="14"/>
      <c r="K65" s="14"/>
      <c r="L65" s="14"/>
      <c r="M65" s="14"/>
      <c r="N65" s="14"/>
      <c r="O65" s="14"/>
      <c r="P65" s="14"/>
      <c r="Q65" s="14"/>
    </row>
    <row r="66" spans="6:17" x14ac:dyDescent="0.35">
      <c r="F66" s="8" t="s">
        <v>228</v>
      </c>
      <c r="G66" s="8">
        <f>VLOOKUP(F66,Rankings!$D$2:$AE$300,5,0)</f>
        <v>25.9</v>
      </c>
      <c r="H66" s="14">
        <f>VLOOKUP(F66,Rankings!$D$2:$AE$300,17,0)</f>
        <v>9.5258955223880143E-2</v>
      </c>
      <c r="I66" s="14">
        <f>VLOOKUP(F66,Rankings!$D$2:$AE$300,18,0)</f>
        <v>1.486692015209079E-2</v>
      </c>
      <c r="J66" s="14">
        <f>VLOOKUP(F66,Rankings!$D$2:$AE$300,19,0)</f>
        <v>0.33351574474364315</v>
      </c>
      <c r="K66" s="14">
        <f>VLOOKUP(F66,Rankings!$D$2:$AE$300,20,0)</f>
        <v>-0.45616025075353256</v>
      </c>
      <c r="L66" s="14">
        <f>VLOOKUP(F66,Rankings!$D$2:$AE$300,21,0)</f>
        <v>-0.28114972403189165</v>
      </c>
      <c r="M66" s="14">
        <f>VLOOKUP(F66,Rankings!$D$2:$AE$300,22,0)</f>
        <v>0.19100312493719207</v>
      </c>
      <c r="N66" s="14">
        <f>VLOOKUP(F66,Rankings!$D$2:$AE$300,23,0)</f>
        <v>-1.1881871524488112</v>
      </c>
      <c r="O66" s="14">
        <f>VLOOKUP(F66,Rankings!$D$2:$AE$300,24,0)</f>
        <v>-0.81064224877821867</v>
      </c>
      <c r="P66" s="14">
        <f>VLOOKUP(F66,Rankings!$D$2:$AE$300,25,0)</f>
        <v>-0.12546265940818194</v>
      </c>
      <c r="Q66" s="14">
        <f>VLOOKUP(F66,Rankings!$D$2:$AE$300,26,0)</f>
        <v>-2.2269572903638299</v>
      </c>
    </row>
    <row r="67" spans="6:17" x14ac:dyDescent="0.35">
      <c r="F67" s="8" t="s">
        <v>443</v>
      </c>
      <c r="G67" s="8">
        <f>VLOOKUP(F67,Rankings!$D$2:$AE$300,5,0)</f>
        <v>25.6</v>
      </c>
      <c r="H67" s="14">
        <f>VLOOKUP(F67,Rankings!$D$2:$AE$300,17,0)</f>
        <v>-0.23543880597014955</v>
      </c>
      <c r="I67" s="14">
        <f>VLOOKUP(F67,Rankings!$D$2:$AE$300,18,0)</f>
        <v>0.24579391634980874</v>
      </c>
      <c r="J67" s="14">
        <f>VLOOKUP(F67,Rankings!$D$2:$AE$300,19,0)</f>
        <v>-0.89934245651562128</v>
      </c>
      <c r="K67" s="14">
        <f>VLOOKUP(F67,Rankings!$D$2:$AE$300,20,0)</f>
        <v>-0.76014768653902887</v>
      </c>
      <c r="L67" s="14">
        <f>VLOOKUP(F67,Rankings!$D$2:$AE$300,21,0)</f>
        <v>-0.6317873322867652</v>
      </c>
      <c r="M67" s="14">
        <f>VLOOKUP(F67,Rankings!$D$2:$AE$300,22,0)</f>
        <v>0.28841290130858571</v>
      </c>
      <c r="N67" s="14">
        <f>VLOOKUP(F67,Rankings!$D$2:$AE$300,23,0)</f>
        <v>-0.33102926050727299</v>
      </c>
      <c r="O67" s="14">
        <f>VLOOKUP(F67,Rankings!$D$2:$AE$300,24,0)</f>
        <v>0.11148051298987478</v>
      </c>
      <c r="P67" s="14">
        <f>VLOOKUP(F67,Rankings!$D$2:$AE$300,25,0)</f>
        <v>0.50302318585149519</v>
      </c>
      <c r="Q67" s="14">
        <f>VLOOKUP(F67,Rankings!$D$2:$AE$300,26,0)</f>
        <v>-1.7090350253190736</v>
      </c>
    </row>
    <row r="68" spans="6:17" x14ac:dyDescent="0.35">
      <c r="F68" s="8" t="s">
        <v>76</v>
      </c>
      <c r="G68" s="8">
        <f>VLOOKUP(F68,Rankings!$D$2:$AE$300,5,0)</f>
        <v>26.7</v>
      </c>
      <c r="H68" s="14">
        <f>VLOOKUP(F68,Rankings!$D$2:$AE$300,17,0)</f>
        <v>0.51163358208955223</v>
      </c>
      <c r="I68" s="14">
        <f>VLOOKUP(F68,Rankings!$D$2:$AE$300,18,0)</f>
        <v>-0.71045931558935493</v>
      </c>
      <c r="J68" s="14">
        <f>VLOOKUP(F68,Rankings!$D$2:$AE$300,19,0)</f>
        <v>-1.5157715571452535</v>
      </c>
      <c r="K68" s="14">
        <f>VLOOKUP(F68,Rankings!$D$2:$AE$300,20,0)</f>
        <v>-0.8081457027156862</v>
      </c>
      <c r="L68" s="14">
        <f>VLOOKUP(F68,Rankings!$D$2:$AE$300,21,0)</f>
        <v>0.73180336648218824</v>
      </c>
      <c r="M68" s="14">
        <f>VLOOKUP(F68,Rankings!$D$2:$AE$300,22,0)</f>
        <v>-0.3447506451054736</v>
      </c>
      <c r="N68" s="14">
        <f>VLOOKUP(F68,Rankings!$D$2:$AE$300,23,0)</f>
        <v>-1.6167660984195804</v>
      </c>
      <c r="O68" s="14">
        <f>VLOOKUP(F68,Rankings!$D$2:$AE$300,24,0)</f>
        <v>1.4024523794652057</v>
      </c>
      <c r="P68" s="14">
        <f>VLOOKUP(F68,Rankings!$D$2:$AE$300,25,0)</f>
        <v>0.29352790409826945</v>
      </c>
      <c r="Q68" s="14">
        <f>VLOOKUP(F68,Rankings!$D$2:$AE$300,26,0)</f>
        <v>-2.0564760868401324</v>
      </c>
    </row>
    <row r="69" spans="6:17" x14ac:dyDescent="0.35">
      <c r="F69" s="8" t="s">
        <v>355</v>
      </c>
      <c r="G69" s="8">
        <f>VLOOKUP(F69,Rankings!$D$2:$AE$300,5,0)</f>
        <v>27.3</v>
      </c>
      <c r="H69" s="14">
        <f>VLOOKUP(F69,Rankings!$D$2:$AE$300,17,0)</f>
        <v>0.46752723880597019</v>
      </c>
      <c r="I69" s="14">
        <f>VLOOKUP(F69,Rankings!$D$2:$AE$300,18,0)</f>
        <v>9.2167300380227024E-2</v>
      </c>
      <c r="J69" s="14">
        <f>VLOOKUP(F69,Rankings!$D$2:$AE$300,19,0)</f>
        <v>-1.5157715571452535</v>
      </c>
      <c r="K69" s="14">
        <f>VLOOKUP(F69,Rankings!$D$2:$AE$300,20,0)</f>
        <v>-0.79214636399013383</v>
      </c>
      <c r="L69" s="14">
        <f>VLOOKUP(F69,Rankings!$D$2:$AE$300,21,0)</f>
        <v>1.6668369884951846</v>
      </c>
      <c r="M69" s="14">
        <f>VLOOKUP(F69,Rankings!$D$2:$AE$300,22,0)</f>
        <v>0.33711778949428262</v>
      </c>
      <c r="N69" s="14">
        <f>VLOOKUP(F69,Rankings!$D$2:$AE$300,23,0)</f>
        <v>1.3832865233758038</v>
      </c>
      <c r="O69" s="14">
        <f>VLOOKUP(F69,Rankings!$D$2:$AE$300,24,0)</f>
        <v>0.11148051298987478</v>
      </c>
      <c r="P69" s="14">
        <f>VLOOKUP(F69,Rankings!$D$2:$AE$300,25,0)</f>
        <v>8.4032622345043773E-2</v>
      </c>
      <c r="Q69" s="14">
        <f>VLOOKUP(F69,Rankings!$D$2:$AE$300,26,0)</f>
        <v>1.8345310547509996</v>
      </c>
    </row>
    <row r="70" spans="6:17" x14ac:dyDescent="0.35">
      <c r="F70" s="49" t="s">
        <v>663</v>
      </c>
      <c r="G70" s="49"/>
      <c r="H70" s="47">
        <f>SUM(H55:H69)</f>
        <v>6.9278839552238773</v>
      </c>
      <c r="I70" s="47">
        <f t="shared" ref="I70:P70" si="65">SUM(I55:I69)</f>
        <v>1.0323433460075853</v>
      </c>
      <c r="J70" s="47">
        <f t="shared" si="65"/>
        <v>-3.4202614650606962</v>
      </c>
      <c r="K70" s="47">
        <f t="shared" si="65"/>
        <v>4.7258345255725738</v>
      </c>
      <c r="L70" s="47">
        <f t="shared" si="65"/>
        <v>6.725206066785657</v>
      </c>
      <c r="M70" s="47">
        <f t="shared" si="65"/>
        <v>4.8772130008938346</v>
      </c>
      <c r="N70" s="47">
        <f t="shared" si="65"/>
        <v>-0.64126924378461791</v>
      </c>
      <c r="O70" s="47">
        <f t="shared" si="65"/>
        <v>2.3328329570103352</v>
      </c>
      <c r="P70" s="47">
        <f t="shared" si="65"/>
        <v>-3.8940326345287115</v>
      </c>
      <c r="Q70" s="47">
        <f>SUM(Q55:Q69)</f>
        <v>18.665750508119835</v>
      </c>
    </row>
    <row r="71" spans="6:17" x14ac:dyDescent="0.35">
      <c r="F71" s="45" t="s">
        <v>652</v>
      </c>
      <c r="G71" s="45"/>
      <c r="H71" s="45" t="str">
        <f>IF(H70&lt;0, "Punt", "")</f>
        <v/>
      </c>
      <c r="I71" s="45" t="str">
        <f t="shared" ref="I71" si="66">IF(I70&lt;0, "Punt", "")</f>
        <v/>
      </c>
      <c r="J71" s="45" t="str">
        <f t="shared" ref="J71" si="67">IF(J70&lt;0, "Punt", "")</f>
        <v>Punt</v>
      </c>
      <c r="K71" s="45" t="str">
        <f t="shared" ref="K71" si="68">IF(K70&lt;0, "Punt", "")</f>
        <v/>
      </c>
      <c r="L71" s="45" t="str">
        <f t="shared" ref="L71" si="69">IF(L70&lt;0, "Punt", "")</f>
        <v/>
      </c>
      <c r="M71" s="45" t="str">
        <f t="shared" ref="M71" si="70">IF(M70&lt;0, "Punt", "")</f>
        <v/>
      </c>
      <c r="N71" s="45" t="str">
        <f t="shared" ref="N71" si="71">IF(N70&lt;0, "Punt", "")</f>
        <v>Punt</v>
      </c>
      <c r="O71" s="45" t="str">
        <f t="shared" ref="O71" si="72">IF(O70&lt;0, "Punt", "")</f>
        <v/>
      </c>
      <c r="P71" s="45" t="str">
        <f t="shared" ref="P71" si="73">IF(P70&lt;0, "Punt", "")</f>
        <v>Punt</v>
      </c>
      <c r="Q71" s="45" t="str">
        <f t="shared" ref="Q71" si="74">IF(Q70&lt;0, "Punt", "")</f>
        <v/>
      </c>
    </row>
    <row r="72" spans="6:17" x14ac:dyDescent="0.35">
      <c r="H72" s="14"/>
      <c r="I72" s="14"/>
      <c r="J72" s="14"/>
      <c r="K72" s="14"/>
      <c r="L72" s="14"/>
      <c r="M72" s="14"/>
      <c r="N72" s="14"/>
      <c r="O72" s="14"/>
      <c r="P72" s="14"/>
      <c r="Q72" s="14"/>
    </row>
    <row r="73" spans="6:17" x14ac:dyDescent="0.35">
      <c r="F73" s="3" t="str">
        <f>A6</f>
        <v>Team 5</v>
      </c>
      <c r="G73" s="3"/>
      <c r="H73" s="14"/>
      <c r="I73" s="14"/>
      <c r="J73" s="14"/>
      <c r="K73" s="14"/>
      <c r="L73" s="14"/>
      <c r="M73" s="14"/>
      <c r="N73" s="14"/>
      <c r="O73" s="14"/>
      <c r="P73" s="14"/>
      <c r="Q73" s="14"/>
    </row>
    <row r="74" spans="6:17" x14ac:dyDescent="0.35">
      <c r="F74" s="26" t="s">
        <v>662</v>
      </c>
      <c r="G74" s="26" t="s">
        <v>4</v>
      </c>
      <c r="H74" s="45" t="s">
        <v>631</v>
      </c>
      <c r="I74" s="45" t="s">
        <v>632</v>
      </c>
      <c r="J74" s="45" t="s">
        <v>540</v>
      </c>
      <c r="K74" s="45" t="s">
        <v>537</v>
      </c>
      <c r="L74" s="45" t="s">
        <v>541</v>
      </c>
      <c r="M74" s="45" t="s">
        <v>536</v>
      </c>
      <c r="N74" s="45" t="s">
        <v>538</v>
      </c>
      <c r="O74" s="45" t="s">
        <v>539</v>
      </c>
      <c r="P74" s="45" t="s">
        <v>542</v>
      </c>
      <c r="Q74" s="45" t="s">
        <v>633</v>
      </c>
    </row>
    <row r="75" spans="6:17" x14ac:dyDescent="0.35">
      <c r="F75" s="8" t="s">
        <v>37</v>
      </c>
      <c r="G75" s="8">
        <f>VLOOKUP(F75,Rankings!$D$2:$AE$300,5,0)</f>
        <v>31</v>
      </c>
      <c r="H75" s="14">
        <f>VLOOKUP(F75,Rankings!$D$2:$AE$300,17,0)</f>
        <v>1.1984496268656715</v>
      </c>
      <c r="I75" s="14">
        <f>VLOOKUP(F75,Rankings!$D$2:$AE$300,18,0)</f>
        <v>-1.4313307984790924</v>
      </c>
      <c r="J75" s="14">
        <f>VLOOKUP(F75,Rankings!$D$2:$AE$300,19,0)</f>
        <v>-7.7436989009445123E-2</v>
      </c>
      <c r="K75" s="14">
        <f>VLOOKUP(F75,Rankings!$D$2:$AE$300,20,0)</f>
        <v>2.2157293164137246</v>
      </c>
      <c r="L75" s="14">
        <f>VLOOKUP(F75,Rankings!$D$2:$AE$300,21,0)</f>
        <v>2.0564343310006001</v>
      </c>
      <c r="M75" s="14">
        <f>VLOOKUP(F75,Rankings!$D$2:$AE$300,22,0)</f>
        <v>1.1163960004654323</v>
      </c>
      <c r="N75" s="14">
        <f>VLOOKUP(F75,Rankings!$D$2:$AE$300,23,0)</f>
        <v>0.74041810441964995</v>
      </c>
      <c r="O75" s="14">
        <f>VLOOKUP(F75,Rankings!$D$2:$AE$300,24,0)</f>
        <v>0.84917872240434955</v>
      </c>
      <c r="P75" s="14">
        <f>VLOOKUP(F75,Rankings!$D$2:$AE$300,25,0)</f>
        <v>-1.9061725543106007</v>
      </c>
      <c r="Q75" s="14">
        <f>VLOOKUP(F75,Rankings!$D$2:$AE$300,26,0)</f>
        <v>4.7616657597702901</v>
      </c>
    </row>
    <row r="76" spans="6:17" x14ac:dyDescent="0.35">
      <c r="F76" s="8" t="s">
        <v>390</v>
      </c>
      <c r="G76" s="8">
        <f>VLOOKUP(F76,Rankings!$D$2:$AE$300,5,0)</f>
        <v>32.6</v>
      </c>
      <c r="H76" s="14">
        <f>VLOOKUP(F76,Rankings!$D$2:$AE$300,17,0)</f>
        <v>0.53207798507462678</v>
      </c>
      <c r="I76" s="14">
        <f>VLOOKUP(F76,Rankings!$D$2:$AE$300,18,0)</f>
        <v>-0.76383878326996435</v>
      </c>
      <c r="J76" s="14">
        <f>VLOOKUP(F76,Rankings!$D$2:$AE$300,19,0)</f>
        <v>-1.4130333737069813</v>
      </c>
      <c r="K76" s="14">
        <f>VLOOKUP(F76,Rankings!$D$2:$AE$300,20,0)</f>
        <v>-2.4178105163616896E-2</v>
      </c>
      <c r="L76" s="14">
        <f>VLOOKUP(F76,Rankings!$D$2:$AE$300,21,0)</f>
        <v>1.4330785829919357</v>
      </c>
      <c r="M76" s="14">
        <f>VLOOKUP(F76,Rankings!$D$2:$AE$300,22,0)</f>
        <v>2.2853133169221573</v>
      </c>
      <c r="N76" s="14">
        <f>VLOOKUP(F76,Rankings!$D$2:$AE$300,23,0)</f>
        <v>1.3832865233758038</v>
      </c>
      <c r="O76" s="14">
        <f>VLOOKUP(F76,Rankings!$D$2:$AE$300,24,0)</f>
        <v>1.0336032747579684</v>
      </c>
      <c r="P76" s="14">
        <f>VLOOKUP(F76,Rankings!$D$2:$AE$300,25,0)</f>
        <v>-2.325163117817052</v>
      </c>
      <c r="Q76" s="14">
        <f>VLOOKUP(F76,Rankings!$D$2:$AE$300,26,0)</f>
        <v>2.1411463031648781</v>
      </c>
    </row>
    <row r="77" spans="6:17" x14ac:dyDescent="0.35">
      <c r="F77" s="8" t="s">
        <v>108</v>
      </c>
      <c r="G77" s="8">
        <f>VLOOKUP(F77,Rankings!$D$2:$AE$300,5,0)</f>
        <v>26.4</v>
      </c>
      <c r="H77" s="14">
        <f>VLOOKUP(F77,Rankings!$D$2:$AE$300,17,0)</f>
        <v>0.40498656716417891</v>
      </c>
      <c r="I77" s="14">
        <f>VLOOKUP(F77,Rankings!$D$2:$AE$300,18,0)</f>
        <v>-0.87771254752851868</v>
      </c>
      <c r="J77" s="14">
        <f>VLOOKUP(F77,Rankings!$D$2:$AE$300,19,0)</f>
        <v>-1.5157715571452535</v>
      </c>
      <c r="K77" s="14">
        <f>VLOOKUP(F77,Rankings!$D$2:$AE$300,20,0)</f>
        <v>-0.44016091202798019</v>
      </c>
      <c r="L77" s="14">
        <f>VLOOKUP(F77,Rankings!$D$2:$AE$300,21,0)</f>
        <v>3.1473068900157628</v>
      </c>
      <c r="M77" s="14">
        <f>VLOOKUP(F77,Rankings!$D$2:$AE$300,22,0)</f>
        <v>-0.73438975059104861</v>
      </c>
      <c r="N77" s="14">
        <f>VLOOKUP(F77,Rankings!$D$2:$AE$300,23,0)</f>
        <v>-0.54531873349265758</v>
      </c>
      <c r="O77" s="14">
        <f>VLOOKUP(F77,Rankings!$D$2:$AE$300,24,0)</f>
        <v>0.84917872240434955</v>
      </c>
      <c r="P77" s="14">
        <f>VLOOKUP(F77,Rankings!$D$2:$AE$300,25,0)</f>
        <v>0.29352790409826945</v>
      </c>
      <c r="Q77" s="14">
        <f>VLOOKUP(F77,Rankings!$D$2:$AE$300,26,0)</f>
        <v>0.58164658289710225</v>
      </c>
    </row>
    <row r="78" spans="6:17" x14ac:dyDescent="0.35">
      <c r="F78" s="8" t="s">
        <v>313</v>
      </c>
      <c r="G78" s="8">
        <f>VLOOKUP(F78,Rankings!$D$2:$AE$300,5,0)</f>
        <v>33.5</v>
      </c>
      <c r="H78" s="14">
        <f>VLOOKUP(F78,Rankings!$D$2:$AE$300,17,0)</f>
        <v>-0.8273888059701503</v>
      </c>
      <c r="I78" s="14">
        <f>VLOOKUP(F78,Rankings!$D$2:$AE$300,18,0)</f>
        <v>0.12701444866919953</v>
      </c>
      <c r="J78" s="14">
        <f>VLOOKUP(F78,Rankings!$D$2:$AE$300,19,0)</f>
        <v>1.9773266797559954</v>
      </c>
      <c r="K78" s="14">
        <f>VLOOKUP(F78,Rankings!$D$2:$AE$300,20,0)</f>
        <v>1.7037504771960461</v>
      </c>
      <c r="L78" s="14">
        <f>VLOOKUP(F78,Rankings!$D$2:$AE$300,21,0)</f>
        <v>-0.51490812953514065</v>
      </c>
      <c r="M78" s="14">
        <f>VLOOKUP(F78,Rankings!$D$2:$AE$300,22,0)</f>
        <v>1.0189862240940391</v>
      </c>
      <c r="N78" s="14">
        <f>VLOOKUP(F78,Rankings!$D$2:$AE$300,23,0)</f>
        <v>-0.54531873349265758</v>
      </c>
      <c r="O78" s="14">
        <f>VLOOKUP(F78,Rankings!$D$2:$AE$300,24,0)</f>
        <v>-0.25736859171736254</v>
      </c>
      <c r="P78" s="14">
        <f>VLOOKUP(F78,Rankings!$D$2:$AE$300,25,0)</f>
        <v>-1.4871819908041493</v>
      </c>
      <c r="Q78" s="14">
        <f>VLOOKUP(F78,Rankings!$D$2:$AE$300,26,0)</f>
        <v>1.1949115781958197</v>
      </c>
    </row>
    <row r="79" spans="6:17" x14ac:dyDescent="0.35">
      <c r="F79" s="8" t="s">
        <v>326</v>
      </c>
      <c r="G79" s="8">
        <f>VLOOKUP(F79,Rankings!$D$2:$AE$300,5,0)</f>
        <v>35</v>
      </c>
      <c r="H79" s="14">
        <f>VLOOKUP(F79,Rankings!$D$2:$AE$300,17,0)</f>
        <v>0.27501156716417829</v>
      </c>
      <c r="I79" s="14">
        <f>VLOOKUP(F79,Rankings!$D$2:$AE$300,18,0)</f>
        <v>-5.0570342205504828E-4</v>
      </c>
      <c r="J79" s="14">
        <f>VLOOKUP(F79,Rankings!$D$2:$AE$300,19,0)</f>
        <v>0.94994484537327517</v>
      </c>
      <c r="K79" s="14">
        <f>VLOOKUP(F79,Rankings!$D$2:$AE$300,20,0)</f>
        <v>1.111774944350606</v>
      </c>
      <c r="L79" s="14">
        <f>VLOOKUP(F79,Rankings!$D$2:$AE$300,21,0)</f>
        <v>-0.74866653503838987</v>
      </c>
      <c r="M79" s="14">
        <f>VLOOKUP(F79,Rankings!$D$2:$AE$300,22,0)</f>
        <v>0.48323245405137316</v>
      </c>
      <c r="N79" s="14">
        <f>VLOOKUP(F79,Rankings!$D$2:$AE$300,23,0)</f>
        <v>9.7549685463496322E-2</v>
      </c>
      <c r="O79" s="14">
        <f>VLOOKUP(F79,Rankings!$D$2:$AE$300,24,0)</f>
        <v>-0.81064224877821867</v>
      </c>
      <c r="P79" s="14">
        <f>VLOOKUP(F79,Rankings!$D$2:$AE$300,25,0)</f>
        <v>-0.43970558203802057</v>
      </c>
      <c r="Q79" s="14">
        <f>VLOOKUP(F79,Rankings!$D$2:$AE$300,26,0)</f>
        <v>0.91799342712624543</v>
      </c>
    </row>
    <row r="80" spans="6:17" x14ac:dyDescent="0.35">
      <c r="F80" s="8" t="s">
        <v>379</v>
      </c>
      <c r="G80" s="8">
        <f>VLOOKUP(F80,Rankings!$D$2:$AE$300,5,0)</f>
        <v>24.4</v>
      </c>
      <c r="H80" s="14">
        <f>VLOOKUP(F80,Rankings!$D$2:$AE$300,17,0)</f>
        <v>-0.35836641791044782</v>
      </c>
      <c r="I80" s="14">
        <f>VLOOKUP(F80,Rankings!$D$2:$AE$300,18,0)</f>
        <v>0.20782699619771805</v>
      </c>
      <c r="J80" s="14">
        <f>VLOOKUP(F80,Rankings!$D$2:$AE$300,19,0)</f>
        <v>-1.0020806399538933</v>
      </c>
      <c r="K80" s="14">
        <f>VLOOKUP(F80,Rankings!$D$2:$AE$300,20,0)</f>
        <v>-1.0321364448734203</v>
      </c>
      <c r="L80" s="14">
        <f>VLOOKUP(F80,Rankings!$D$2:$AE$300,21,0)</f>
        <v>-0.74866653503838987</v>
      </c>
      <c r="M80" s="14">
        <f>VLOOKUP(F80,Rankings!$D$2:$AE$300,22,0)</f>
        <v>1.2138057768368262</v>
      </c>
      <c r="N80" s="14">
        <f>VLOOKUP(F80,Rankings!$D$2:$AE$300,23,0)</f>
        <v>1.3832865233758038</v>
      </c>
      <c r="O80" s="14">
        <f>VLOOKUP(F80,Rankings!$D$2:$AE$300,24,0)</f>
        <v>-0.99506680113183732</v>
      </c>
      <c r="P80" s="14">
        <f>VLOOKUP(F80,Rankings!$D$2:$AE$300,25,0)</f>
        <v>8.4032622345043773E-2</v>
      </c>
      <c r="Q80" s="14">
        <f>VLOOKUP(F80,Rankings!$D$2:$AE$300,26,0)</f>
        <v>-1.2473649201525969</v>
      </c>
    </row>
    <row r="81" spans="6:17" x14ac:dyDescent="0.35">
      <c r="F81" s="8" t="s">
        <v>290</v>
      </c>
      <c r="G81" s="8">
        <f>VLOOKUP(F81,Rankings!$D$2:$AE$300,5,0)</f>
        <v>26.5</v>
      </c>
      <c r="H81" s="14">
        <f>VLOOKUP(F81,Rankings!$D$2:$AE$300,17,0)</f>
        <v>0.45333955223880562</v>
      </c>
      <c r="I81" s="14">
        <f>VLOOKUP(F81,Rankings!$D$2:$AE$300,18,0)</f>
        <v>6.6901140684408555E-2</v>
      </c>
      <c r="J81" s="14">
        <f>VLOOKUP(F81,Rankings!$D$2:$AE$300,19,0)</f>
        <v>1.3608975791263631</v>
      </c>
      <c r="K81" s="14">
        <f>VLOOKUP(F81,Rankings!$D$2:$AE$300,20,0)</f>
        <v>0.72779081493734776</v>
      </c>
      <c r="L81" s="14">
        <f>VLOOKUP(F81,Rankings!$D$2:$AE$300,21,0)</f>
        <v>0.77076310073272958</v>
      </c>
      <c r="M81" s="14">
        <f>VLOOKUP(F81,Rankings!$D$2:$AE$300,22,0)</f>
        <v>-0.73438975059104861</v>
      </c>
      <c r="N81" s="14">
        <f>VLOOKUP(F81,Rankings!$D$2:$AE$300,23,0)</f>
        <v>-0.11673978752188821</v>
      </c>
      <c r="O81" s="14">
        <f>VLOOKUP(F81,Rankings!$D$2:$AE$300,24,0)</f>
        <v>-0.4417931440709813</v>
      </c>
      <c r="P81" s="14">
        <f>VLOOKUP(F81,Rankings!$D$2:$AE$300,25,0)</f>
        <v>-0.23021030028479489</v>
      </c>
      <c r="Q81" s="14">
        <f>VLOOKUP(F81,Rankings!$D$2:$AE$300,26,0)</f>
        <v>1.8565592052509414</v>
      </c>
    </row>
    <row r="82" spans="6:17" x14ac:dyDescent="0.35">
      <c r="F82" s="8" t="s">
        <v>682</v>
      </c>
      <c r="G82" s="8">
        <f>VLOOKUP(F82,Rankings!$D$2:$AE$300,5,0)</f>
        <v>23.3</v>
      </c>
      <c r="H82" s="14">
        <f>VLOOKUP(F82,Rankings!$D$2:$AE$300,17,0)</f>
        <v>-1.4522518656716421</v>
      </c>
      <c r="I82" s="14">
        <f>VLOOKUP(F82,Rankings!$D$2:$AE$300,18,0)</f>
        <v>0.39162737642585421</v>
      </c>
      <c r="J82" s="14">
        <f>VLOOKUP(F82,Rankings!$D$2:$AE$300,19,0)</f>
        <v>-1.0020806399538933</v>
      </c>
      <c r="K82" s="14">
        <f>VLOOKUP(F82,Rankings!$D$2:$AE$300,20,0)</f>
        <v>-0.52015760565574232</v>
      </c>
      <c r="L82" s="14">
        <f>VLOOKUP(F82,Rankings!$D$2:$AE$300,21,0)</f>
        <v>-0.24218998978134992</v>
      </c>
      <c r="M82" s="14">
        <f>VLOOKUP(F82,Rankings!$D$2:$AE$300,22,0)</f>
        <v>0.14229823675149517</v>
      </c>
      <c r="N82" s="14">
        <f>VLOOKUP(F82,Rankings!$D$2:$AE$300,23,0)</f>
        <v>-0.75960820647804206</v>
      </c>
      <c r="O82" s="14">
        <f>VLOOKUP(F82,Rankings!$D$2:$AE$300,24,0)</f>
        <v>-0.6262176964245999</v>
      </c>
      <c r="P82" s="14">
        <f>VLOOKUP(F82,Rankings!$D$2:$AE$300,25,0)</f>
        <v>8.4032622345043773E-2</v>
      </c>
      <c r="Q82" s="14">
        <f>VLOOKUP(F82,Rankings!$D$2:$AE$300,26,0)</f>
        <v>-3.9845477684428774</v>
      </c>
    </row>
    <row r="83" spans="6:17" x14ac:dyDescent="0.35">
      <c r="F83" s="8" t="s">
        <v>643</v>
      </c>
      <c r="G83" s="8">
        <f>VLOOKUP(F83,Rankings!$D$2:$AE$300,5,0)</f>
        <v>29.3</v>
      </c>
      <c r="H83" s="14">
        <f>VLOOKUP(F83,Rankings!$D$2:$AE$300,17,0)</f>
        <v>1.4259287313432825</v>
      </c>
      <c r="I83" s="14">
        <f>VLOOKUP(F83,Rankings!$D$2:$AE$300,18,0)</f>
        <v>0.22373384030418153</v>
      </c>
      <c r="J83" s="14">
        <f>VLOOKUP(F83,Rankings!$D$2:$AE$300,19,0)</f>
        <v>1.3608975791263631</v>
      </c>
      <c r="K83" s="14">
        <f>VLOOKUP(F83,Rankings!$D$2:$AE$300,20,0)</f>
        <v>1.0797762668995012</v>
      </c>
      <c r="L83" s="14">
        <f>VLOOKUP(F83,Rankings!$D$2:$AE$300,21,0)</f>
        <v>0.77076310073272958</v>
      </c>
      <c r="M83" s="14">
        <f>VLOOKUP(F83,Rankings!$D$2:$AE$300,22,0)</f>
        <v>-0.4908653096625642</v>
      </c>
      <c r="N83" s="14">
        <f>VLOOKUP(F83,Rankings!$D$2:$AE$300,23,0)</f>
        <v>0.31183915844888088</v>
      </c>
      <c r="O83" s="14">
        <f>VLOOKUP(F83,Rankings!$D$2:$AE$300,24,0)</f>
        <v>1.771301484172443</v>
      </c>
      <c r="P83" s="14">
        <f>VLOOKUP(F83,Rankings!$D$2:$AE$300,25,0)</f>
        <v>1.1315090311111724</v>
      </c>
      <c r="Q83" s="14">
        <f>VLOOKUP(F83,Rankings!$D$2:$AE$300,26,0)</f>
        <v>7.5848838824759897</v>
      </c>
    </row>
    <row r="84" spans="6:17" x14ac:dyDescent="0.35">
      <c r="F84" s="8" t="s">
        <v>366</v>
      </c>
      <c r="G84" s="8">
        <f>VLOOKUP(F84,Rankings!$D$2:$AE$300,5,0)</f>
        <v>28.5</v>
      </c>
      <c r="H84" s="14">
        <f>VLOOKUP(F84,Rankings!$D$2:$AE$300,17,0)</f>
        <v>-1.1637455223880602</v>
      </c>
      <c r="I84" s="14">
        <f>VLOOKUP(F84,Rankings!$D$2:$AE$300,18,0)</f>
        <v>0.20960076045627218</v>
      </c>
      <c r="J84" s="14">
        <f>VLOOKUP(F84,Rankings!$D$2:$AE$300,19,0)</f>
        <v>2.5301194428826994E-2</v>
      </c>
      <c r="K84" s="14">
        <f>VLOOKUP(F84,Rankings!$D$2:$AE$300,20,0)</f>
        <v>-0.21617016987024601</v>
      </c>
      <c r="L84" s="14">
        <f>VLOOKUP(F84,Rankings!$D$2:$AE$300,21,0)</f>
        <v>-8.635105277918402E-2</v>
      </c>
      <c r="M84" s="14">
        <f>VLOOKUP(F84,Rankings!$D$2:$AE$300,22,0)</f>
        <v>-0.78309463877674546</v>
      </c>
      <c r="N84" s="14">
        <f>VLOOKUP(F84,Rankings!$D$2:$AE$300,23,0)</f>
        <v>1.168997050390419</v>
      </c>
      <c r="O84" s="14">
        <f>VLOOKUP(F84,Rankings!$D$2:$AE$300,24,0)</f>
        <v>-0.6262176964245999</v>
      </c>
      <c r="P84" s="14">
        <f>VLOOKUP(F84,Rankings!$D$2:$AE$300,25,0)</f>
        <v>8.4032622345043773E-2</v>
      </c>
      <c r="Q84" s="14">
        <f>VLOOKUP(F84,Rankings!$D$2:$AE$300,26,0)</f>
        <v>-1.3876474526182732</v>
      </c>
    </row>
    <row r="85" spans="6:17" x14ac:dyDescent="0.35">
      <c r="F85" s="8" t="s">
        <v>142</v>
      </c>
      <c r="G85" s="8"/>
      <c r="H85" s="14">
        <f>VLOOKUP(F85,Rankings!$D$2:$AE$300,17,0)</f>
        <v>-0.21429850746268686</v>
      </c>
      <c r="I85" s="14">
        <f>VLOOKUP(F85,Rankings!$D$2:$AE$300,18,0)</f>
        <v>-0.21813307984790919</v>
      </c>
      <c r="J85" s="14">
        <f>VLOOKUP(F85,Rankings!$D$2:$AE$300,19,0)</f>
        <v>-0.28291335588598915</v>
      </c>
      <c r="K85" s="14">
        <f>VLOOKUP(F85,Rankings!$D$2:$AE$300,20,0)</f>
        <v>-0.66415165418571431</v>
      </c>
      <c r="L85" s="14">
        <f>VLOOKUP(F85,Rankings!$D$2:$AE$300,21,0)</f>
        <v>-1.2941028145459712</v>
      </c>
      <c r="M85" s="14">
        <f>VLOOKUP(F85,Rankings!$D$2:$AE$300,22,0)</f>
        <v>4.488846038010133E-2</v>
      </c>
      <c r="N85" s="14">
        <f>VLOOKUP(F85,Rankings!$D$2:$AE$300,23,0)</f>
        <v>-0.33102926050727299</v>
      </c>
      <c r="O85" s="14">
        <f>VLOOKUP(F85,Rankings!$D$2:$AE$300,24,0)</f>
        <v>-0.6262176964245999</v>
      </c>
      <c r="P85" s="14">
        <f>VLOOKUP(F85,Rankings!$D$2:$AE$300,25,0)</f>
        <v>0.71251846760472104</v>
      </c>
      <c r="Q85" s="14">
        <f>VLOOKUP(F85,Rankings!$D$2:$AE$300,26,0)</f>
        <v>-2.8734394408753214</v>
      </c>
    </row>
    <row r="86" spans="6:17" x14ac:dyDescent="0.35">
      <c r="F86" s="8" t="s">
        <v>646</v>
      </c>
      <c r="G86" s="8">
        <f>VLOOKUP(F86,Rankings!$D$2:$AE$300,5,0)</f>
        <v>24.3</v>
      </c>
      <c r="H86" s="14">
        <f>VLOOKUP(F86,Rankings!$D$2:$AE$300,17,0)</f>
        <v>-0.31850708955223922</v>
      </c>
      <c r="I86" s="14">
        <f>VLOOKUP(F86,Rankings!$D$2:$AE$300,18,0)</f>
        <v>-0.1441996197718638</v>
      </c>
      <c r="J86" s="14">
        <f>VLOOKUP(F86,Rankings!$D$2:$AE$300,19,0)</f>
        <v>0.84720666193500305</v>
      </c>
      <c r="K86" s="14">
        <f>VLOOKUP(F86,Rankings!$D$2:$AE$300,20,0)</f>
        <v>-0.31216620222356056</v>
      </c>
      <c r="L86" s="14">
        <f>VLOOKUP(F86,Rankings!$D$2:$AE$300,21,0)</f>
        <v>-1.1772236117943466</v>
      </c>
      <c r="M86" s="14">
        <f>VLOOKUP(F86,Rankings!$D$2:$AE$300,22,0)</f>
        <v>-0.92920930333383611</v>
      </c>
      <c r="N86" s="14">
        <f>VLOOKUP(F86,Rankings!$D$2:$AE$300,23,0)</f>
        <v>-1.1881871524488112</v>
      </c>
      <c r="O86" s="14">
        <f>VLOOKUP(F86,Rankings!$D$2:$AE$300,24,0)</f>
        <v>-0.81064224877821867</v>
      </c>
      <c r="P86" s="14">
        <f>VLOOKUP(F86,Rankings!$D$2:$AE$300,25,0)</f>
        <v>1.1315090311111724</v>
      </c>
      <c r="Q86" s="14">
        <f>VLOOKUP(F86,Rankings!$D$2:$AE$300,26,0)</f>
        <v>-2.9014195348567009</v>
      </c>
    </row>
    <row r="87" spans="6:17" x14ac:dyDescent="0.35">
      <c r="F87" s="8" t="s">
        <v>403</v>
      </c>
      <c r="G87" s="8">
        <f>VLOOKUP(F87,Rankings!$D$2:$AE$300,5,0)</f>
        <v>22.5</v>
      </c>
      <c r="H87" s="14">
        <f>VLOOKUP(F87,Rankings!$D$2:$AE$300,17,0)</f>
        <v>0.54727611940298515</v>
      </c>
      <c r="I87" s="14">
        <f>VLOOKUP(F87,Rankings!$D$2:$AE$300,18,0)</f>
        <v>-0.3871197718631183</v>
      </c>
      <c r="J87" s="14">
        <f>VLOOKUP(F87,Rankings!$D$2:$AE$300,19,0)</f>
        <v>-1.0020806399538933</v>
      </c>
      <c r="K87" s="14">
        <f>VLOOKUP(F87,Rankings!$D$2:$AE$300,20,0)</f>
        <v>-0.85614371889234342</v>
      </c>
      <c r="L87" s="14">
        <f>VLOOKUP(F87,Rankings!$D$2:$AE$300,21,0)</f>
        <v>-0.1253107870297254</v>
      </c>
      <c r="M87" s="14">
        <f>VLOOKUP(F87,Rankings!$D$2:$AE$300,22,0)</f>
        <v>-0.68568486240535176</v>
      </c>
      <c r="N87" s="14">
        <f>VLOOKUP(F87,Rankings!$D$2:$AE$300,23,0)</f>
        <v>-0.97389767946342665</v>
      </c>
      <c r="O87" s="14">
        <f>VLOOKUP(F87,Rankings!$D$2:$AE$300,24,0)</f>
        <v>0.84917872240434955</v>
      </c>
      <c r="P87" s="14">
        <f>VLOOKUP(F87,Rankings!$D$2:$AE$300,25,0)</f>
        <v>0.50302318585149519</v>
      </c>
      <c r="Q87" s="14">
        <f>VLOOKUP(F87,Rankings!$D$2:$AE$300,26,0)</f>
        <v>-2.1307594319490288</v>
      </c>
    </row>
    <row r="88" spans="6:17" x14ac:dyDescent="0.35">
      <c r="F88" s="7" t="s">
        <v>663</v>
      </c>
      <c r="H88" s="47">
        <f>SUM(H73:H87)</f>
        <v>0.50251194029850232</v>
      </c>
      <c r="I88" s="47">
        <f t="shared" ref="I88:P88" si="75">SUM(I73:I87)</f>
        <v>-2.596135741444888</v>
      </c>
      <c r="J88" s="47">
        <f>SUM(J73:J87)</f>
        <v>0.22617734413647783</v>
      </c>
      <c r="K88" s="47">
        <f t="shared" si="75"/>
        <v>2.7735570069046016</v>
      </c>
      <c r="L88" s="47">
        <f t="shared" si="75"/>
        <v>3.2409265499312601</v>
      </c>
      <c r="M88" s="47">
        <f t="shared" si="75"/>
        <v>1.9472868541408288</v>
      </c>
      <c r="N88" s="47">
        <f t="shared" si="75"/>
        <v>0.62527749206929739</v>
      </c>
      <c r="O88" s="47">
        <f t="shared" si="75"/>
        <v>0.15827480239304181</v>
      </c>
      <c r="P88" s="47">
        <f t="shared" si="75"/>
        <v>-2.3642480584426564</v>
      </c>
      <c r="Q88" s="47">
        <f>SUM(Q73:Q87)</f>
        <v>4.5136281899864672</v>
      </c>
    </row>
    <row r="89" spans="6:17" x14ac:dyDescent="0.35">
      <c r="F89" s="26" t="s">
        <v>652</v>
      </c>
      <c r="G89" s="26"/>
      <c r="H89" s="45" t="str">
        <f>IF(H88&lt;0, "Punt", "")</f>
        <v/>
      </c>
      <c r="I89" s="45" t="str">
        <f t="shared" ref="I89" si="76">IF(I88&lt;0, "Punt", "")</f>
        <v>Punt</v>
      </c>
      <c r="J89" s="45" t="str">
        <f t="shared" ref="J89" si="77">IF(J88&lt;0, "Punt", "")</f>
        <v/>
      </c>
      <c r="K89" s="45" t="str">
        <f t="shared" ref="K89" si="78">IF(K88&lt;0, "Punt", "")</f>
        <v/>
      </c>
      <c r="L89" s="45" t="str">
        <f t="shared" ref="L89" si="79">IF(L88&lt;0, "Punt", "")</f>
        <v/>
      </c>
      <c r="M89" s="45" t="str">
        <f t="shared" ref="M89" si="80">IF(M88&lt;0, "Punt", "")</f>
        <v/>
      </c>
      <c r="N89" s="45" t="str">
        <f t="shared" ref="N89" si="81">IF(N88&lt;0, "Punt", "")</f>
        <v/>
      </c>
      <c r="O89" s="45" t="str">
        <f t="shared" ref="O89" si="82">IF(O88&lt;0, "Punt", "")</f>
        <v/>
      </c>
      <c r="P89" s="45" t="str">
        <f t="shared" ref="P89" si="83">IF(P88&lt;0, "Punt", "")</f>
        <v>Punt</v>
      </c>
      <c r="Q89" s="45" t="str">
        <f t="shared" ref="Q89" si="84">IF(Q88&lt;0, "Punt", "")</f>
        <v/>
      </c>
    </row>
    <row r="90" spans="6:17" x14ac:dyDescent="0.35">
      <c r="H90" s="14"/>
      <c r="I90" s="14"/>
      <c r="J90" s="14"/>
      <c r="K90" s="14"/>
      <c r="L90" s="14"/>
      <c r="M90" s="14"/>
      <c r="N90" s="14"/>
      <c r="O90" s="14"/>
      <c r="P90" s="14"/>
      <c r="Q90" s="14"/>
    </row>
    <row r="91" spans="6:17" x14ac:dyDescent="0.35">
      <c r="F91" s="48" t="str">
        <f>A7</f>
        <v>Team 6</v>
      </c>
      <c r="G91" s="48"/>
      <c r="H91" s="14"/>
      <c r="I91" s="14"/>
      <c r="J91" s="14"/>
      <c r="K91" s="14"/>
      <c r="L91" s="14"/>
      <c r="M91" s="14"/>
      <c r="N91" s="14"/>
      <c r="O91" s="14"/>
      <c r="P91" s="14"/>
      <c r="Q91" s="14"/>
    </row>
    <row r="92" spans="6:17" x14ac:dyDescent="0.35">
      <c r="F92" s="45" t="s">
        <v>662</v>
      </c>
      <c r="G92" s="26" t="s">
        <v>4</v>
      </c>
      <c r="H92" s="45" t="s">
        <v>631</v>
      </c>
      <c r="I92" s="45" t="s">
        <v>632</v>
      </c>
      <c r="J92" s="45" t="s">
        <v>540</v>
      </c>
      <c r="K92" s="45" t="s">
        <v>537</v>
      </c>
      <c r="L92" s="45" t="s">
        <v>541</v>
      </c>
      <c r="M92" s="45" t="s">
        <v>536</v>
      </c>
      <c r="N92" s="45" t="s">
        <v>538</v>
      </c>
      <c r="O92" s="45" t="s">
        <v>539</v>
      </c>
      <c r="P92" s="45" t="s">
        <v>542</v>
      </c>
      <c r="Q92" s="45" t="s">
        <v>633</v>
      </c>
    </row>
    <row r="93" spans="6:17" x14ac:dyDescent="0.35">
      <c r="F93" s="8" t="s">
        <v>279</v>
      </c>
      <c r="G93" s="8">
        <f>VLOOKUP(F93,Rankings!$D$2:$AE$300,5,0)</f>
        <v>35.1</v>
      </c>
      <c r="H93" s="14">
        <f>VLOOKUP(F93,Rankings!$D$2:$AE$300,17,0)</f>
        <v>-0.38456529850746324</v>
      </c>
      <c r="I93" s="14">
        <f>VLOOKUP(F93,Rankings!$D$2:$AE$300,18,0)</f>
        <v>1.0122950570342173</v>
      </c>
      <c r="J93" s="14">
        <f>VLOOKUP(F93,Rankings!$D$2:$AE$300,19,0)</f>
        <v>2.285541230070812</v>
      </c>
      <c r="K93" s="14">
        <f>VLOOKUP(F93,Rankings!$D$2:$AE$300,20,0)</f>
        <v>2.1357326227859623</v>
      </c>
      <c r="L93" s="14">
        <f>VLOOKUP(F93,Rankings!$D$2:$AE$300,21,0)</f>
        <v>3.0528149972440837E-2</v>
      </c>
      <c r="M93" s="14">
        <f>VLOOKUP(F93,Rankings!$D$2:$AE$300,22,0)</f>
        <v>1.749559546879492</v>
      </c>
      <c r="N93" s="14">
        <f>VLOOKUP(F93,Rankings!$D$2:$AE$300,23,0)</f>
        <v>-0.11673978752188821</v>
      </c>
      <c r="O93" s="14">
        <f>VLOOKUP(F93,Rankings!$D$2:$AE$300,24,0)</f>
        <v>-0.4417931440709813</v>
      </c>
      <c r="P93" s="14">
        <f>VLOOKUP(F93,Rankings!$D$2:$AE$300,25,0)</f>
        <v>-1.4871819908041493</v>
      </c>
      <c r="Q93" s="14">
        <f>VLOOKUP(F93,Rankings!$D$2:$AE$300,26,0)</f>
        <v>4.7833763858384426</v>
      </c>
    </row>
    <row r="94" spans="6:17" x14ac:dyDescent="0.35">
      <c r="F94" s="8" t="s">
        <v>624</v>
      </c>
      <c r="G94" s="8">
        <f>VLOOKUP(F94,Rankings!$D$2:$AE$300,5,0)</f>
        <v>31.5</v>
      </c>
      <c r="H94" s="14">
        <f>VLOOKUP(F94,Rankings!$D$2:$AE$300,17,0)</f>
        <v>0.80024962686567114</v>
      </c>
      <c r="I94" s="14">
        <f>VLOOKUP(F94,Rankings!$D$2:$AE$300,18,0)</f>
        <v>1.4080608365017877E-2</v>
      </c>
      <c r="J94" s="14">
        <f>VLOOKUP(F94,Rankings!$D$2:$AE$300,19,0)</f>
        <v>1.0526830288115472</v>
      </c>
      <c r="K94" s="14">
        <f>VLOOKUP(F94,Rankings!$D$2:$AE$300,20,0)</f>
        <v>1.5597564286660743</v>
      </c>
      <c r="L94" s="14">
        <f>VLOOKUP(F94,Rankings!$D$2:$AE$300,21,0)</f>
        <v>2.5239511420070988</v>
      </c>
      <c r="M94" s="14">
        <f>VLOOKUP(F94,Rankings!$D$2:$AE$300,22,0)</f>
        <v>0.33711778949428262</v>
      </c>
      <c r="N94" s="14">
        <f>VLOOKUP(F94,Rankings!$D$2:$AE$300,23,0)</f>
        <v>0.31183915844888088</v>
      </c>
      <c r="O94" s="14">
        <f>VLOOKUP(F94,Rankings!$D$2:$AE$300,24,0)</f>
        <v>-7.2944039363743871E-2</v>
      </c>
      <c r="P94" s="14">
        <f>VLOOKUP(F94,Rankings!$D$2:$AE$300,25,0)</f>
        <v>0.39827554497488243</v>
      </c>
      <c r="Q94" s="14">
        <f>VLOOKUP(F94,Rankings!$D$2:$AE$300,26,0)</f>
        <v>6.9250092882697105</v>
      </c>
    </row>
    <row r="95" spans="6:17" x14ac:dyDescent="0.35">
      <c r="F95" s="8" t="s">
        <v>136</v>
      </c>
      <c r="G95" s="8">
        <f>VLOOKUP(F95,Rankings!$D$2:$AE$300,5,0)</f>
        <v>34.4</v>
      </c>
      <c r="H95" s="14">
        <f>VLOOKUP(F95,Rankings!$D$2:$AE$300,17,0)</f>
        <v>0.44714776119402927</v>
      </c>
      <c r="I95" s="14">
        <f>VLOOKUP(F95,Rankings!$D$2:$AE$300,18,0)</f>
        <v>0.6959083650190081</v>
      </c>
      <c r="J95" s="14">
        <f>VLOOKUP(F95,Rankings!$D$2:$AE$300,19,0)</f>
        <v>-0.48838972276253317</v>
      </c>
      <c r="K95" s="14">
        <f>VLOOKUP(F95,Rankings!$D$2:$AE$300,20,0)</f>
        <v>1.3517650252338926</v>
      </c>
      <c r="L95" s="14">
        <f>VLOOKUP(F95,Rankings!$D$2:$AE$300,21,0)</f>
        <v>0.30324628972623124</v>
      </c>
      <c r="M95" s="14">
        <f>VLOOKUP(F95,Rankings!$D$2:$AE$300,22,0)</f>
        <v>2.0417888759936731</v>
      </c>
      <c r="N95" s="14">
        <f>VLOOKUP(F95,Rankings!$D$2:$AE$300,23,0)</f>
        <v>9.7549685463496322E-2</v>
      </c>
      <c r="O95" s="14">
        <f>VLOOKUP(F95,Rankings!$D$2:$AE$300,24,0)</f>
        <v>0.29590506534349342</v>
      </c>
      <c r="P95" s="14">
        <f>VLOOKUP(F95,Rankings!$D$2:$AE$300,25,0)</f>
        <v>0.29352790409826945</v>
      </c>
      <c r="Q95" s="14">
        <f>VLOOKUP(F95,Rankings!$D$2:$AE$300,26,0)</f>
        <v>5.0384492493095605</v>
      </c>
    </row>
    <row r="96" spans="6:17" x14ac:dyDescent="0.35">
      <c r="F96" s="8" t="s">
        <v>204</v>
      </c>
      <c r="G96" s="8">
        <f>VLOOKUP(F96,Rankings!$D$2:$AE$300,5,0)</f>
        <v>34.799999999999997</v>
      </c>
      <c r="H96" s="14">
        <f>VLOOKUP(F96,Rankings!$D$2:$AE$300,17,0)</f>
        <v>0.73393059701492491</v>
      </c>
      <c r="I96" s="14">
        <f>VLOOKUP(F96,Rankings!$D$2:$AE$300,18,0)</f>
        <v>0.67546768060836326</v>
      </c>
      <c r="J96" s="14">
        <f>VLOOKUP(F96,Rankings!$D$2:$AE$300,19,0)</f>
        <v>0.64173029505845924</v>
      </c>
      <c r="K96" s="14">
        <f>VLOOKUP(F96,Rankings!$D$2:$AE$300,20,0)</f>
        <v>1.5597564286660743</v>
      </c>
      <c r="L96" s="14">
        <f>VLOOKUP(F96,Rankings!$D$2:$AE$300,21,0)</f>
        <v>0.14740735272406535</v>
      </c>
      <c r="M96" s="14">
        <f>VLOOKUP(F96,Rankings!$D$2:$AE$300,22,0)</f>
        <v>0.58064223042276697</v>
      </c>
      <c r="N96" s="14">
        <f>VLOOKUP(F96,Rankings!$D$2:$AE$300,23,0)</f>
        <v>1.168997050390419</v>
      </c>
      <c r="O96" s="14">
        <f>VLOOKUP(F96,Rankings!$D$2:$AE$300,24,0)</f>
        <v>-0.25736859171736254</v>
      </c>
      <c r="P96" s="14">
        <f>VLOOKUP(F96,Rankings!$D$2:$AE$300,25,0)</f>
        <v>-0.75394850466785901</v>
      </c>
      <c r="Q96" s="14">
        <f>VLOOKUP(F96,Rankings!$D$2:$AE$300,26,0)</f>
        <v>4.4966145384998519</v>
      </c>
    </row>
    <row r="97" spans="6:17" x14ac:dyDescent="0.35">
      <c r="F97" s="8" t="s">
        <v>218</v>
      </c>
      <c r="G97" s="8">
        <f>VLOOKUP(F97,Rankings!$D$2:$AE$300,5,0)</f>
        <v>28.1</v>
      </c>
      <c r="H97" s="14">
        <f>VLOOKUP(F97,Rankings!$D$2:$AE$300,17,0)</f>
        <v>1.7945652985074629</v>
      </c>
      <c r="I97" s="14">
        <f>VLOOKUP(F97,Rankings!$D$2:$AE$300,18,0)</f>
        <v>0.14459391634980864</v>
      </c>
      <c r="J97" s="14">
        <f>VLOOKUP(F97,Rankings!$D$2:$AE$300,19,0)</f>
        <v>-1.4130333737069813</v>
      </c>
      <c r="K97" s="14">
        <f>VLOOKUP(F97,Rankings!$D$2:$AE$300,20,0)</f>
        <v>7.1817927189697664E-2</v>
      </c>
      <c r="L97" s="14">
        <f>VLOOKUP(F97,Rankings!$D$2:$AE$300,21,0)</f>
        <v>1.1214007089876035</v>
      </c>
      <c r="M97" s="14">
        <f>VLOOKUP(F97,Rankings!$D$2:$AE$300,22,0)</f>
        <v>-0.5395701978482611</v>
      </c>
      <c r="N97" s="14">
        <f>VLOOKUP(F97,Rankings!$D$2:$AE$300,23,0)</f>
        <v>0.52612863143426558</v>
      </c>
      <c r="O97" s="14">
        <f>VLOOKUP(F97,Rankings!$D$2:$AE$300,24,0)</f>
        <v>1.771301484172443</v>
      </c>
      <c r="P97" s="14">
        <f>VLOOKUP(F97,Rankings!$D$2:$AE$300,25,0)</f>
        <v>0.18878026322165675</v>
      </c>
      <c r="Q97" s="14">
        <f>VLOOKUP(F97,Rankings!$D$2:$AE$300,26,0)</f>
        <v>3.6659846583076958</v>
      </c>
    </row>
    <row r="98" spans="6:17" x14ac:dyDescent="0.35">
      <c r="F98" s="8" t="s">
        <v>376</v>
      </c>
      <c r="G98" s="8">
        <f>VLOOKUP(F98,Rankings!$D$2:$AE$300,5,0)</f>
        <v>23.6</v>
      </c>
      <c r="H98" s="14">
        <f>VLOOKUP(F98,Rankings!$D$2:$AE$300,17,0)</f>
        <v>-0.72687761194029865</v>
      </c>
      <c r="I98" s="14">
        <f>VLOOKUP(F98,Rankings!$D$2:$AE$300,18,0)</f>
        <v>0.20253422053231751</v>
      </c>
      <c r="J98" s="14">
        <f>VLOOKUP(F98,Rankings!$D$2:$AE$300,19,0)</f>
        <v>-0.69386608963907714</v>
      </c>
      <c r="K98" s="14">
        <f>VLOOKUP(F98,Rankings!$D$2:$AE$300,20,0)</f>
        <v>0.18381329826856488</v>
      </c>
      <c r="L98" s="14">
        <f>VLOOKUP(F98,Rankings!$D$2:$AE$300,21,0)</f>
        <v>-1.0993041432932635</v>
      </c>
      <c r="M98" s="14">
        <f>VLOOKUP(F98,Rankings!$D$2:$AE$300,22,0)</f>
        <v>1.2625106650225233</v>
      </c>
      <c r="N98" s="14">
        <f>VLOOKUP(F98,Rankings!$D$2:$AE$300,23,0)</f>
        <v>0.31183915844888088</v>
      </c>
      <c r="O98" s="14">
        <f>VLOOKUP(F98,Rankings!$D$2:$AE$300,24,0)</f>
        <v>-0.25736859171736254</v>
      </c>
      <c r="P98" s="14">
        <f>VLOOKUP(F98,Rankings!$D$2:$AE$300,25,0)</f>
        <v>-0.85869614554447204</v>
      </c>
      <c r="Q98" s="14">
        <f>VLOOKUP(F98,Rankings!$D$2:$AE$300,26,0)</f>
        <v>-1.6754152398621871</v>
      </c>
    </row>
    <row r="99" spans="6:17" x14ac:dyDescent="0.35">
      <c r="F99" s="8" t="s">
        <v>428</v>
      </c>
      <c r="G99" s="8">
        <f>VLOOKUP(F99,Rankings!$D$2:$AE$300,5,0)</f>
        <v>34.799999999999997</v>
      </c>
      <c r="H99" s="14">
        <f>VLOOKUP(F99,Rankings!$D$2:$AE$300,17,0)</f>
        <v>-0.56303097014925441</v>
      </c>
      <c r="I99" s="14">
        <f>VLOOKUP(F99,Rankings!$D$2:$AE$300,18,0)</f>
        <v>0.18864068441064497</v>
      </c>
      <c r="J99" s="14">
        <f>VLOOKUP(F99,Rankings!$D$2:$AE$300,19,0)</f>
        <v>1.0526830288115472</v>
      </c>
      <c r="K99" s="14">
        <f>VLOOKUP(F99,Rankings!$D$2:$AE$300,20,0)</f>
        <v>0.72779081493734776</v>
      </c>
      <c r="L99" s="14">
        <f>VLOOKUP(F99,Rankings!$D$2:$AE$300,21,0)</f>
        <v>0.14740735272406535</v>
      </c>
      <c r="M99" s="14">
        <f>VLOOKUP(F99,Rankings!$D$2:$AE$300,22,0)</f>
        <v>1.6521497705080983</v>
      </c>
      <c r="N99" s="14">
        <f>VLOOKUP(F99,Rankings!$D$2:$AE$300,23,0)</f>
        <v>-1.1881871524488112</v>
      </c>
      <c r="O99" s="14">
        <f>VLOOKUP(F99,Rankings!$D$2:$AE$300,24,0)</f>
        <v>-0.81064224877821867</v>
      </c>
      <c r="P99" s="14">
        <f>VLOOKUP(F99,Rankings!$D$2:$AE$300,25,0)</f>
        <v>-1.4871819908041493</v>
      </c>
      <c r="Q99" s="14">
        <f>VLOOKUP(F99,Rankings!$D$2:$AE$300,26,0)</f>
        <v>-0.28037071078872988</v>
      </c>
    </row>
    <row r="100" spans="6:17" x14ac:dyDescent="0.35">
      <c r="F100" s="8" t="s">
        <v>181</v>
      </c>
      <c r="G100" s="8">
        <f>VLOOKUP(F100,Rankings!$D$2:$AE$300,5,0)</f>
        <v>36.799999999999997</v>
      </c>
      <c r="H100" s="14">
        <f>VLOOKUP(F100,Rankings!$D$2:$AE$300,17,0)</f>
        <v>0.11493470149253718</v>
      </c>
      <c r="I100" s="14">
        <f>VLOOKUP(F100,Rankings!$D$2:$AE$300,18,0)</f>
        <v>0.62320152091254455</v>
      </c>
      <c r="J100" s="14">
        <f>VLOOKUP(F100,Rankings!$D$2:$AE$300,19,0)</f>
        <v>1.2581593956880914</v>
      </c>
      <c r="K100" s="14">
        <f>VLOOKUP(F100,Rankings!$D$2:$AE$300,20,0)</f>
        <v>1.975739235530438</v>
      </c>
      <c r="L100" s="14">
        <f>VLOOKUP(F100,Rankings!$D$2:$AE$300,21,0)</f>
        <v>0.53700469522948058</v>
      </c>
      <c r="M100" s="14">
        <f>VLOOKUP(F100,Rankings!$D$2:$AE$300,22,0)</f>
        <v>-0.4421604214768674</v>
      </c>
      <c r="N100" s="14">
        <f>VLOOKUP(F100,Rankings!$D$2:$AE$300,23,0)</f>
        <v>9.7549685463496322E-2</v>
      </c>
      <c r="O100" s="14">
        <f>VLOOKUP(F100,Rankings!$D$2:$AE$300,24,0)</f>
        <v>1.218027827111587</v>
      </c>
      <c r="P100" s="14">
        <f>VLOOKUP(F100,Rankings!$D$2:$AE$300,25,0)</f>
        <v>0.18878026322165675</v>
      </c>
      <c r="Q100" s="14">
        <f>VLOOKUP(F100,Rankings!$D$2:$AE$300,26,0)</f>
        <v>5.5712369031729638</v>
      </c>
    </row>
    <row r="101" spans="6:17" x14ac:dyDescent="0.35">
      <c r="F101" s="8" t="s">
        <v>116</v>
      </c>
      <c r="G101" s="8">
        <f>VLOOKUP(F101,Rankings!$D$2:$AE$300,5,0)</f>
        <v>28.2</v>
      </c>
      <c r="H101" s="14">
        <f>VLOOKUP(F101,Rankings!$D$2:$AE$300,17,0)</f>
        <v>3.8230970149253612E-2</v>
      </c>
      <c r="I101" s="14">
        <f>VLOOKUP(F101,Rankings!$D$2:$AE$300,18,0)</f>
        <v>-0.7016794676806094</v>
      </c>
      <c r="J101" s="14">
        <f>VLOOKUP(F101,Rankings!$D$2:$AE$300,19,0)</f>
        <v>-0.89934245651562128</v>
      </c>
      <c r="K101" s="14">
        <f>VLOOKUP(F101,Rankings!$D$2:$AE$300,20,0)</f>
        <v>-4.0177443889169273E-2</v>
      </c>
      <c r="L101" s="14">
        <f>VLOOKUP(F101,Rankings!$D$2:$AE$300,21,0)</f>
        <v>0.22532682122514847</v>
      </c>
      <c r="M101" s="14">
        <f>VLOOKUP(F101,Rankings!$D$2:$AE$300,22,0)</f>
        <v>-0.58827508603395795</v>
      </c>
      <c r="N101" s="14">
        <f>VLOOKUP(F101,Rankings!$D$2:$AE$300,23,0)</f>
        <v>-0.33102926050727299</v>
      </c>
      <c r="O101" s="14">
        <f>VLOOKUP(F101,Rankings!$D$2:$AE$300,24,0)</f>
        <v>0.6647541700507309</v>
      </c>
      <c r="P101" s="14">
        <f>VLOOKUP(F101,Rankings!$D$2:$AE$300,25,0)</f>
        <v>0.71251846760472104</v>
      </c>
      <c r="Q101" s="14">
        <f>VLOOKUP(F101,Rankings!$D$2:$AE$300,26,0)</f>
        <v>-0.91967328559677697</v>
      </c>
    </row>
    <row r="102" spans="6:17" x14ac:dyDescent="0.35">
      <c r="F102" s="8" t="s">
        <v>68</v>
      </c>
      <c r="G102" s="8">
        <f>VLOOKUP(F102,Rankings!$D$2:$AE$300,5,0)</f>
        <v>32.299999999999997</v>
      </c>
      <c r="H102" s="14">
        <f>VLOOKUP(F102,Rankings!$D$2:$AE$300,17,0)</f>
        <v>-5.9082089552239057E-2</v>
      </c>
      <c r="I102" s="14">
        <f>VLOOKUP(F102,Rankings!$D$2:$AE$300,18,0)</f>
        <v>0.41060076045627236</v>
      </c>
      <c r="J102" s="14">
        <f>VLOOKUP(F102,Rankings!$D$2:$AE$300,19,0)</f>
        <v>1.0526830288115472</v>
      </c>
      <c r="K102" s="14">
        <f>VLOOKUP(F102,Rankings!$D$2:$AE$300,20,0)</f>
        <v>1.0637769281739486</v>
      </c>
      <c r="L102" s="14">
        <f>VLOOKUP(F102,Rankings!$D$2:$AE$300,21,0)</f>
        <v>-8.635105277918402E-2</v>
      </c>
      <c r="M102" s="14">
        <f>VLOOKUP(F102,Rankings!$D$2:$AE$300,22,0)</f>
        <v>-0.5395701978482611</v>
      </c>
      <c r="N102" s="14">
        <f>VLOOKUP(F102,Rankings!$D$2:$AE$300,23,0)</f>
        <v>-0.75960820647804206</v>
      </c>
      <c r="O102" s="14">
        <f>VLOOKUP(F102,Rankings!$D$2:$AE$300,24,0)</f>
        <v>-0.6262176964245999</v>
      </c>
      <c r="P102" s="14">
        <f>VLOOKUP(F102,Rankings!$D$2:$AE$300,25,0)</f>
        <v>0.39827554497488243</v>
      </c>
      <c r="Q102" s="14">
        <f>VLOOKUP(F102,Rankings!$D$2:$AE$300,26,0)</f>
        <v>0.85450701933432427</v>
      </c>
    </row>
    <row r="103" spans="6:17" x14ac:dyDescent="0.35">
      <c r="F103" s="8" t="s">
        <v>159</v>
      </c>
      <c r="G103" s="8">
        <f>VLOOKUP(F103,Rankings!$D$2:$AE$300,5,0)</f>
        <v>25.4</v>
      </c>
      <c r="H103" s="14">
        <f>VLOOKUP(F103,Rankings!$D$2:$AE$300,17,0)</f>
        <v>0.46991417910447741</v>
      </c>
      <c r="I103" s="14">
        <f>VLOOKUP(F103,Rankings!$D$2:$AE$300,18,0)</f>
        <v>0.49158783269961748</v>
      </c>
      <c r="J103" s="14">
        <f>VLOOKUP(F103,Rankings!$D$2:$AE$300,19,0)</f>
        <v>0.12803937786709912</v>
      </c>
      <c r="K103" s="14">
        <f>VLOOKUP(F103,Rankings!$D$2:$AE$300,20,0)</f>
        <v>0.32780734679853685</v>
      </c>
      <c r="L103" s="14">
        <f>VLOOKUP(F103,Rankings!$D$2:$AE$300,21,0)</f>
        <v>-1.2551430802954295</v>
      </c>
      <c r="M103" s="14">
        <f>VLOOKUP(F103,Rankings!$D$2:$AE$300,22,0)</f>
        <v>-0.3934555332911705</v>
      </c>
      <c r="N103" s="14">
        <f>VLOOKUP(F103,Rankings!$D$2:$AE$300,23,0)</f>
        <v>1.168997050390419</v>
      </c>
      <c r="O103" s="14">
        <f>VLOOKUP(F103,Rankings!$D$2:$AE$300,24,0)</f>
        <v>-0.99506680113183732</v>
      </c>
      <c r="P103" s="14">
        <f>VLOOKUP(F103,Rankings!$D$2:$AE$300,25,0)</f>
        <v>-0.23021030028479489</v>
      </c>
      <c r="Q103" s="14">
        <f>VLOOKUP(F103,Rankings!$D$2:$AE$300,26,0)</f>
        <v>-0.28752992814308215</v>
      </c>
    </row>
    <row r="104" spans="6:17" x14ac:dyDescent="0.35">
      <c r="F104" s="8" t="s">
        <v>211</v>
      </c>
      <c r="G104" s="8">
        <f>VLOOKUP(F104,Rankings!$D$2:$AE$300,5,0)</f>
        <v>26</v>
      </c>
      <c r="H104" s="14">
        <f>VLOOKUP(F104,Rankings!$D$2:$AE$300,17,0)</f>
        <v>0.40016529850746252</v>
      </c>
      <c r="I104" s="14">
        <f>VLOOKUP(F104,Rankings!$D$2:$AE$300,18,0)</f>
        <v>0.25173384030418156</v>
      </c>
      <c r="J104" s="14">
        <f>VLOOKUP(F104,Rankings!$D$2:$AE$300,19,0)</f>
        <v>0.230777561305371</v>
      </c>
      <c r="K104" s="14">
        <f>VLOOKUP(F104,Rankings!$D$2:$AE$300,20,0)</f>
        <v>-0.13617347624248383</v>
      </c>
      <c r="L104" s="14">
        <f>VLOOKUP(F104,Rankings!$D$2:$AE$300,21,0)</f>
        <v>-1.0213846747921804</v>
      </c>
      <c r="M104" s="14">
        <f>VLOOKUP(F104,Rankings!$D$2:$AE$300,22,0)</f>
        <v>0.43452756586567642</v>
      </c>
      <c r="N104" s="14">
        <f>VLOOKUP(F104,Rankings!$D$2:$AE$300,23,0)</f>
        <v>9.7549685463496322E-2</v>
      </c>
      <c r="O104" s="14">
        <f>VLOOKUP(F104,Rankings!$D$2:$AE$300,24,0)</f>
        <v>-0.6262176964245999</v>
      </c>
      <c r="P104" s="14">
        <f>VLOOKUP(F104,Rankings!$D$2:$AE$300,25,0)</f>
        <v>0.60777082672810812</v>
      </c>
      <c r="Q104" s="14">
        <f>VLOOKUP(F104,Rankings!$D$2:$AE$300,26,0)</f>
        <v>0.23874893071503178</v>
      </c>
    </row>
    <row r="105" spans="6:17" x14ac:dyDescent="0.35">
      <c r="F105" s="8" t="s">
        <v>447</v>
      </c>
      <c r="G105" s="8">
        <f>VLOOKUP(F105,Rankings!$D$2:$AE$300,5,0)</f>
        <v>17.600000000000001</v>
      </c>
      <c r="H105" s="14">
        <f>VLOOKUP(F105,Rankings!$D$2:$AE$300,17,0)</f>
        <v>0.80085074626865671</v>
      </c>
      <c r="I105" s="14">
        <f>VLOOKUP(F105,Rankings!$D$2:$AE$300,18,0)</f>
        <v>7.7653992395436092E-2</v>
      </c>
      <c r="J105" s="14">
        <f>VLOOKUP(F105,Rankings!$D$2:$AE$300,19,0)</f>
        <v>-1.5157715571452535</v>
      </c>
      <c r="K105" s="14">
        <f>VLOOKUP(F105,Rankings!$D$2:$AE$300,20,0)</f>
        <v>-0.85614371889234342</v>
      </c>
      <c r="L105" s="14">
        <f>VLOOKUP(F105,Rankings!$D$2:$AE$300,21,0)</f>
        <v>-0.28114972403189165</v>
      </c>
      <c r="M105" s="14">
        <f>VLOOKUP(F105,Rankings!$D$2:$AE$300,22,0)</f>
        <v>-0.92920930333383611</v>
      </c>
      <c r="N105" s="14">
        <f>VLOOKUP(F105,Rankings!$D$2:$AE$300,23,0)</f>
        <v>-0.75960820647804206</v>
      </c>
      <c r="O105" s="14">
        <f>VLOOKUP(F105,Rankings!$D$2:$AE$300,24,0)</f>
        <v>0.6647541700507309</v>
      </c>
      <c r="P105" s="14">
        <f>VLOOKUP(F105,Rankings!$D$2:$AE$300,25,0)</f>
        <v>0.60777082672810812</v>
      </c>
      <c r="Q105" s="14">
        <f>VLOOKUP(F105,Rankings!$D$2:$AE$300,26,0)</f>
        <v>-2.1908527744384343</v>
      </c>
    </row>
    <row r="106" spans="6:17" x14ac:dyDescent="0.35">
      <c r="F106" s="49" t="s">
        <v>663</v>
      </c>
      <c r="G106" s="49"/>
      <c r="H106" s="47">
        <f>SUM(H91:H105)</f>
        <v>3.8664332089552205</v>
      </c>
      <c r="I106" s="47">
        <f t="shared" ref="I106:P106" si="85">SUM(I91:I105)</f>
        <v>4.0866190114068202</v>
      </c>
      <c r="J106" s="47">
        <f t="shared" si="85"/>
        <v>2.6918937466550092</v>
      </c>
      <c r="K106" s="47">
        <f t="shared" si="85"/>
        <v>9.9252614172265421</v>
      </c>
      <c r="L106" s="47">
        <f t="shared" si="85"/>
        <v>1.2929398374041847</v>
      </c>
      <c r="M106" s="47">
        <f t="shared" si="85"/>
        <v>4.6260557043541581</v>
      </c>
      <c r="N106" s="47">
        <f t="shared" si="85"/>
        <v>0.62527749206929828</v>
      </c>
      <c r="O106" s="47">
        <f t="shared" si="85"/>
        <v>0.52712390710027901</v>
      </c>
      <c r="P106" s="47">
        <f t="shared" si="85"/>
        <v>-1.4215192905531393</v>
      </c>
      <c r="Q106" s="47">
        <f>SUM(Q91:Q105)</f>
        <v>26.220085034618375</v>
      </c>
    </row>
    <row r="107" spans="6:17" x14ac:dyDescent="0.35">
      <c r="F107" s="45" t="s">
        <v>652</v>
      </c>
      <c r="G107" s="45"/>
      <c r="H107" s="45" t="str">
        <f>IF(H106&lt;0, "Punt", "")</f>
        <v/>
      </c>
      <c r="I107" s="45" t="str">
        <f t="shared" ref="I107" si="86">IF(I106&lt;0, "Punt", "")</f>
        <v/>
      </c>
      <c r="J107" s="45" t="str">
        <f t="shared" ref="J107" si="87">IF(J106&lt;0, "Punt", "")</f>
        <v/>
      </c>
      <c r="K107" s="45" t="str">
        <f t="shared" ref="K107" si="88">IF(K106&lt;0, "Punt", "")</f>
        <v/>
      </c>
      <c r="L107" s="45" t="str">
        <f t="shared" ref="L107" si="89">IF(L106&lt;0, "Punt", "")</f>
        <v/>
      </c>
      <c r="M107" s="45" t="str">
        <f t="shared" ref="M107" si="90">IF(M106&lt;0, "Punt", "")</f>
        <v/>
      </c>
      <c r="N107" s="45" t="str">
        <f t="shared" ref="N107" si="91">IF(N106&lt;0, "Punt", "")</f>
        <v/>
      </c>
      <c r="O107" s="45" t="str">
        <f t="shared" ref="O107" si="92">IF(O106&lt;0, "Punt", "")</f>
        <v/>
      </c>
      <c r="P107" s="45" t="str">
        <f t="shared" ref="P107" si="93">IF(P106&lt;0, "Punt", "")</f>
        <v>Punt</v>
      </c>
      <c r="Q107" s="45" t="str">
        <f t="shared" ref="Q107" si="94">IF(Q106&lt;0, "Punt", "")</f>
        <v/>
      </c>
    </row>
    <row r="108" spans="6:17" x14ac:dyDescent="0.35">
      <c r="H108" s="14"/>
      <c r="I108" s="14"/>
      <c r="J108" s="14"/>
      <c r="K108" s="14"/>
      <c r="L108" s="14"/>
      <c r="M108" s="14"/>
      <c r="N108" s="14"/>
      <c r="O108" s="14"/>
      <c r="P108" s="14"/>
      <c r="Q108" s="14"/>
    </row>
    <row r="109" spans="6:17" x14ac:dyDescent="0.35">
      <c r="F109" s="48" t="str">
        <f>A8</f>
        <v>Team 7</v>
      </c>
      <c r="G109" s="48"/>
      <c r="H109" s="14"/>
      <c r="I109" s="14"/>
      <c r="J109" s="14"/>
      <c r="K109" s="14"/>
      <c r="L109" s="14"/>
      <c r="M109" s="14"/>
      <c r="N109" s="14"/>
      <c r="O109" s="14"/>
      <c r="P109" s="14"/>
      <c r="Q109" s="14"/>
    </row>
    <row r="110" spans="6:17" x14ac:dyDescent="0.35">
      <c r="F110" s="45" t="s">
        <v>662</v>
      </c>
      <c r="G110" s="26" t="s">
        <v>4</v>
      </c>
      <c r="H110" s="45" t="s">
        <v>631</v>
      </c>
      <c r="I110" s="45" t="s">
        <v>632</v>
      </c>
      <c r="J110" s="45" t="s">
        <v>540</v>
      </c>
      <c r="K110" s="45" t="s">
        <v>537</v>
      </c>
      <c r="L110" s="45" t="s">
        <v>541</v>
      </c>
      <c r="M110" s="45" t="s">
        <v>536</v>
      </c>
      <c r="N110" s="45" t="s">
        <v>538</v>
      </c>
      <c r="O110" s="45" t="s">
        <v>539</v>
      </c>
      <c r="P110" s="45" t="s">
        <v>542</v>
      </c>
      <c r="Q110" s="45" t="s">
        <v>633</v>
      </c>
    </row>
    <row r="111" spans="6:17" x14ac:dyDescent="0.35">
      <c r="F111" s="8" t="s">
        <v>408</v>
      </c>
      <c r="G111" s="8">
        <f>VLOOKUP(F111,Rankings!$D$2:$AE$300,5,0)</f>
        <v>32.299999999999997</v>
      </c>
      <c r="H111" s="14">
        <f>VLOOKUP(F111,Rankings!$D$2:$AE$300,17,0)</f>
        <v>-2.734589552238828E-2</v>
      </c>
      <c r="I111" s="14">
        <f>VLOOKUP(F111,Rankings!$D$2:$AE$300,18,0)</f>
        <v>1.0138414448669171</v>
      </c>
      <c r="J111" s="14">
        <f>VLOOKUP(F111,Rankings!$D$2:$AE$300,19,0)</f>
        <v>0.230777561305371</v>
      </c>
      <c r="K111" s="14">
        <f>VLOOKUP(F111,Rankings!$D$2:$AE$300,20,0)</f>
        <v>1.3197663477827879</v>
      </c>
      <c r="L111" s="14">
        <f>VLOOKUP(F111,Rankings!$D$2:$AE$300,21,0)</f>
        <v>2.7966692817608889</v>
      </c>
      <c r="M111" s="14">
        <f>VLOOKUP(F111,Rankings!$D$2:$AE$300,22,0)</f>
        <v>0.92157644772264513</v>
      </c>
      <c r="N111" s="14">
        <f>VLOOKUP(F111,Rankings!$D$2:$AE$300,23,0)</f>
        <v>-0.33102926050727299</v>
      </c>
      <c r="O111" s="14">
        <f>VLOOKUP(F111,Rankings!$D$2:$AE$300,24,0)</f>
        <v>4.5376697694767234</v>
      </c>
      <c r="P111" s="14">
        <f>VLOOKUP(F111,Rankings!$D$2:$AE$300,25,0)</f>
        <v>-1.4871819908041493</v>
      </c>
      <c r="Q111" s="14">
        <f>VLOOKUP(F111,Rankings!$D$2:$AE$300,26,0)</f>
        <v>8.9747437060815223</v>
      </c>
    </row>
    <row r="112" spans="6:17" x14ac:dyDescent="0.35">
      <c r="F112" s="8" t="s">
        <v>388</v>
      </c>
      <c r="G112" s="8">
        <f>VLOOKUP(F112,Rankings!$D$2:$AE$300,5,0)</f>
        <v>35.9</v>
      </c>
      <c r="H112" s="14">
        <f>VLOOKUP(F112,Rankings!$D$2:$AE$300,17,0)</f>
        <v>6.9930597014925225E-2</v>
      </c>
      <c r="I112" s="14">
        <f>VLOOKUP(F112,Rankings!$D$2:$AE$300,18,0)</f>
        <v>-6.4352091254755259E-2</v>
      </c>
      <c r="J112" s="14">
        <f>VLOOKUP(F112,Rankings!$D$2:$AE$300,19,0)</f>
        <v>-7.7436989009445123E-2</v>
      </c>
      <c r="K112" s="14">
        <f>VLOOKUP(F112,Rankings!$D$2:$AE$300,20,0)</f>
        <v>1.223770315429473</v>
      </c>
      <c r="L112" s="14">
        <f>VLOOKUP(F112,Rankings!$D$2:$AE$300,21,0)</f>
        <v>1.5499577857435605</v>
      </c>
      <c r="M112" s="14">
        <f>VLOOKUP(F112,Rankings!$D$2:$AE$300,22,0)</f>
        <v>1.1163960004654323</v>
      </c>
      <c r="N112" s="14">
        <f>VLOOKUP(F112,Rankings!$D$2:$AE$300,23,0)</f>
        <v>-0.11673978752188821</v>
      </c>
      <c r="O112" s="14">
        <f>VLOOKUP(F112,Rankings!$D$2:$AE$300,24,0)</f>
        <v>0.11148051298987478</v>
      </c>
      <c r="P112" s="14">
        <f>VLOOKUP(F112,Rankings!$D$2:$AE$300,25,0)</f>
        <v>-1.068191427297698</v>
      </c>
      <c r="Q112" s="14">
        <f>VLOOKUP(F112,Rankings!$D$2:$AE$300,26,0)</f>
        <v>2.7448149165594797</v>
      </c>
    </row>
    <row r="113" spans="6:17" x14ac:dyDescent="0.35">
      <c r="F113" s="8" t="s">
        <v>414</v>
      </c>
      <c r="G113" s="8">
        <f>VLOOKUP(F113,Rankings!$D$2:$AE$300,5,0)</f>
        <v>31.1</v>
      </c>
      <c r="H113" s="14">
        <f>VLOOKUP(F113,Rankings!$D$2:$AE$300,17,0)</f>
        <v>0.34039925373134294</v>
      </c>
      <c r="I113" s="14">
        <f>VLOOKUP(F113,Rankings!$D$2:$AE$300,18,0)</f>
        <v>-3.2832699619773087E-2</v>
      </c>
      <c r="J113" s="14">
        <f>VLOOKUP(F113,Rankings!$D$2:$AE$300,19,0)</f>
        <v>-7.7436989009445123E-2</v>
      </c>
      <c r="K113" s="14">
        <f>VLOOKUP(F113,Rankings!$D$2:$AE$300,20,0)</f>
        <v>-4.0177443889169273E-2</v>
      </c>
      <c r="L113" s="14">
        <f>VLOOKUP(F113,Rankings!$D$2:$AE$300,21,0)</f>
        <v>0.65388389798110513</v>
      </c>
      <c r="M113" s="14">
        <f>VLOOKUP(F113,Rankings!$D$2:$AE$300,22,0)</f>
        <v>-0.78309463877674546</v>
      </c>
      <c r="N113" s="14">
        <f>VLOOKUP(F113,Rankings!$D$2:$AE$300,23,0)</f>
        <v>1.3832865233758038</v>
      </c>
      <c r="O113" s="14">
        <f>VLOOKUP(F113,Rankings!$D$2:$AE$300,24,0)</f>
        <v>6.566339845366528</v>
      </c>
      <c r="P113" s="14">
        <f>VLOOKUP(F113,Rankings!$D$2:$AE$300,25,0)</f>
        <v>0.39827554497488243</v>
      </c>
      <c r="Q113" s="14">
        <f>VLOOKUP(F113,Rankings!$D$2:$AE$300,26,0)</f>
        <v>8.4086432941345297</v>
      </c>
    </row>
    <row r="114" spans="6:17" x14ac:dyDescent="0.35">
      <c r="F114" s="8" t="s">
        <v>198</v>
      </c>
      <c r="G114" s="8">
        <f>VLOOKUP(F114,Rankings!$D$2:$AE$300,5,0)</f>
        <v>32.9</v>
      </c>
      <c r="H114" s="14">
        <f>VLOOKUP(F114,Rankings!$D$2:$AE$300,17,0)</f>
        <v>0.71836902985074591</v>
      </c>
      <c r="I114" s="14">
        <f>VLOOKUP(F114,Rankings!$D$2:$AE$300,18,0)</f>
        <v>0.11564714828897237</v>
      </c>
      <c r="J114" s="14">
        <f>VLOOKUP(F114,Rankings!$D$2:$AE$300,19,0)</f>
        <v>0.84720666193500305</v>
      </c>
      <c r="K114" s="14">
        <f>VLOOKUP(F114,Rankings!$D$2:$AE$300,20,0)</f>
        <v>0.99977957327173905</v>
      </c>
      <c r="L114" s="14">
        <f>VLOOKUP(F114,Rankings!$D$2:$AE$300,21,0)</f>
        <v>1.1993201774886866</v>
      </c>
      <c r="M114" s="14">
        <f>VLOOKUP(F114,Rankings!$D$2:$AE$300,22,0)</f>
        <v>0.14229823675149517</v>
      </c>
      <c r="N114" s="14">
        <f>VLOOKUP(F114,Rankings!$D$2:$AE$300,23,0)</f>
        <v>0.52612863143426558</v>
      </c>
      <c r="O114" s="14">
        <f>VLOOKUP(F114,Rankings!$D$2:$AE$300,24,0)</f>
        <v>0.84917872240434955</v>
      </c>
      <c r="P114" s="14">
        <f>VLOOKUP(F114,Rankings!$D$2:$AE$300,25,0)</f>
        <v>-0.64920086379124653</v>
      </c>
      <c r="Q114" s="14">
        <f>VLOOKUP(F114,Rankings!$D$2:$AE$300,26,0)</f>
        <v>4.7487273176340121</v>
      </c>
    </row>
    <row r="115" spans="6:17" x14ac:dyDescent="0.35">
      <c r="F115" s="8" t="s">
        <v>282</v>
      </c>
      <c r="G115" s="8">
        <f>VLOOKUP(F115,Rankings!$D$2:$AE$300,5,0)</f>
        <v>25.7</v>
      </c>
      <c r="H115" s="14">
        <f>VLOOKUP(F115,Rankings!$D$2:$AE$300,17,0)</f>
        <v>-0.26786231343283617</v>
      </c>
      <c r="I115" s="14">
        <f>VLOOKUP(F115,Rankings!$D$2:$AE$300,18,0)</f>
        <v>0.1458669201520908</v>
      </c>
      <c r="J115" s="14">
        <f>VLOOKUP(F115,Rankings!$D$2:$AE$300,19,0)</f>
        <v>0.230777561305371</v>
      </c>
      <c r="K115" s="14">
        <f>VLOOKUP(F115,Rankings!$D$2:$AE$300,20,0)</f>
        <v>-0.56815562183239976</v>
      </c>
      <c r="L115" s="14">
        <f>VLOOKUP(F115,Rankings!$D$2:$AE$300,21,0)</f>
        <v>-0.20323025553080853</v>
      </c>
      <c r="M115" s="14">
        <f>VLOOKUP(F115,Rankings!$D$2:$AE$300,22,0)</f>
        <v>-0.92920930333383611</v>
      </c>
      <c r="N115" s="14">
        <f>VLOOKUP(F115,Rankings!$D$2:$AE$300,23,0)</f>
        <v>-0.33102926050727299</v>
      </c>
      <c r="O115" s="14">
        <f>VLOOKUP(F115,Rankings!$D$2:$AE$300,24,0)</f>
        <v>1.771301484172443</v>
      </c>
      <c r="P115" s="14">
        <f>VLOOKUP(F115,Rankings!$D$2:$AE$300,25,0)</f>
        <v>1.0267613902345596</v>
      </c>
      <c r="Q115" s="14">
        <f>VLOOKUP(F115,Rankings!$D$2:$AE$300,26,0)</f>
        <v>0.87522060122731071</v>
      </c>
    </row>
    <row r="116" spans="6:17" x14ac:dyDescent="0.35">
      <c r="F116" s="8" t="s">
        <v>623</v>
      </c>
      <c r="G116" s="8">
        <f>VLOOKUP(F116,Rankings!$D$2:$AE$300,5,0)</f>
        <v>27</v>
      </c>
      <c r="H116" s="14">
        <f>VLOOKUP(F116,Rankings!$D$2:$AE$300,17,0)</f>
        <v>0.66874813432835811</v>
      </c>
      <c r="I116" s="14">
        <f>VLOOKUP(F116,Rankings!$D$2:$AE$300,18,0)</f>
        <v>-5.2532319391636939E-2</v>
      </c>
      <c r="J116" s="14">
        <f>VLOOKUP(F116,Rankings!$D$2:$AE$300,19,0)</f>
        <v>-1.1048188233921654</v>
      </c>
      <c r="K116" s="14">
        <f>VLOOKUP(F116,Rankings!$D$2:$AE$300,20,0)</f>
        <v>0.19981263699411728</v>
      </c>
      <c r="L116" s="14">
        <f>VLOOKUP(F116,Rankings!$D$2:$AE$300,21,0)</f>
        <v>2.0953940652511411</v>
      </c>
      <c r="M116" s="14">
        <f>VLOOKUP(F116,Rankings!$D$2:$AE$300,22,0)</f>
        <v>-0.4421604214768674</v>
      </c>
      <c r="N116" s="14">
        <f>VLOOKUP(F116,Rankings!$D$2:$AE$300,23,0)</f>
        <v>9.7549685463496322E-2</v>
      </c>
      <c r="O116" s="14">
        <f>VLOOKUP(F116,Rankings!$D$2:$AE$300,24,0)</f>
        <v>0.6647541700507309</v>
      </c>
      <c r="P116" s="14">
        <f>VLOOKUP(F116,Rankings!$D$2:$AE$300,25,0)</f>
        <v>-0.96344378642108497</v>
      </c>
      <c r="Q116" s="14">
        <f>VLOOKUP(F116,Rankings!$D$2:$AE$300,26,0)</f>
        <v>1.1633033414060892</v>
      </c>
    </row>
    <row r="117" spans="6:17" x14ac:dyDescent="0.35">
      <c r="F117" s="8" t="s">
        <v>325</v>
      </c>
      <c r="G117" s="8">
        <f>VLOOKUP(F117,Rankings!$D$2:$AE$300,5,0)</f>
        <v>32.5</v>
      </c>
      <c r="H117" s="14">
        <f>VLOOKUP(F117,Rankings!$D$2:$AE$300,17,0)</f>
        <v>-0.21737350746268694</v>
      </c>
      <c r="I117" s="14">
        <f>VLOOKUP(F117,Rankings!$D$2:$AE$300,18,0)</f>
        <v>0.12966730038022678</v>
      </c>
      <c r="J117" s="14">
        <f>VLOOKUP(F117,Rankings!$D$2:$AE$300,19,0)</f>
        <v>-0.38565153932426105</v>
      </c>
      <c r="K117" s="14">
        <f>VLOOKUP(F117,Rankings!$D$2:$AE$300,20,0)</f>
        <v>0.5517980889562708</v>
      </c>
      <c r="L117" s="14">
        <f>VLOOKUP(F117,Rankings!$D$2:$AE$300,21,0)</f>
        <v>0.8486825692338128</v>
      </c>
      <c r="M117" s="14">
        <f>VLOOKUP(F117,Rankings!$D$2:$AE$300,22,0)</f>
        <v>1.2138057768368262</v>
      </c>
      <c r="N117" s="14">
        <f>VLOOKUP(F117,Rankings!$D$2:$AE$300,23,0)</f>
        <v>0.52612863143426558</v>
      </c>
      <c r="O117" s="14">
        <f>VLOOKUP(F117,Rankings!$D$2:$AE$300,24,0)</f>
        <v>-0.81064224877821867</v>
      </c>
      <c r="P117" s="14">
        <f>VLOOKUP(F117,Rankings!$D$2:$AE$300,25,0)</f>
        <v>-0.43970558203802057</v>
      </c>
      <c r="Q117" s="14">
        <f>VLOOKUP(F117,Rankings!$D$2:$AE$300,26,0)</f>
        <v>1.4167094892382153</v>
      </c>
    </row>
    <row r="118" spans="6:17" x14ac:dyDescent="0.35">
      <c r="F118" s="8" t="s">
        <v>124</v>
      </c>
      <c r="G118" s="8">
        <f>VLOOKUP(F118,Rankings!$D$2:$AE$300,5,0)</f>
        <v>30.3</v>
      </c>
      <c r="H118" s="14">
        <f>VLOOKUP(F118,Rankings!$D$2:$AE$300,17,0)</f>
        <v>-9.0271268656716669E-2</v>
      </c>
      <c r="I118" s="14">
        <f>VLOOKUP(F118,Rankings!$D$2:$AE$300,18,0)</f>
        <v>3.0427376425854202E-2</v>
      </c>
      <c r="J118" s="14">
        <f>VLOOKUP(F118,Rankings!$D$2:$AE$300,19,0)</f>
        <v>1.6691121294411795</v>
      </c>
      <c r="K118" s="14">
        <f>VLOOKUP(F118,Rankings!$D$2:$AE$300,20,0)</f>
        <v>0.72779081493734776</v>
      </c>
      <c r="L118" s="14">
        <f>VLOOKUP(F118,Rankings!$D$2:$AE$300,21,0)</f>
        <v>-0.20323025553080853</v>
      </c>
      <c r="M118" s="14">
        <f>VLOOKUP(F118,Rankings!$D$2:$AE$300,22,0)</f>
        <v>1.3599204413939168</v>
      </c>
      <c r="N118" s="14">
        <f>VLOOKUP(F118,Rankings!$D$2:$AE$300,23,0)</f>
        <v>0.52612863143426558</v>
      </c>
      <c r="O118" s="14">
        <f>VLOOKUP(F118,Rankings!$D$2:$AE$300,24,0)</f>
        <v>-0.81064224877821867</v>
      </c>
      <c r="P118" s="14">
        <f>VLOOKUP(F118,Rankings!$D$2:$AE$300,25,0)</f>
        <v>-0.75394850466785901</v>
      </c>
      <c r="Q118" s="14">
        <f>VLOOKUP(F118,Rankings!$D$2:$AE$300,26,0)</f>
        <v>2.4552871159989613</v>
      </c>
    </row>
    <row r="119" spans="6:17" x14ac:dyDescent="0.35">
      <c r="F119" s="8" t="s">
        <v>348</v>
      </c>
      <c r="G119" s="8">
        <f>VLOOKUP(F119,Rankings!$D$2:$AE$300,5,0)</f>
        <v>19.3</v>
      </c>
      <c r="H119" s="14">
        <f>VLOOKUP(F119,Rankings!$D$2:$AE$300,17,0)</f>
        <v>0.69066529850746283</v>
      </c>
      <c r="I119" s="14">
        <f>VLOOKUP(F119,Rankings!$D$2:$AE$300,18,0)</f>
        <v>0.1881140684410631</v>
      </c>
      <c r="J119" s="14">
        <f>VLOOKUP(F119,Rankings!$D$2:$AE$300,19,0)</f>
        <v>-0.79660427307734927</v>
      </c>
      <c r="K119" s="14">
        <f>VLOOKUP(F119,Rankings!$D$2:$AE$300,20,0)</f>
        <v>-0.10417479879137907</v>
      </c>
      <c r="L119" s="14">
        <f>VLOOKUP(F119,Rankings!$D$2:$AE$300,21,0)</f>
        <v>-0.6317873322867652</v>
      </c>
      <c r="M119" s="14">
        <f>VLOOKUP(F119,Rankings!$D$2:$AE$300,22,0)</f>
        <v>-0.73438975059104861</v>
      </c>
      <c r="N119" s="14">
        <f>VLOOKUP(F119,Rankings!$D$2:$AE$300,23,0)</f>
        <v>-1.1881871524488112</v>
      </c>
      <c r="O119" s="14">
        <f>VLOOKUP(F119,Rankings!$D$2:$AE$300,24,0)</f>
        <v>-0.6262176964245999</v>
      </c>
      <c r="P119" s="14">
        <f>VLOOKUP(F119,Rankings!$D$2:$AE$300,25,0)</f>
        <v>1.2362566719877852</v>
      </c>
      <c r="Q119" s="14">
        <f>VLOOKUP(F119,Rankings!$D$2:$AE$300,26,0)</f>
        <v>-1.9663249646836423</v>
      </c>
    </row>
    <row r="120" spans="6:17" x14ac:dyDescent="0.35">
      <c r="F120" s="8" t="s">
        <v>386</v>
      </c>
      <c r="G120" s="8">
        <f>VLOOKUP(F120,Rankings!$D$2:$AE$300,5,0)</f>
        <v>37.4</v>
      </c>
      <c r="H120" s="14">
        <f>VLOOKUP(F120,Rankings!$D$2:$AE$300,17,0)</f>
        <v>1.3287134328358208</v>
      </c>
      <c r="I120" s="14">
        <f>VLOOKUP(F120,Rankings!$D$2:$AE$300,18,0)</f>
        <v>0.2898144486691992</v>
      </c>
      <c r="J120" s="14">
        <f>VLOOKUP(F120,Rankings!$D$2:$AE$300,19,0)</f>
        <v>0.53899211162018712</v>
      </c>
      <c r="K120" s="14">
        <f>VLOOKUP(F120,Rankings!$D$2:$AE$300,20,0)</f>
        <v>1.975739235530438</v>
      </c>
      <c r="L120" s="14">
        <f>VLOOKUP(F120,Rankings!$D$2:$AE$300,21,0)</f>
        <v>-1.0603444090427221</v>
      </c>
      <c r="M120" s="14">
        <f>VLOOKUP(F120,Rankings!$D$2:$AE$300,22,0)</f>
        <v>0.33711778949428262</v>
      </c>
      <c r="N120" s="14">
        <f>VLOOKUP(F120,Rankings!$D$2:$AE$300,23,0)</f>
        <v>1.168997050390419</v>
      </c>
      <c r="O120" s="14">
        <f>VLOOKUP(F120,Rankings!$D$2:$AE$300,24,0)</f>
        <v>-0.4417931440709813</v>
      </c>
      <c r="P120" s="14">
        <f>VLOOKUP(F120,Rankings!$D$2:$AE$300,25,0)</f>
        <v>-0.54445322291463361</v>
      </c>
      <c r="Q120" s="14">
        <f>VLOOKUP(F120,Rankings!$D$2:$AE$300,26,0)</f>
        <v>3.5927832925120096</v>
      </c>
    </row>
    <row r="121" spans="6:17" x14ac:dyDescent="0.35">
      <c r="F121" s="8" t="s">
        <v>140</v>
      </c>
      <c r="G121" s="8">
        <f>VLOOKUP(F121,Rankings!$D$2:$AE$300,5,0)</f>
        <v>24.9</v>
      </c>
      <c r="H121" s="14">
        <f>VLOOKUP(F121,Rankings!$D$2:$AE$300,17,0)</f>
        <v>4.5871641791044707E-2</v>
      </c>
      <c r="I121" s="14">
        <f>VLOOKUP(F121,Rankings!$D$2:$AE$300,18,0)</f>
        <v>-9.1931558935364633E-3</v>
      </c>
      <c r="J121" s="14">
        <f>VLOOKUP(F121,Rankings!$D$2:$AE$300,19,0)</f>
        <v>0.84720666193500305</v>
      </c>
      <c r="K121" s="14">
        <f>VLOOKUP(F121,Rankings!$D$2:$AE$300,20,0)</f>
        <v>-0.28016752477245582</v>
      </c>
      <c r="L121" s="14">
        <f>VLOOKUP(F121,Rankings!$D$2:$AE$300,21,0)</f>
        <v>-0.47594839528459909</v>
      </c>
      <c r="M121" s="14">
        <f>VLOOKUP(F121,Rankings!$D$2:$AE$300,22,0)</f>
        <v>-0.14993109236268612</v>
      </c>
      <c r="N121" s="14">
        <f>VLOOKUP(F121,Rankings!$D$2:$AE$300,23,0)</f>
        <v>1.5975759963611886</v>
      </c>
      <c r="O121" s="14">
        <f>VLOOKUP(F121,Rankings!$D$2:$AE$300,24,0)</f>
        <v>-0.4417931440709813</v>
      </c>
      <c r="P121" s="14">
        <f>VLOOKUP(F121,Rankings!$D$2:$AE$300,25,0)</f>
        <v>0.18878026322165675</v>
      </c>
      <c r="Q121" s="14">
        <f>VLOOKUP(F121,Rankings!$D$2:$AE$300,26,0)</f>
        <v>1.3224012509246341</v>
      </c>
    </row>
    <row r="122" spans="6:17" x14ac:dyDescent="0.35">
      <c r="F122" s="8" t="s">
        <v>131</v>
      </c>
      <c r="G122" s="8">
        <f>VLOOKUP(F122,Rankings!$D$2:$AE$300,5,0)</f>
        <v>30</v>
      </c>
      <c r="H122" s="14">
        <f>VLOOKUP(F122,Rankings!$D$2:$AE$300,17,0)</f>
        <v>1.4132843283582086</v>
      </c>
      <c r="I122" s="14">
        <f>VLOOKUP(F122,Rankings!$D$2:$AE$300,18,0)</f>
        <v>0.49742053231939065</v>
      </c>
      <c r="J122" s="14">
        <f>VLOOKUP(F122,Rankings!$D$2:$AE$300,19,0)</f>
        <v>1.6691121294411795</v>
      </c>
      <c r="K122" s="14">
        <f>VLOOKUP(F122,Rankings!$D$2:$AE$300,20,0)</f>
        <v>0.67979279876069032</v>
      </c>
      <c r="L122" s="14">
        <f>VLOOKUP(F122,Rankings!$D$2:$AE$300,21,0)</f>
        <v>-0.98242494054163909</v>
      </c>
      <c r="M122" s="14">
        <f>VLOOKUP(F122,Rankings!$D$2:$AE$300,22,0)</f>
        <v>0.38582267767997952</v>
      </c>
      <c r="N122" s="14">
        <f>VLOOKUP(F122,Rankings!$D$2:$AE$300,23,0)</f>
        <v>-0.11673978752188821</v>
      </c>
      <c r="O122" s="14">
        <f>VLOOKUP(F122,Rankings!$D$2:$AE$300,24,0)</f>
        <v>-0.25736859171736254</v>
      </c>
      <c r="P122" s="14">
        <f>VLOOKUP(F122,Rankings!$D$2:$AE$300,25,0)</f>
        <v>8.4032622345043773E-2</v>
      </c>
      <c r="Q122" s="14">
        <f>VLOOKUP(F122,Rankings!$D$2:$AE$300,26,0)</f>
        <v>3.3729317691236025</v>
      </c>
    </row>
    <row r="123" spans="6:17" x14ac:dyDescent="0.35">
      <c r="F123" s="8" t="s">
        <v>306</v>
      </c>
      <c r="G123" s="8">
        <f>VLOOKUP(F123,Rankings!$D$2:$AE$300,5,0)</f>
        <v>20.399999999999999</v>
      </c>
      <c r="H123" s="14">
        <f>VLOOKUP(F123,Rankings!$D$2:$AE$300,17,0)</f>
        <v>-0.1064686567164181</v>
      </c>
      <c r="I123" s="14">
        <f>VLOOKUP(F123,Rankings!$D$2:$AE$300,18,0)</f>
        <v>-0.10525323193916369</v>
      </c>
      <c r="J123" s="14">
        <f>VLOOKUP(F123,Rankings!$D$2:$AE$300,19,0)</f>
        <v>-0.48838972276253317</v>
      </c>
      <c r="K123" s="14">
        <f>VLOOKUP(F123,Rankings!$D$2:$AE$300,20,0)</f>
        <v>-0.82414504144123868</v>
      </c>
      <c r="L123" s="14">
        <f>VLOOKUP(F123,Rankings!$D$2:$AE$300,21,0)</f>
        <v>-0.78762626928893142</v>
      </c>
      <c r="M123" s="14">
        <f>VLOOKUP(F123,Rankings!$D$2:$AE$300,22,0)</f>
        <v>-0.19863598054838305</v>
      </c>
      <c r="N123" s="14">
        <f>VLOOKUP(F123,Rankings!$D$2:$AE$300,23,0)</f>
        <v>0.74041810441964995</v>
      </c>
      <c r="O123" s="14">
        <f>VLOOKUP(F123,Rankings!$D$2:$AE$300,24,0)</f>
        <v>0.84917872240434955</v>
      </c>
      <c r="P123" s="14">
        <f>VLOOKUP(F123,Rankings!$D$2:$AE$300,25,0)</f>
        <v>-2.0715018531569193E-2</v>
      </c>
      <c r="Q123" s="14">
        <f>VLOOKUP(F123,Rankings!$D$2:$AE$300,26,0)</f>
        <v>-0.94163709440423771</v>
      </c>
    </row>
    <row r="124" spans="6:17" x14ac:dyDescent="0.35">
      <c r="F124" s="49" t="s">
        <v>663</v>
      </c>
      <c r="G124" s="49"/>
      <c r="H124" s="47">
        <f>SUM(H109:H123)</f>
        <v>4.5666600746268635</v>
      </c>
      <c r="I124" s="47">
        <f t="shared" ref="I124:P124" si="95">SUM(I109:I123)</f>
        <v>2.1466357414448489</v>
      </c>
      <c r="J124" s="47">
        <f t="shared" si="95"/>
        <v>3.1028464804080951</v>
      </c>
      <c r="K124" s="47">
        <f t="shared" si="95"/>
        <v>5.8614293809362206</v>
      </c>
      <c r="L124" s="47">
        <f t="shared" si="95"/>
        <v>4.7993159199529218</v>
      </c>
      <c r="M124" s="47">
        <f t="shared" si="95"/>
        <v>2.2395161832550112</v>
      </c>
      <c r="N124" s="47">
        <f t="shared" si="95"/>
        <v>4.4824880058062204</v>
      </c>
      <c r="O124" s="47">
        <f t="shared" si="95"/>
        <v>11.961446153024637</v>
      </c>
      <c r="P124" s="47">
        <f t="shared" si="95"/>
        <v>-2.9927339037023328</v>
      </c>
      <c r="Q124" s="47">
        <f>SUM(Q109:Q123)</f>
        <v>36.16760403575249</v>
      </c>
    </row>
    <row r="125" spans="6:17" x14ac:dyDescent="0.35">
      <c r="F125" s="45" t="s">
        <v>652</v>
      </c>
      <c r="G125" s="45"/>
      <c r="H125" s="45" t="str">
        <f>IF(H124&lt;0, "Punt", "")</f>
        <v/>
      </c>
      <c r="I125" s="45" t="str">
        <f t="shared" ref="I125" si="96">IF(I124&lt;0, "Punt", "")</f>
        <v/>
      </c>
      <c r="J125" s="45" t="str">
        <f t="shared" ref="J125" si="97">IF(J124&lt;0, "Punt", "")</f>
        <v/>
      </c>
      <c r="K125" s="45" t="str">
        <f t="shared" ref="K125" si="98">IF(K124&lt;0, "Punt", "")</f>
        <v/>
      </c>
      <c r="L125" s="45" t="str">
        <f t="shared" ref="L125" si="99">IF(L124&lt;0, "Punt", "")</f>
        <v/>
      </c>
      <c r="M125" s="45" t="str">
        <f t="shared" ref="M125" si="100">IF(M124&lt;0, "Punt", "")</f>
        <v/>
      </c>
      <c r="N125" s="45" t="str">
        <f t="shared" ref="N125" si="101">IF(N124&lt;0, "Punt", "")</f>
        <v/>
      </c>
      <c r="O125" s="45" t="str">
        <f t="shared" ref="O125" si="102">IF(O124&lt;0, "Punt", "")</f>
        <v/>
      </c>
      <c r="P125" s="45" t="str">
        <f t="shared" ref="P125" si="103">IF(P124&lt;0, "Punt", "")</f>
        <v>Punt</v>
      </c>
      <c r="Q125" s="45" t="str">
        <f t="shared" ref="Q125" si="104">IF(Q124&lt;0, "Punt", "")</f>
        <v/>
      </c>
    </row>
    <row r="126" spans="6:17" x14ac:dyDescent="0.35">
      <c r="H126" s="14"/>
      <c r="I126" s="14"/>
      <c r="J126" s="14"/>
      <c r="K126" s="14"/>
      <c r="L126" s="14"/>
      <c r="M126" s="14"/>
      <c r="N126" s="14"/>
      <c r="O126" s="14"/>
      <c r="P126" s="14"/>
      <c r="Q126" s="14"/>
    </row>
    <row r="127" spans="6:17" x14ac:dyDescent="0.35">
      <c r="F127" s="48" t="str">
        <f>A9</f>
        <v>Team 8</v>
      </c>
      <c r="G127" s="48"/>
      <c r="H127" s="14"/>
      <c r="I127" s="14"/>
      <c r="J127" s="14"/>
      <c r="K127" s="14"/>
      <c r="L127" s="14"/>
      <c r="M127" s="14"/>
      <c r="N127" s="14"/>
      <c r="O127" s="14"/>
      <c r="P127" s="14"/>
      <c r="Q127" s="14"/>
    </row>
    <row r="128" spans="6:17" x14ac:dyDescent="0.35">
      <c r="F128" s="45" t="s">
        <v>662</v>
      </c>
      <c r="G128" s="26" t="s">
        <v>4</v>
      </c>
      <c r="H128" s="45" t="s">
        <v>631</v>
      </c>
      <c r="I128" s="45" t="s">
        <v>632</v>
      </c>
      <c r="J128" s="45" t="s">
        <v>540</v>
      </c>
      <c r="K128" s="45" t="s">
        <v>537</v>
      </c>
      <c r="L128" s="45" t="s">
        <v>541</v>
      </c>
      <c r="M128" s="45" t="s">
        <v>536</v>
      </c>
      <c r="N128" s="45" t="s">
        <v>538</v>
      </c>
      <c r="O128" s="45" t="s">
        <v>539</v>
      </c>
      <c r="P128" s="45" t="s">
        <v>542</v>
      </c>
      <c r="Q128" s="45" t="s">
        <v>633</v>
      </c>
    </row>
    <row r="129" spans="6:17" x14ac:dyDescent="0.35">
      <c r="F129" s="8" t="s">
        <v>276</v>
      </c>
      <c r="G129" s="8">
        <f>VLOOKUP(F129,Rankings!$D$2:$AE$300,5,0)</f>
        <v>34.700000000000003</v>
      </c>
      <c r="H129" s="14">
        <f>VLOOKUP(F129,Rankings!$D$2:$AE$300,17,0)</f>
        <v>0.23081977611940188</v>
      </c>
      <c r="I129" s="14">
        <f>VLOOKUP(F129,Rankings!$D$2:$AE$300,18,0)</f>
        <v>0.48159467680608092</v>
      </c>
      <c r="J129" s="14">
        <f>VLOOKUP(F129,Rankings!$D$2:$AE$300,19,0)</f>
        <v>0.64173029505845924</v>
      </c>
      <c r="K129" s="14">
        <f>VLOOKUP(F129,Rankings!$D$2:$AE$300,20,0)</f>
        <v>1.8637438644515705</v>
      </c>
      <c r="L129" s="14">
        <f>VLOOKUP(F129,Rankings!$D$2:$AE$300,21,0)</f>
        <v>3.0528149972440837E-2</v>
      </c>
      <c r="M129" s="14">
        <f>VLOOKUP(F129,Rankings!$D$2:$AE$300,22,0)</f>
        <v>1.4086253295796138</v>
      </c>
      <c r="N129" s="14">
        <f>VLOOKUP(F129,Rankings!$D$2:$AE$300,23,0)</f>
        <v>2.4547338883027265</v>
      </c>
      <c r="O129" s="14">
        <f>VLOOKUP(F129,Rankings!$D$2:$AE$300,24,0)</f>
        <v>0.6647541700507309</v>
      </c>
      <c r="P129" s="14">
        <f>VLOOKUP(F129,Rankings!$D$2:$AE$300,25,0)</f>
        <v>-0.43970558203802057</v>
      </c>
      <c r="Q129" s="14">
        <f>VLOOKUP(F129,Rankings!$D$2:$AE$300,26,0)</f>
        <v>7.3368245683030047</v>
      </c>
    </row>
    <row r="130" spans="6:17" x14ac:dyDescent="0.35">
      <c r="F130" s="8" t="s">
        <v>84</v>
      </c>
      <c r="G130" s="8">
        <f>VLOOKUP(F130,Rankings!$D$2:$AE$300,5,0)</f>
        <v>35.5</v>
      </c>
      <c r="H130" s="14">
        <f>VLOOKUP(F130,Rankings!$D$2:$AE$300,17,0)</f>
        <v>0.45173059701492468</v>
      </c>
      <c r="I130" s="14">
        <f>VLOOKUP(F130,Rankings!$D$2:$AE$300,18,0)</f>
        <v>0.28922813688212612</v>
      </c>
      <c r="J130" s="14">
        <f>VLOOKUP(F130,Rankings!$D$2:$AE$300,19,0)</f>
        <v>0.64173029505845924</v>
      </c>
      <c r="K130" s="14">
        <f>VLOOKUP(F130,Rankings!$D$2:$AE$300,20,0)</f>
        <v>1.6397531222938366</v>
      </c>
      <c r="L130" s="14">
        <f>VLOOKUP(F130,Rankings!$D$2:$AE$300,21,0)</f>
        <v>-0.59282759803622376</v>
      </c>
      <c r="M130" s="14">
        <f>VLOOKUP(F130,Rankings!$D$2:$AE$300,22,0)</f>
        <v>0.72675689497985752</v>
      </c>
      <c r="N130" s="14">
        <f>VLOOKUP(F130,Rankings!$D$2:$AE$300,23,0)</f>
        <v>0.52612863143426558</v>
      </c>
      <c r="O130" s="14">
        <f>VLOOKUP(F130,Rankings!$D$2:$AE$300,24,0)</f>
        <v>-0.25736859171736254</v>
      </c>
      <c r="P130" s="14">
        <f>VLOOKUP(F130,Rankings!$D$2:$AE$300,25,0)</f>
        <v>-2.5346583995702781</v>
      </c>
      <c r="Q130" s="14">
        <f>VLOOKUP(F130,Rankings!$D$2:$AE$300,26,0)</f>
        <v>0.89047308833960548</v>
      </c>
    </row>
    <row r="131" spans="6:17" x14ac:dyDescent="0.35">
      <c r="F131" s="8" t="s">
        <v>532</v>
      </c>
      <c r="G131" s="8">
        <f>VLOOKUP(F131,Rankings!$D$2:$AE$300,5,0)</f>
        <v>33.9</v>
      </c>
      <c r="H131" s="14">
        <f>VLOOKUP(F131,Rankings!$D$2:$AE$300,17,0)</f>
        <v>-7.3724626865671911E-2</v>
      </c>
      <c r="I131" s="14">
        <f>VLOOKUP(F131,Rankings!$D$2:$AE$300,18,0)</f>
        <v>0.30660760456273572</v>
      </c>
      <c r="J131" s="14">
        <f>VLOOKUP(F131,Rankings!$D$2:$AE$300,19,0)</f>
        <v>-7.7436989009445123E-2</v>
      </c>
      <c r="K131" s="14">
        <f>VLOOKUP(F131,Rankings!$D$2:$AE$300,20,0)</f>
        <v>0.93578221836952957</v>
      </c>
      <c r="L131" s="14">
        <f>VLOOKUP(F131,Rankings!$D$2:$AE$300,21,0)</f>
        <v>-4.7391318528642284E-2</v>
      </c>
      <c r="M131" s="14">
        <f>VLOOKUP(F131,Rankings!$D$2:$AE$300,22,0)</f>
        <v>1.1163960004654323</v>
      </c>
      <c r="N131" s="14">
        <f>VLOOKUP(F131,Rankings!$D$2:$AE$300,23,0)</f>
        <v>0.95470757740503476</v>
      </c>
      <c r="O131" s="14">
        <f>VLOOKUP(F131,Rankings!$D$2:$AE$300,24,0)</f>
        <v>0.84917872240434955</v>
      </c>
      <c r="P131" s="14">
        <f>VLOOKUP(F131,Rankings!$D$2:$AE$300,25,0)</f>
        <v>-1.9061725543106007</v>
      </c>
      <c r="Q131" s="14">
        <f>VLOOKUP(F131,Rankings!$D$2:$AE$300,26,0)</f>
        <v>2.0579466344927217</v>
      </c>
    </row>
    <row r="132" spans="6:17" x14ac:dyDescent="0.35">
      <c r="F132" s="8" t="s">
        <v>102</v>
      </c>
      <c r="G132" s="8">
        <f>VLOOKUP(F132,Rankings!$D$2:$AE$300,5,0)</f>
        <v>27.1</v>
      </c>
      <c r="H132" s="14">
        <f>VLOOKUP(F132,Rankings!$D$2:$AE$300,17,0)</f>
        <v>1.7218354477611939</v>
      </c>
      <c r="I132" s="14">
        <f>VLOOKUP(F132,Rankings!$D$2:$AE$300,18,0)</f>
        <v>-0.23071939163498206</v>
      </c>
      <c r="J132" s="14">
        <f>VLOOKUP(F132,Rankings!$D$2:$AE$300,19,0)</f>
        <v>-0.59112790620080513</v>
      </c>
      <c r="K132" s="14">
        <f>VLOOKUP(F132,Rankings!$D$2:$AE$300,20,0)</f>
        <v>0.24781065317077469</v>
      </c>
      <c r="L132" s="14">
        <f>VLOOKUP(F132,Rankings!$D$2:$AE$300,21,0)</f>
        <v>0.49804496097893886</v>
      </c>
      <c r="M132" s="14">
        <f>VLOOKUP(F132,Rankings!$D$2:$AE$300,22,0)</f>
        <v>-0.63697997421965491</v>
      </c>
      <c r="N132" s="14">
        <f>VLOOKUP(F132,Rankings!$D$2:$AE$300,23,0)</f>
        <v>-0.97389767946342665</v>
      </c>
      <c r="O132" s="14">
        <f>VLOOKUP(F132,Rankings!$D$2:$AE$300,24,0)</f>
        <v>0.4803296176971123</v>
      </c>
      <c r="P132" s="14">
        <f>VLOOKUP(F132,Rankings!$D$2:$AE$300,25,0)</f>
        <v>0.50302318585149519</v>
      </c>
      <c r="Q132" s="14">
        <f>VLOOKUP(F132,Rankings!$D$2:$AE$300,26,0)</f>
        <v>1.0183189139406461</v>
      </c>
    </row>
    <row r="133" spans="6:17" x14ac:dyDescent="0.35">
      <c r="F133" s="8" t="s">
        <v>163</v>
      </c>
      <c r="G133" s="8">
        <f>VLOOKUP(F133,Rankings!$D$2:$AE$300,5,0)</f>
        <v>26.9</v>
      </c>
      <c r="H133" s="14">
        <f>VLOOKUP(F133,Rankings!$D$2:$AE$300,17,0)</f>
        <v>-0.84223507462686586</v>
      </c>
      <c r="I133" s="14">
        <f>VLOOKUP(F133,Rankings!$D$2:$AE$300,18,0)</f>
        <v>0.31648060836501785</v>
      </c>
      <c r="J133" s="14">
        <f>VLOOKUP(F133,Rankings!$D$2:$AE$300,19,0)</f>
        <v>-1.0020806399538933</v>
      </c>
      <c r="K133" s="14">
        <f>VLOOKUP(F133,Rankings!$D$2:$AE$300,20,0)</f>
        <v>2.3819911013040526E-2</v>
      </c>
      <c r="L133" s="14">
        <f>VLOOKUP(F133,Rankings!$D$2:$AE$300,21,0)</f>
        <v>-0.67074706653730676</v>
      </c>
      <c r="M133" s="14">
        <f>VLOOKUP(F133,Rankings!$D$2:$AE$300,22,0)</f>
        <v>1.2625106650225233</v>
      </c>
      <c r="N133" s="14">
        <f>VLOOKUP(F133,Rankings!$D$2:$AE$300,23,0)</f>
        <v>0.31183915844888088</v>
      </c>
      <c r="O133" s="14">
        <f>VLOOKUP(F133,Rankings!$D$2:$AE$300,24,0)</f>
        <v>-0.4417931440709813</v>
      </c>
      <c r="P133" s="14">
        <f>VLOOKUP(F133,Rankings!$D$2:$AE$300,25,0)</f>
        <v>-0.75394850466785901</v>
      </c>
      <c r="Q133" s="14">
        <f>VLOOKUP(F133,Rankings!$D$2:$AE$300,26,0)</f>
        <v>-1.7961540870074439</v>
      </c>
    </row>
    <row r="134" spans="6:17" x14ac:dyDescent="0.35">
      <c r="F134" s="8" t="s">
        <v>278</v>
      </c>
      <c r="G134" s="8">
        <f>VLOOKUP(F134,Rankings!$D$2:$AE$300,5,0)</f>
        <v>27.8</v>
      </c>
      <c r="H134" s="14">
        <f>VLOOKUP(F134,Rankings!$D$2:$AE$300,17,0)</f>
        <v>-0.39724813432835876</v>
      </c>
      <c r="I134" s="14">
        <f>VLOOKUP(F134,Rankings!$D$2:$AE$300,18,0)</f>
        <v>5.2273764258541798E-3</v>
      </c>
      <c r="J134" s="14">
        <f>VLOOKUP(F134,Rankings!$D$2:$AE$300,19,0)</f>
        <v>0.33351574474364315</v>
      </c>
      <c r="K134" s="14">
        <f>VLOOKUP(F134,Rankings!$D$2:$AE$300,20,0)</f>
        <v>0.91978287964397687</v>
      </c>
      <c r="L134" s="14">
        <f>VLOOKUP(F134,Rankings!$D$2:$AE$300,21,0)</f>
        <v>-0.20323025553080853</v>
      </c>
      <c r="M134" s="14">
        <f>VLOOKUP(F134,Rankings!$D$2:$AE$300,22,0)</f>
        <v>1.5547399941367044</v>
      </c>
      <c r="N134" s="14">
        <f>VLOOKUP(F134,Rankings!$D$2:$AE$300,23,0)</f>
        <v>0.52612863143426558</v>
      </c>
      <c r="O134" s="14">
        <f>VLOOKUP(F134,Rankings!$D$2:$AE$300,24,0)</f>
        <v>-7.2944039363743871E-2</v>
      </c>
      <c r="P134" s="14">
        <f>VLOOKUP(F134,Rankings!$D$2:$AE$300,25,0)</f>
        <v>-0.64920086379124653</v>
      </c>
      <c r="Q134" s="14">
        <f>VLOOKUP(F134,Rankings!$D$2:$AE$300,26,0)</f>
        <v>2.0167713333702868</v>
      </c>
    </row>
    <row r="135" spans="6:17" x14ac:dyDescent="0.35">
      <c r="F135" s="8" t="s">
        <v>578</v>
      </c>
      <c r="G135" s="8">
        <f>VLOOKUP(F135,Rankings!$D$2:$AE$300,5,0)</f>
        <v>25.5</v>
      </c>
      <c r="H135" s="14">
        <f>VLOOKUP(F135,Rankings!$D$2:$AE$300,17,0)</f>
        <v>-0.48777537313432895</v>
      </c>
      <c r="I135" s="14">
        <f>VLOOKUP(F135,Rankings!$D$2:$AE$300,18,0)</f>
        <v>-0.57165247148289144</v>
      </c>
      <c r="J135" s="14">
        <f>VLOOKUP(F135,Rankings!$D$2:$AE$300,19,0)</f>
        <v>-0.69386608963907714</v>
      </c>
      <c r="K135" s="14">
        <f>VLOOKUP(F135,Rankings!$D$2:$AE$300,20,0)</f>
        <v>-7.2176121340274027E-2</v>
      </c>
      <c r="L135" s="14">
        <f>VLOOKUP(F135,Rankings!$D$2:$AE$300,21,0)</f>
        <v>1.238279911739228</v>
      </c>
      <c r="M135" s="14">
        <f>VLOOKUP(F135,Rankings!$D$2:$AE$300,22,0)</f>
        <v>-0.92920930333383611</v>
      </c>
      <c r="N135" s="14">
        <f>VLOOKUP(F135,Rankings!$D$2:$AE$300,23,0)</f>
        <v>-0.97389767946342665</v>
      </c>
      <c r="O135" s="14">
        <f>VLOOKUP(F135,Rankings!$D$2:$AE$300,24,0)</f>
        <v>0.11148051298987478</v>
      </c>
      <c r="P135" s="14">
        <f>VLOOKUP(F135,Rankings!$D$2:$AE$300,25,0)</f>
        <v>-0.43970558203802057</v>
      </c>
      <c r="Q135" s="14">
        <f>VLOOKUP(F135,Rankings!$D$2:$AE$300,26,0)</f>
        <v>-2.8185221957027524</v>
      </c>
    </row>
    <row r="136" spans="6:17" x14ac:dyDescent="0.35">
      <c r="F136" s="8" t="s">
        <v>596</v>
      </c>
      <c r="G136" s="8">
        <f>VLOOKUP(F136,Rankings!$D$2:$AE$300,5,0)</f>
        <v>37.9</v>
      </c>
      <c r="H136" s="14">
        <f>VLOOKUP(F136,Rankings!$D$2:$AE$300,17,0)</f>
        <v>-1.5474906716417918</v>
      </c>
      <c r="I136" s="14">
        <f>VLOOKUP(F136,Rankings!$D$2:$AE$300,18,0)</f>
        <v>-0.35481216730038223</v>
      </c>
      <c r="J136" s="14">
        <f>VLOOKUP(F136,Rankings!$D$2:$AE$300,19,0)</f>
        <v>-0.69386608963907714</v>
      </c>
      <c r="K136" s="14">
        <f>VLOOKUP(F136,Rankings!$D$2:$AE$300,20,0)</f>
        <v>0.51979941150516595</v>
      </c>
      <c r="L136" s="14">
        <f>VLOOKUP(F136,Rankings!$D$2:$AE$300,21,0)</f>
        <v>1.0824409747370618</v>
      </c>
      <c r="M136" s="14">
        <f>VLOOKUP(F136,Rankings!$D$2:$AE$300,22,0)</f>
        <v>0.33711778949428262</v>
      </c>
      <c r="N136" s="14">
        <f>VLOOKUP(F136,Rankings!$D$2:$AE$300,23,0)</f>
        <v>9.7549685463496322E-2</v>
      </c>
      <c r="O136" s="14">
        <f>VLOOKUP(F136,Rankings!$D$2:$AE$300,24,0)</f>
        <v>-0.6262176964245999</v>
      </c>
      <c r="P136" s="14">
        <f>VLOOKUP(F136,Rankings!$D$2:$AE$300,25,0)</f>
        <v>-2.0715018531569193E-2</v>
      </c>
      <c r="Q136" s="14">
        <f>VLOOKUP(F136,Rankings!$D$2:$AE$300,26,0)</f>
        <v>-1.206193782337414</v>
      </c>
    </row>
    <row r="137" spans="6:17" x14ac:dyDescent="0.35">
      <c r="F137" s="8" t="s">
        <v>65</v>
      </c>
      <c r="G137" s="8">
        <f>VLOOKUP(F137,Rankings!$D$2:$AE$300,5,0)</f>
        <v>30.3</v>
      </c>
      <c r="H137" s="14">
        <f>VLOOKUP(F137,Rankings!$D$2:$AE$300,17,0)</f>
        <v>-0.70618171641791061</v>
      </c>
      <c r="I137" s="14">
        <f>VLOOKUP(F137,Rankings!$D$2:$AE$300,18,0)</f>
        <v>0.23221368821292712</v>
      </c>
      <c r="J137" s="14">
        <f>VLOOKUP(F137,Rankings!$D$2:$AE$300,19,0)</f>
        <v>-7.7436989009445123E-2</v>
      </c>
      <c r="K137" s="14">
        <f>VLOOKUP(F137,Rankings!$D$2:$AE$300,20,0)</f>
        <v>-0.23216950859579841</v>
      </c>
      <c r="L137" s="14">
        <f>VLOOKUP(F137,Rankings!$D$2:$AE$300,21,0)</f>
        <v>1.2772396459897695</v>
      </c>
      <c r="M137" s="14">
        <f>VLOOKUP(F137,Rankings!$D$2:$AE$300,22,0)</f>
        <v>-0.58827508603395795</v>
      </c>
      <c r="N137" s="14">
        <f>VLOOKUP(F137,Rankings!$D$2:$AE$300,23,0)</f>
        <v>-0.97389767946342665</v>
      </c>
      <c r="O137" s="14">
        <f>VLOOKUP(F137,Rankings!$D$2:$AE$300,24,0)</f>
        <v>1.218027827111587</v>
      </c>
      <c r="P137" s="14">
        <f>VLOOKUP(F137,Rankings!$D$2:$AE$300,25,0)</f>
        <v>-0.23021030028479489</v>
      </c>
      <c r="Q137" s="14">
        <f>VLOOKUP(F137,Rankings!$D$2:$AE$300,26,0)</f>
        <v>-8.0690118491050067E-2</v>
      </c>
    </row>
    <row r="138" spans="6:17" x14ac:dyDescent="0.35">
      <c r="F138" s="8" t="s">
        <v>300</v>
      </c>
      <c r="G138" s="8">
        <f>VLOOKUP(F138,Rankings!$D$2:$AE$300,5,0)</f>
        <v>23.5</v>
      </c>
      <c r="H138" s="14">
        <f>VLOOKUP(F138,Rankings!$D$2:$AE$300,17,0)</f>
        <v>0.30056529850746239</v>
      </c>
      <c r="I138" s="14">
        <f>VLOOKUP(F138,Rankings!$D$2:$AE$300,18,0)</f>
        <v>-2.1528517110275258E-3</v>
      </c>
      <c r="J138" s="14">
        <f>VLOOKUP(F138,Rankings!$D$2:$AE$300,19,0)</f>
        <v>0.230777561305371</v>
      </c>
      <c r="K138" s="14">
        <f>VLOOKUP(F138,Rankings!$D$2:$AE$300,20,0)</f>
        <v>-0.21617016987024601</v>
      </c>
      <c r="L138" s="14">
        <f>VLOOKUP(F138,Rankings!$D$2:$AE$300,21,0)</f>
        <v>-0.47594839528459909</v>
      </c>
      <c r="M138" s="14">
        <f>VLOOKUP(F138,Rankings!$D$2:$AE$300,22,0)</f>
        <v>-0.92920930333383611</v>
      </c>
      <c r="N138" s="14">
        <f>VLOOKUP(F138,Rankings!$D$2:$AE$300,23,0)</f>
        <v>-1.1881871524488112</v>
      </c>
      <c r="O138" s="14">
        <f>VLOOKUP(F138,Rankings!$D$2:$AE$300,24,0)</f>
        <v>-0.99506680113183732</v>
      </c>
      <c r="P138" s="14">
        <f>VLOOKUP(F138,Rankings!$D$2:$AE$300,25,0)</f>
        <v>0.81726610848133385</v>
      </c>
      <c r="Q138" s="14">
        <f>VLOOKUP(F138,Rankings!$D$2:$AE$300,26,0)</f>
        <v>-2.4581257054861902</v>
      </c>
    </row>
    <row r="139" spans="6:17" x14ac:dyDescent="0.35">
      <c r="F139" s="8" t="s">
        <v>168</v>
      </c>
      <c r="G139" s="8">
        <f>VLOOKUP(F139,Rankings!$D$2:$AE$300,5,0)</f>
        <v>35.799999999999997</v>
      </c>
      <c r="H139" s="14">
        <f>VLOOKUP(F139,Rankings!$D$2:$AE$300,17,0)</f>
        <v>-5.5673507462686803E-2</v>
      </c>
      <c r="I139" s="14">
        <f>VLOOKUP(F139,Rankings!$D$2:$AE$300,18,0)</f>
        <v>0.18880038022813617</v>
      </c>
      <c r="J139" s="14">
        <f>VLOOKUP(F139,Rankings!$D$2:$AE$300,19,0)</f>
        <v>1.0526830288115472</v>
      </c>
      <c r="K139" s="14">
        <f>VLOOKUP(F139,Rankings!$D$2:$AE$300,20,0)</f>
        <v>0.71179147621179506</v>
      </c>
      <c r="L139" s="14">
        <f>VLOOKUP(F139,Rankings!$D$2:$AE$300,21,0)</f>
        <v>-0.59282759803622376</v>
      </c>
      <c r="M139" s="14">
        <f>VLOOKUP(F139,Rankings!$D$2:$AE$300,22,0)</f>
        <v>1.7008546586937949</v>
      </c>
      <c r="N139" s="14">
        <f>VLOOKUP(F139,Rankings!$D$2:$AE$300,23,0)</f>
        <v>0.95470757740503476</v>
      </c>
      <c r="O139" s="14">
        <f>VLOOKUP(F139,Rankings!$D$2:$AE$300,24,0)</f>
        <v>-0.4417931440709813</v>
      </c>
      <c r="P139" s="14">
        <f>VLOOKUP(F139,Rankings!$D$2:$AE$300,25,0)</f>
        <v>-1.4871819908041493</v>
      </c>
      <c r="Q139" s="14">
        <f>VLOOKUP(F139,Rankings!$D$2:$AE$300,26,0)</f>
        <v>2.0313608809762664</v>
      </c>
    </row>
    <row r="140" spans="6:17" x14ac:dyDescent="0.35">
      <c r="F140" s="8" t="s">
        <v>730</v>
      </c>
      <c r="G140" s="8">
        <f>VLOOKUP(F140,Rankings!$D$2:$AE$300,5,0)</f>
        <v>26.5</v>
      </c>
      <c r="H140" s="14">
        <f>VLOOKUP(F140,Rankings!$D$2:$AE$300,17,0)</f>
        <v>0.10702276119402938</v>
      </c>
      <c r="I140" s="14">
        <f>VLOOKUP(F140,Rankings!$D$2:$AE$300,18,0)</f>
        <v>0.17834714828897241</v>
      </c>
      <c r="J140" s="14">
        <f>VLOOKUP(F140,Rankings!$D$2:$AE$300,19,0)</f>
        <v>-0.48838972276253317</v>
      </c>
      <c r="K140" s="14">
        <f>VLOOKUP(F140,Rankings!$D$2:$AE$300,20,0)</f>
        <v>-0.39216289585132275</v>
      </c>
      <c r="L140" s="14">
        <f>VLOOKUP(F140,Rankings!$D$2:$AE$300,21,0)</f>
        <v>-0.51490812953514065</v>
      </c>
      <c r="M140" s="14">
        <f>VLOOKUP(F140,Rankings!$D$2:$AE$300,22,0)</f>
        <v>-0.88050441514813926</v>
      </c>
      <c r="N140" s="14">
        <f>VLOOKUP(F140,Rankings!$D$2:$AE$300,23,0)</f>
        <v>0.31183915844888088</v>
      </c>
      <c r="O140" s="14">
        <f>VLOOKUP(F140,Rankings!$D$2:$AE$300,24,0)</f>
        <v>0.29590506534349342</v>
      </c>
      <c r="P140" s="14">
        <f>VLOOKUP(F140,Rankings!$D$2:$AE$300,25,0)</f>
        <v>-2.0715018531569193E-2</v>
      </c>
      <c r="Q140" s="14">
        <f>VLOOKUP(F140,Rankings!$D$2:$AE$300,26,0)</f>
        <v>-1.403566048553329</v>
      </c>
    </row>
    <row r="141" spans="6:17" x14ac:dyDescent="0.35">
      <c r="F141" s="8" t="s">
        <v>311</v>
      </c>
      <c r="G141" s="8">
        <f>VLOOKUP(F141,Rankings!$D$2:$AE$300,5,0)</f>
        <v>24</v>
      </c>
      <c r="H141" s="14">
        <f>VLOOKUP(F141,Rankings!$D$2:$AE$300,17,0)</f>
        <v>0.44557388059701486</v>
      </c>
      <c r="I141" s="14">
        <f>VLOOKUP(F141,Rankings!$D$2:$AE$300,18,0)</f>
        <v>-0.14783269961977319</v>
      </c>
      <c r="J141" s="14">
        <f>VLOOKUP(F141,Rankings!$D$2:$AE$300,19,0)</f>
        <v>2.5301194428826994E-2</v>
      </c>
      <c r="K141" s="14">
        <f>VLOOKUP(F141,Rankings!$D$2:$AE$300,20,0)</f>
        <v>-0.31216620222356056</v>
      </c>
      <c r="L141" s="14">
        <f>VLOOKUP(F141,Rankings!$D$2:$AE$300,21,0)</f>
        <v>-0.24218998978134992</v>
      </c>
      <c r="M141" s="14">
        <f>VLOOKUP(F141,Rankings!$D$2:$AE$300,22,0)</f>
        <v>-0.73438975059104861</v>
      </c>
      <c r="N141" s="14">
        <f>VLOOKUP(F141,Rankings!$D$2:$AE$300,23,0)</f>
        <v>-0.54531873349265758</v>
      </c>
      <c r="O141" s="14">
        <f>VLOOKUP(F141,Rankings!$D$2:$AE$300,24,0)</f>
        <v>-0.6262176964245999</v>
      </c>
      <c r="P141" s="14">
        <f>VLOOKUP(F141,Rankings!$D$2:$AE$300,25,0)</f>
        <v>0.18878026322165675</v>
      </c>
      <c r="Q141" s="14">
        <f>VLOOKUP(F141,Rankings!$D$2:$AE$300,26,0)</f>
        <v>-1.9484597338854908</v>
      </c>
    </row>
    <row r="142" spans="6:17" x14ac:dyDescent="0.35">
      <c r="F142" s="49" t="s">
        <v>663</v>
      </c>
      <c r="G142" s="49"/>
      <c r="H142" s="47">
        <f>SUM(H127:H141)</f>
        <v>-0.85278134328358779</v>
      </c>
      <c r="I142" s="47">
        <f t="shared" ref="I142:P142" si="105">SUM(I127:I141)</f>
        <v>0.69133003802279402</v>
      </c>
      <c r="J142" s="47">
        <f t="shared" si="105"/>
        <v>-0.69846630680796917</v>
      </c>
      <c r="K142" s="47">
        <f t="shared" si="105"/>
        <v>5.6374386387784883</v>
      </c>
      <c r="L142" s="47">
        <f t="shared" si="105"/>
        <v>0.78646329214714417</v>
      </c>
      <c r="M142" s="47">
        <f t="shared" si="105"/>
        <v>3.4084334997117351</v>
      </c>
      <c r="N142" s="47">
        <f t="shared" si="105"/>
        <v>1.4824353840108362</v>
      </c>
      <c r="O142" s="47">
        <f t="shared" si="105"/>
        <v>0.1582748023930417</v>
      </c>
      <c r="P142" s="47">
        <f t="shared" si="105"/>
        <v>-6.9731442570136233</v>
      </c>
      <c r="Q142" s="47">
        <f>SUM(Q127:Q141)</f>
        <v>3.6399837479588601</v>
      </c>
    </row>
    <row r="143" spans="6:17" x14ac:dyDescent="0.35">
      <c r="F143" s="45" t="s">
        <v>652</v>
      </c>
      <c r="G143" s="45"/>
      <c r="H143" s="45" t="str">
        <f>IF(H142&lt;0, "Punt", "")</f>
        <v>Punt</v>
      </c>
      <c r="I143" s="45" t="str">
        <f t="shared" ref="I143" si="106">IF(I142&lt;0, "Punt", "")</f>
        <v/>
      </c>
      <c r="J143" s="45" t="str">
        <f t="shared" ref="J143" si="107">IF(J142&lt;0, "Punt", "")</f>
        <v>Punt</v>
      </c>
      <c r="K143" s="45" t="str">
        <f t="shared" ref="K143" si="108">IF(K142&lt;0, "Punt", "")</f>
        <v/>
      </c>
      <c r="L143" s="45" t="str">
        <f t="shared" ref="L143" si="109">IF(L142&lt;0, "Punt", "")</f>
        <v/>
      </c>
      <c r="M143" s="45" t="str">
        <f t="shared" ref="M143" si="110">IF(M142&lt;0, "Punt", "")</f>
        <v/>
      </c>
      <c r="N143" s="45" t="str">
        <f t="shared" ref="N143" si="111">IF(N142&lt;0, "Punt", "")</f>
        <v/>
      </c>
      <c r="O143" s="45" t="str">
        <f t="shared" ref="O143" si="112">IF(O142&lt;0, "Punt", "")</f>
        <v/>
      </c>
      <c r="P143" s="45" t="str">
        <f t="shared" ref="P143" si="113">IF(P142&lt;0, "Punt", "")</f>
        <v>Punt</v>
      </c>
      <c r="Q143" s="45" t="str">
        <f t="shared" ref="Q143" si="114">IF(Q142&lt;0, "Punt", "")</f>
        <v/>
      </c>
    </row>
    <row r="144" spans="6:17" x14ac:dyDescent="0.35">
      <c r="H144" s="14"/>
      <c r="I144" s="14"/>
      <c r="J144" s="14"/>
      <c r="K144" s="14"/>
      <c r="L144" s="14"/>
      <c r="M144" s="14"/>
      <c r="N144" s="14"/>
      <c r="O144" s="14"/>
      <c r="P144" s="14"/>
      <c r="Q144" s="14"/>
    </row>
    <row r="145" spans="6:17" x14ac:dyDescent="0.35">
      <c r="F145" s="48" t="str">
        <f>A10</f>
        <v>Team 9</v>
      </c>
      <c r="G145" s="48"/>
      <c r="H145" s="14"/>
      <c r="I145" s="14"/>
      <c r="J145" s="14"/>
      <c r="K145" s="14"/>
      <c r="L145" s="14"/>
      <c r="M145" s="14"/>
      <c r="N145" s="14"/>
      <c r="O145" s="14"/>
      <c r="P145" s="14"/>
      <c r="Q145" s="14"/>
    </row>
    <row r="146" spans="6:17" x14ac:dyDescent="0.35">
      <c r="F146" s="45" t="s">
        <v>662</v>
      </c>
      <c r="G146" s="26" t="s">
        <v>4</v>
      </c>
      <c r="H146" s="45" t="s">
        <v>631</v>
      </c>
      <c r="I146" s="45" t="s">
        <v>632</v>
      </c>
      <c r="J146" s="45" t="s">
        <v>540</v>
      </c>
      <c r="K146" s="45" t="s">
        <v>537</v>
      </c>
      <c r="L146" s="45" t="s">
        <v>541</v>
      </c>
      <c r="M146" s="45" t="s">
        <v>536</v>
      </c>
      <c r="N146" s="45" t="s">
        <v>538</v>
      </c>
      <c r="O146" s="45" t="s">
        <v>539</v>
      </c>
      <c r="P146" s="45" t="s">
        <v>542</v>
      </c>
      <c r="Q146" s="45" t="s">
        <v>633</v>
      </c>
    </row>
    <row r="147" spans="6:17" x14ac:dyDescent="0.35">
      <c r="F147" s="8" t="s">
        <v>639</v>
      </c>
      <c r="G147" s="8">
        <f>VLOOKUP(F147,Rankings!$D$2:$AE$300,5,0)</f>
        <v>27.3</v>
      </c>
      <c r="H147" s="14">
        <f>VLOOKUP(F147,Rankings!$D$2:$AE$300,17,0)</f>
        <v>-0.41488768656716429</v>
      </c>
      <c r="I147" s="14">
        <f>VLOOKUP(F147,Rankings!$D$2:$AE$300,18,0)</f>
        <v>-0.37869277566540044</v>
      </c>
      <c r="J147" s="14">
        <f>VLOOKUP(F147,Rankings!$D$2:$AE$300,19,0)</f>
        <v>-0.79660427307734927</v>
      </c>
      <c r="K147" s="14">
        <f>VLOOKUP(F147,Rankings!$D$2:$AE$300,20,0)</f>
        <v>-1.0161371061478679</v>
      </c>
      <c r="L147" s="14">
        <f>VLOOKUP(F147,Rankings!$D$2:$AE$300,21,0)</f>
        <v>-0.51490812953514065</v>
      </c>
      <c r="M147" s="14">
        <f>VLOOKUP(F147,Rankings!$D$2:$AE$300,22,0)</f>
        <v>-0.97791419151953307</v>
      </c>
      <c r="N147" s="14">
        <f>VLOOKUP(F147,Rankings!$D$2:$AE$300,23,0)</f>
        <v>0.95470757740503476</v>
      </c>
      <c r="O147" s="14">
        <f>VLOOKUP(F147,Rankings!$D$2:$AE$300,24,0)</f>
        <v>0.29590506534349342</v>
      </c>
      <c r="P147" s="14">
        <f>VLOOKUP(F147,Rankings!$D$2:$AE$300,25,0)</f>
        <v>1.0267613902345596</v>
      </c>
      <c r="Q147" s="14">
        <f>VLOOKUP(F147,Rankings!$D$2:$AE$300,26,0)</f>
        <v>-1.8217701295293678</v>
      </c>
    </row>
    <row r="148" spans="6:17" x14ac:dyDescent="0.35">
      <c r="F148" s="8" t="s">
        <v>442</v>
      </c>
      <c r="G148" s="8">
        <f>VLOOKUP(F148,Rankings!$D$2:$AE$300,5,0)</f>
        <v>32.9</v>
      </c>
      <c r="H148" s="14">
        <f>VLOOKUP(F148,Rankings!$D$2:$AE$300,17,0)</f>
        <v>1.228722014925373</v>
      </c>
      <c r="I148" s="14">
        <f>VLOOKUP(F148,Rankings!$D$2:$AE$300,18,0)</f>
        <v>-0.17653231939163705</v>
      </c>
      <c r="J148" s="14">
        <f>VLOOKUP(F148,Rankings!$D$2:$AE$300,19,0)</f>
        <v>-0.18017517244771702</v>
      </c>
      <c r="K148" s="14">
        <f>VLOOKUP(F148,Rankings!$D$2:$AE$300,20,0)</f>
        <v>1.5757557673916269</v>
      </c>
      <c r="L148" s="14">
        <f>VLOOKUP(F148,Rankings!$D$2:$AE$300,21,0)</f>
        <v>1.8226759254973508</v>
      </c>
      <c r="M148" s="14">
        <f>VLOOKUP(F148,Rankings!$D$2:$AE$300,22,0)</f>
        <v>-0.73438975059104861</v>
      </c>
      <c r="N148" s="14">
        <f>VLOOKUP(F148,Rankings!$D$2:$AE$300,23,0)</f>
        <v>-0.11673978752188821</v>
      </c>
      <c r="O148" s="14">
        <f>VLOOKUP(F148,Rankings!$D$2:$AE$300,24,0)</f>
        <v>1.9557260365260618</v>
      </c>
      <c r="P148" s="14">
        <f>VLOOKUP(F148,Rankings!$D$2:$AE$300,25,0)</f>
        <v>8.4032622345043773E-2</v>
      </c>
      <c r="Q148" s="14">
        <f>VLOOKUP(F148,Rankings!$D$2:$AE$300,26,0)</f>
        <v>5.4590753367331653</v>
      </c>
    </row>
    <row r="149" spans="6:17" x14ac:dyDescent="0.35">
      <c r="F149" s="8" t="s">
        <v>285</v>
      </c>
      <c r="G149" s="8">
        <f>VLOOKUP(F149,Rankings!$D$2:$AE$300,5,0)</f>
        <v>36.4</v>
      </c>
      <c r="H149" s="14">
        <f>VLOOKUP(F149,Rankings!$D$2:$AE$300,17,0)</f>
        <v>-0.7313373134328367</v>
      </c>
      <c r="I149" s="14">
        <f>VLOOKUP(F149,Rankings!$D$2:$AE$300,18,0)</f>
        <v>0.51933460076045379</v>
      </c>
      <c r="J149" s="14">
        <f>VLOOKUP(F149,Rankings!$D$2:$AE$300,19,0)</f>
        <v>1.4636357625646352</v>
      </c>
      <c r="K149" s="14">
        <f>VLOOKUP(F149,Rankings!$D$2:$AE$300,20,0)</f>
        <v>0.99977957327173905</v>
      </c>
      <c r="L149" s="14">
        <f>VLOOKUP(F149,Rankings!$D$2:$AE$300,21,0)</f>
        <v>0.45908522672839747</v>
      </c>
      <c r="M149" s="14">
        <f>VLOOKUP(F149,Rankings!$D$2:$AE$300,22,0)</f>
        <v>1.8956742114365825</v>
      </c>
      <c r="N149" s="14">
        <f>VLOOKUP(F149,Rankings!$D$2:$AE$300,23,0)</f>
        <v>0.52612863143426558</v>
      </c>
      <c r="O149" s="14">
        <f>VLOOKUP(F149,Rankings!$D$2:$AE$300,24,0)</f>
        <v>-0.99506680113183732</v>
      </c>
      <c r="P149" s="14">
        <f>VLOOKUP(F149,Rankings!$D$2:$AE$300,25,0)</f>
        <v>-1.5919296316807623</v>
      </c>
      <c r="Q149" s="14">
        <f>VLOOKUP(F149,Rankings!$D$2:$AE$300,26,0)</f>
        <v>2.5453042599506377</v>
      </c>
    </row>
    <row r="150" spans="6:17" x14ac:dyDescent="0.35">
      <c r="F150" s="8" t="s">
        <v>308</v>
      </c>
      <c r="G150" s="8">
        <f>VLOOKUP(F150,Rankings!$D$2:$AE$300,5,0)</f>
        <v>32</v>
      </c>
      <c r="H150" s="14">
        <f>VLOOKUP(F150,Rankings!$D$2:$AE$300,17,0)</f>
        <v>1.4567541044776122</v>
      </c>
      <c r="I150" s="14">
        <f>VLOOKUP(F150,Rankings!$D$2:$AE$300,18,0)</f>
        <v>0.50711406844106299</v>
      </c>
      <c r="J150" s="14">
        <f>VLOOKUP(F150,Rankings!$D$2:$AE$300,19,0)</f>
        <v>1.3608975791263631</v>
      </c>
      <c r="K150" s="14">
        <f>VLOOKUP(F150,Rankings!$D$2:$AE$300,20,0)</f>
        <v>1.5597564286660743</v>
      </c>
      <c r="L150" s="14">
        <f>VLOOKUP(F150,Rankings!$D$2:$AE$300,21,0)</f>
        <v>0.73180336648218824</v>
      </c>
      <c r="M150" s="14">
        <f>VLOOKUP(F150,Rankings!$D$2:$AE$300,22,0)</f>
        <v>1.3599204413939168</v>
      </c>
      <c r="N150" s="14">
        <f>VLOOKUP(F150,Rankings!$D$2:$AE$300,23,0)</f>
        <v>9.7549685463496322E-2</v>
      </c>
      <c r="O150" s="14">
        <f>VLOOKUP(F150,Rankings!$D$2:$AE$300,24,0)</f>
        <v>-0.6262176964245999</v>
      </c>
      <c r="P150" s="14">
        <f>VLOOKUP(F150,Rankings!$D$2:$AE$300,25,0)</f>
        <v>-1.068191427297698</v>
      </c>
      <c r="Q150" s="14">
        <f>VLOOKUP(F150,Rankings!$D$2:$AE$300,26,0)</f>
        <v>5.3793865503284151</v>
      </c>
    </row>
    <row r="151" spans="6:17" x14ac:dyDescent="0.35">
      <c r="F151" s="8" t="s">
        <v>350</v>
      </c>
      <c r="G151" s="8">
        <f>VLOOKUP(F151,Rankings!$D$2:$AE$300,5,0)</f>
        <v>31.6</v>
      </c>
      <c r="H151" s="14">
        <f>VLOOKUP(F151,Rankings!$D$2:$AE$300,17,0)</f>
        <v>-0.27513917910447799</v>
      </c>
      <c r="I151" s="14">
        <f>VLOOKUP(F151,Rankings!$D$2:$AE$300,18,0)</f>
        <v>0.62060076045627222</v>
      </c>
      <c r="J151" s="14">
        <f>VLOOKUP(F151,Rankings!$D$2:$AE$300,19,0)</f>
        <v>-0.79660427307734927</v>
      </c>
      <c r="K151" s="14">
        <f>VLOOKUP(F151,Rankings!$D$2:$AE$300,20,0)</f>
        <v>8.7817265915250325E-2</v>
      </c>
      <c r="L151" s="14">
        <f>VLOOKUP(F151,Rankings!$D$2:$AE$300,21,0)</f>
        <v>-8.635105277918402E-2</v>
      </c>
      <c r="M151" s="14">
        <f>VLOOKUP(F151,Rankings!$D$2:$AE$300,22,0)</f>
        <v>2.8697719751505195</v>
      </c>
      <c r="N151" s="14">
        <f>VLOOKUP(F151,Rankings!$D$2:$AE$300,23,0)</f>
        <v>-0.33102926050727299</v>
      </c>
      <c r="O151" s="14">
        <f>VLOOKUP(F151,Rankings!$D$2:$AE$300,24,0)</f>
        <v>-0.4417931440709813</v>
      </c>
      <c r="P151" s="14">
        <f>VLOOKUP(F151,Rankings!$D$2:$AE$300,25,0)</f>
        <v>-2.0715018531569193E-2</v>
      </c>
      <c r="Q151" s="14">
        <f>VLOOKUP(F151,Rankings!$D$2:$AE$300,26,0)</f>
        <v>1.6265580734512073</v>
      </c>
    </row>
    <row r="152" spans="6:17" x14ac:dyDescent="0.35">
      <c r="F152" s="8" t="s">
        <v>229</v>
      </c>
      <c r="G152" s="8">
        <f>VLOOKUP(F152,Rankings!$D$2:$AE$300,5,0)</f>
        <v>34.700000000000003</v>
      </c>
      <c r="H152" s="14">
        <f>VLOOKUP(F152,Rankings!$D$2:$AE$300,17,0)</f>
        <v>-0.156414179104478</v>
      </c>
      <c r="I152" s="14">
        <f>VLOOKUP(F152,Rankings!$D$2:$AE$300,18,0)</f>
        <v>0.60429505703421704</v>
      </c>
      <c r="J152" s="14">
        <f>VLOOKUP(F152,Rankings!$D$2:$AE$300,19,0)</f>
        <v>0.74446847849673137</v>
      </c>
      <c r="K152" s="14">
        <f>VLOOKUP(F152,Rankings!$D$2:$AE$300,20,0)</f>
        <v>1.799746509549361</v>
      </c>
      <c r="L152" s="14">
        <f>VLOOKUP(F152,Rankings!$D$2:$AE$300,21,0)</f>
        <v>0.88764230348435413</v>
      </c>
      <c r="M152" s="14">
        <f>VLOOKUP(F152,Rankings!$D$2:$AE$300,22,0)</f>
        <v>1.4573302177653107</v>
      </c>
      <c r="N152" s="14">
        <f>VLOOKUP(F152,Rankings!$D$2:$AE$300,23,0)</f>
        <v>-0.33102926050727299</v>
      </c>
      <c r="O152" s="14">
        <f>VLOOKUP(F152,Rankings!$D$2:$AE$300,24,0)</f>
        <v>0.4803296176971123</v>
      </c>
      <c r="P152" s="14">
        <f>VLOOKUP(F152,Rankings!$D$2:$AE$300,25,0)</f>
        <v>-1.1729390681743108</v>
      </c>
      <c r="Q152" s="14">
        <f>VLOOKUP(F152,Rankings!$D$2:$AE$300,26,0)</f>
        <v>4.3134296762410251</v>
      </c>
    </row>
    <row r="153" spans="6:17" x14ac:dyDescent="0.35">
      <c r="F153" s="8" t="s">
        <v>160</v>
      </c>
      <c r="G153" s="8">
        <f>VLOOKUP(F153,Rankings!$D$2:$AE$300,5,0)</f>
        <v>30.1</v>
      </c>
      <c r="H153" s="14">
        <f>VLOOKUP(F153,Rankings!$D$2:$AE$300,17,0)</f>
        <v>-0.25969477611940339</v>
      </c>
      <c r="I153" s="14">
        <f>VLOOKUP(F153,Rankings!$D$2:$AE$300,18,0)</f>
        <v>-0.35422509505703753</v>
      </c>
      <c r="J153" s="14">
        <f>VLOOKUP(F153,Rankings!$D$2:$AE$300,19,0)</f>
        <v>-0.48838972276253317</v>
      </c>
      <c r="K153" s="14">
        <f>VLOOKUP(F153,Rankings!$D$2:$AE$300,20,0)</f>
        <v>0.88778420219287213</v>
      </c>
      <c r="L153" s="14">
        <f>VLOOKUP(F153,Rankings!$D$2:$AE$300,21,0)</f>
        <v>-0.82658600353947276</v>
      </c>
      <c r="M153" s="14">
        <f>VLOOKUP(F153,Rankings!$D$2:$AE$300,22,0)</f>
        <v>1.2625106650225233</v>
      </c>
      <c r="N153" s="14">
        <f>VLOOKUP(F153,Rankings!$D$2:$AE$300,23,0)</f>
        <v>1.3832865233758038</v>
      </c>
      <c r="O153" s="14">
        <f>VLOOKUP(F153,Rankings!$D$2:$AE$300,24,0)</f>
        <v>0.4803296176971123</v>
      </c>
      <c r="P153" s="14">
        <f>VLOOKUP(F153,Rankings!$D$2:$AE$300,25,0)</f>
        <v>-1.5919296316807623</v>
      </c>
      <c r="Q153" s="14">
        <f>VLOOKUP(F153,Rankings!$D$2:$AE$300,26,0)</f>
        <v>0.49308577912910234</v>
      </c>
    </row>
    <row r="154" spans="6:17" x14ac:dyDescent="0.35">
      <c r="F154" s="8" t="s">
        <v>210</v>
      </c>
      <c r="G154" s="8">
        <f>VLOOKUP(F154,Rankings!$D$2:$AE$300,5,0)</f>
        <v>34</v>
      </c>
      <c r="H154" s="14">
        <f>VLOOKUP(F154,Rankings!$D$2:$AE$300,17,0)</f>
        <v>-1.335664925373135</v>
      </c>
      <c r="I154" s="14">
        <f>VLOOKUP(F154,Rankings!$D$2:$AE$300,18,0)</f>
        <v>7.4800380228136065E-2</v>
      </c>
      <c r="J154" s="14">
        <f>VLOOKUP(F154,Rankings!$D$2:$AE$300,19,0)</f>
        <v>2.0800648631942678</v>
      </c>
      <c r="K154" s="14">
        <f>VLOOKUP(F154,Rankings!$D$2:$AE$300,20,0)</f>
        <v>0.3118080080729842</v>
      </c>
      <c r="L154" s="14">
        <f>VLOOKUP(F154,Rankings!$D$2:$AE$300,21,0)</f>
        <v>-0.24218998978134992</v>
      </c>
      <c r="M154" s="14">
        <f>VLOOKUP(F154,Rankings!$D$2:$AE$300,22,0)</f>
        <v>-5.252131599129229E-2</v>
      </c>
      <c r="N154" s="14">
        <f>VLOOKUP(F154,Rankings!$D$2:$AE$300,23,0)</f>
        <v>-0.54531873349265758</v>
      </c>
      <c r="O154" s="14">
        <f>VLOOKUP(F154,Rankings!$D$2:$AE$300,24,0)</f>
        <v>-0.25736859171736254</v>
      </c>
      <c r="P154" s="14">
        <f>VLOOKUP(F154,Rankings!$D$2:$AE$300,25,0)</f>
        <v>-0.23021030028479489</v>
      </c>
      <c r="Q154" s="14">
        <f>VLOOKUP(F154,Rankings!$D$2:$AE$300,26,0)</f>
        <v>-0.19660060514520428</v>
      </c>
    </row>
    <row r="155" spans="6:17" x14ac:dyDescent="0.35">
      <c r="F155" s="8" t="s">
        <v>392</v>
      </c>
      <c r="G155" s="8">
        <f>VLOOKUP(F155,Rankings!$D$2:$AE$300,5,0)</f>
        <v>33.4</v>
      </c>
      <c r="H155" s="14">
        <f>VLOOKUP(F155,Rankings!$D$2:$AE$300,17,0)</f>
        <v>-1.0465156716417916</v>
      </c>
      <c r="I155" s="14">
        <f>VLOOKUP(F155,Rankings!$D$2:$AE$300,18,0)</f>
        <v>5.221444866919947E-2</v>
      </c>
      <c r="J155" s="14">
        <f>VLOOKUP(F155,Rankings!$D$2:$AE$300,19,0)</f>
        <v>0.436253928181915</v>
      </c>
      <c r="K155" s="14">
        <f>VLOOKUP(F155,Rankings!$D$2:$AE$300,20,0)</f>
        <v>-8.8175460065826702E-2</v>
      </c>
      <c r="L155" s="14">
        <f>VLOOKUP(F155,Rankings!$D$2:$AE$300,21,0)</f>
        <v>-0.78762626928893142</v>
      </c>
      <c r="M155" s="14">
        <f>VLOOKUP(F155,Rankings!$D$2:$AE$300,22,0)</f>
        <v>1.749559546879492</v>
      </c>
      <c r="N155" s="14">
        <f>VLOOKUP(F155,Rankings!$D$2:$AE$300,23,0)</f>
        <v>1.5975759963611886</v>
      </c>
      <c r="O155" s="14">
        <f>VLOOKUP(F155,Rankings!$D$2:$AE$300,24,0)</f>
        <v>0.29590506534349342</v>
      </c>
      <c r="P155" s="14">
        <f>VLOOKUP(F155,Rankings!$D$2:$AE$300,25,0)</f>
        <v>-0.23021030028479489</v>
      </c>
      <c r="Q155" s="14">
        <f>VLOOKUP(F155,Rankings!$D$2:$AE$300,26,0)</f>
        <v>1.978981284153944</v>
      </c>
    </row>
    <row r="156" spans="6:17" x14ac:dyDescent="0.35">
      <c r="F156" s="8" t="s">
        <v>381</v>
      </c>
      <c r="G156" s="8">
        <f>VLOOKUP(F156,Rankings!$D$2:$AE$300,5,0)</f>
        <v>37.700000000000003</v>
      </c>
      <c r="H156" s="14">
        <f>VLOOKUP(F156,Rankings!$D$2:$AE$300,17,0)</f>
        <v>1.506796641791045</v>
      </c>
      <c r="I156" s="14">
        <f>VLOOKUP(F156,Rankings!$D$2:$AE$300,18,0)</f>
        <v>-0.44073193916350051</v>
      </c>
      <c r="J156" s="14">
        <f>VLOOKUP(F156,Rankings!$D$2:$AE$300,19,0)</f>
        <v>-0.69386608963907714</v>
      </c>
      <c r="K156" s="14">
        <f>VLOOKUP(F156,Rankings!$D$2:$AE$300,20,0)</f>
        <v>1.4477610575872073</v>
      </c>
      <c r="L156" s="14">
        <f>VLOOKUP(F156,Rankings!$D$2:$AE$300,21,0)</f>
        <v>2.9914679530135966</v>
      </c>
      <c r="M156" s="14">
        <f>VLOOKUP(F156,Rankings!$D$2:$AE$300,22,0)</f>
        <v>1.4573302177653107</v>
      </c>
      <c r="N156" s="14">
        <f>VLOOKUP(F156,Rankings!$D$2:$AE$300,23,0)</f>
        <v>-0.75960820647804206</v>
      </c>
      <c r="O156" s="14">
        <f>VLOOKUP(F156,Rankings!$D$2:$AE$300,24,0)</f>
        <v>-7.2944039363743871E-2</v>
      </c>
      <c r="P156" s="14">
        <f>VLOOKUP(F156,Rankings!$D$2:$AE$300,25,0)</f>
        <v>-2.1156678360638268</v>
      </c>
      <c r="Q156" s="14">
        <f>VLOOKUP(F156,Rankings!$D$2:$AE$300,26,0)</f>
        <v>3.3205377594489689</v>
      </c>
    </row>
    <row r="157" spans="6:17" x14ac:dyDescent="0.35">
      <c r="F157" s="8" t="s">
        <v>104</v>
      </c>
      <c r="G157" s="8">
        <f>VLOOKUP(F157,Rankings!$D$2:$AE$300,5,0)</f>
        <v>27.7</v>
      </c>
      <c r="H157" s="14">
        <f>VLOOKUP(F157,Rankings!$D$2:$AE$300,17,0)</f>
        <v>0.77267574626865665</v>
      </c>
      <c r="I157" s="14">
        <f>VLOOKUP(F157,Rankings!$D$2:$AE$300,18,0)</f>
        <v>0.91700836501900829</v>
      </c>
      <c r="J157" s="14">
        <f>VLOOKUP(F157,Rankings!$D$2:$AE$300,19,0)</f>
        <v>1.8745884963177233</v>
      </c>
      <c r="K157" s="14">
        <f>VLOOKUP(F157,Rankings!$D$2:$AE$300,20,0)</f>
        <v>1.2717683316061303</v>
      </c>
      <c r="L157" s="14">
        <f>VLOOKUP(F157,Rankings!$D$2:$AE$300,21,0)</f>
        <v>-0.43698866103405754</v>
      </c>
      <c r="M157" s="14">
        <f>VLOOKUP(F157,Rankings!$D$2:$AE$300,22,0)</f>
        <v>0.43452756586567642</v>
      </c>
      <c r="N157" s="14">
        <f>VLOOKUP(F157,Rankings!$D$2:$AE$300,23,0)</f>
        <v>0.31183915844888088</v>
      </c>
      <c r="O157" s="14">
        <f>VLOOKUP(F157,Rankings!$D$2:$AE$300,24,0)</f>
        <v>0.29590506534349342</v>
      </c>
      <c r="P157" s="14">
        <f>VLOOKUP(F157,Rankings!$D$2:$AE$300,25,0)</f>
        <v>-0.75394850466785901</v>
      </c>
      <c r="Q157" s="14">
        <f>VLOOKUP(F157,Rankings!$D$2:$AE$300,26,0)</f>
        <v>4.6873755631676524</v>
      </c>
    </row>
    <row r="158" spans="6:17" x14ac:dyDescent="0.35">
      <c r="F158" s="8" t="s">
        <v>429</v>
      </c>
      <c r="G158" s="8">
        <f>VLOOKUP(F158,Rankings!$D$2:$AE$300,5,0)</f>
        <v>23</v>
      </c>
      <c r="H158" s="14">
        <f>VLOOKUP(F158,Rankings!$D$2:$AE$300,17,0)</f>
        <v>-1.1320858208955225</v>
      </c>
      <c r="I158" s="14">
        <f>VLOOKUP(F158,Rankings!$D$2:$AE$300,18,0)</f>
        <v>0.47373384030418153</v>
      </c>
      <c r="J158" s="14">
        <f>VLOOKUP(F158,Rankings!$D$2:$AE$300,19,0)</f>
        <v>-0.48838972276253317</v>
      </c>
      <c r="K158" s="14">
        <f>VLOOKUP(F158,Rankings!$D$2:$AE$300,20,0)</f>
        <v>-0.6001542992835045</v>
      </c>
      <c r="L158" s="14">
        <f>VLOOKUP(F158,Rankings!$D$2:$AE$300,21,0)</f>
        <v>-1.4889014857986789</v>
      </c>
      <c r="M158" s="14">
        <f>VLOOKUP(F158,Rankings!$D$2:$AE$300,22,0)</f>
        <v>-0.88050441514813926</v>
      </c>
      <c r="N158" s="14">
        <f>VLOOKUP(F158,Rankings!$D$2:$AE$300,23,0)</f>
        <v>-1.831055571404965</v>
      </c>
      <c r="O158" s="14">
        <f>VLOOKUP(F158,Rankings!$D$2:$AE$300,24,0)</f>
        <v>2.6934242459405366</v>
      </c>
      <c r="P158" s="14">
        <f>VLOOKUP(F158,Rankings!$D$2:$AE$300,25,0)</f>
        <v>-0.43970558203802057</v>
      </c>
      <c r="Q158" s="14">
        <f>VLOOKUP(F158,Rankings!$D$2:$AE$300,26,0)</f>
        <v>-3.6936388110866458</v>
      </c>
    </row>
    <row r="159" spans="6:17" x14ac:dyDescent="0.35">
      <c r="F159" s="8" t="s">
        <v>251</v>
      </c>
      <c r="G159" s="8">
        <f>VLOOKUP(F159,Rankings!$D$2:$AE$300,5,0)</f>
        <v>22.4</v>
      </c>
      <c r="H159" s="14">
        <f>VLOOKUP(F159,Rankings!$D$2:$AE$300,17,0)</f>
        <v>-0.10103880597014943</v>
      </c>
      <c r="I159" s="14">
        <f>VLOOKUP(F159,Rankings!$D$2:$AE$300,18,0)</f>
        <v>-2.1528517110275258E-3</v>
      </c>
      <c r="J159" s="14">
        <f>VLOOKUP(F159,Rankings!$D$2:$AE$300,19,0)</f>
        <v>-0.89934245651562128</v>
      </c>
      <c r="K159" s="14">
        <f>VLOOKUP(F159,Rankings!$D$2:$AE$300,20,0)</f>
        <v>-0.8081457027156862</v>
      </c>
      <c r="L159" s="14">
        <f>VLOOKUP(F159,Rankings!$D$2:$AE$300,21,0)</f>
        <v>-0.90450547204055598</v>
      </c>
      <c r="M159" s="14">
        <f>VLOOKUP(F159,Rankings!$D$2:$AE$300,22,0)</f>
        <v>-0.1012262041769892</v>
      </c>
      <c r="N159" s="14">
        <f>VLOOKUP(F159,Rankings!$D$2:$AE$300,23,0)</f>
        <v>-0.33102926050727299</v>
      </c>
      <c r="O159" s="14">
        <f>VLOOKUP(F159,Rankings!$D$2:$AE$300,24,0)</f>
        <v>-7.2944039363743871E-2</v>
      </c>
      <c r="P159" s="14">
        <f>VLOOKUP(F159,Rankings!$D$2:$AE$300,25,0)</f>
        <v>0.29352790409826945</v>
      </c>
      <c r="Q159" s="14">
        <f>VLOOKUP(F159,Rankings!$D$2:$AE$300,26,0)</f>
        <v>-2.9268568889027771</v>
      </c>
    </row>
    <row r="160" spans="6:17" x14ac:dyDescent="0.35">
      <c r="F160" s="49" t="s">
        <v>663</v>
      </c>
      <c r="G160" s="49"/>
      <c r="H160" s="47">
        <f>SUM(H145:H159)</f>
        <v>-0.48782985074627189</v>
      </c>
      <c r="I160" s="47">
        <f t="shared" ref="I160:P160" si="115">SUM(I145:I159)</f>
        <v>2.4167665399239282</v>
      </c>
      <c r="J160" s="47">
        <f t="shared" si="115"/>
        <v>3.6165373975994553</v>
      </c>
      <c r="K160" s="47">
        <f t="shared" si="115"/>
        <v>7.4293645760403599</v>
      </c>
      <c r="L160" s="47">
        <f t="shared" si="115"/>
        <v>1.6046177114085154</v>
      </c>
      <c r="M160" s="47">
        <f t="shared" si="115"/>
        <v>9.7400689638523286</v>
      </c>
      <c r="N160" s="47">
        <f t="shared" si="115"/>
        <v>0.62527749206929772</v>
      </c>
      <c r="O160" s="47">
        <f t="shared" si="115"/>
        <v>4.0311904018190345</v>
      </c>
      <c r="P160" s="47">
        <f t="shared" si="115"/>
        <v>-7.8111253840265267</v>
      </c>
      <c r="Q160" s="47">
        <f>SUM(Q145:Q159)</f>
        <v>21.164867847940123</v>
      </c>
    </row>
    <row r="161" spans="6:17" x14ac:dyDescent="0.35">
      <c r="F161" s="45" t="s">
        <v>652</v>
      </c>
      <c r="G161" s="45"/>
      <c r="H161" s="45" t="str">
        <f>IF(H160&lt;0, "Punt", "")</f>
        <v>Punt</v>
      </c>
      <c r="I161" s="45" t="str">
        <f t="shared" ref="I161" si="116">IF(I160&lt;0, "Punt", "")</f>
        <v/>
      </c>
      <c r="J161" s="45" t="str">
        <f t="shared" ref="J161" si="117">IF(J160&lt;0, "Punt", "")</f>
        <v/>
      </c>
      <c r="K161" s="45" t="str">
        <f t="shared" ref="K161" si="118">IF(K160&lt;0, "Punt", "")</f>
        <v/>
      </c>
      <c r="L161" s="45" t="str">
        <f t="shared" ref="L161" si="119">IF(L160&lt;0, "Punt", "")</f>
        <v/>
      </c>
      <c r="M161" s="45" t="str">
        <f t="shared" ref="M161" si="120">IF(M160&lt;0, "Punt", "")</f>
        <v/>
      </c>
      <c r="N161" s="45" t="str">
        <f t="shared" ref="N161" si="121">IF(N160&lt;0, "Punt", "")</f>
        <v/>
      </c>
      <c r="O161" s="45" t="str">
        <f t="shared" ref="O161" si="122">IF(O160&lt;0, "Punt", "")</f>
        <v/>
      </c>
      <c r="P161" s="45" t="str">
        <f t="shared" ref="P161" si="123">IF(P160&lt;0, "Punt", "")</f>
        <v>Punt</v>
      </c>
      <c r="Q161" s="45" t="str">
        <f t="shared" ref="Q161" si="124">IF(Q160&lt;0, "Punt", "")</f>
        <v/>
      </c>
    </row>
    <row r="162" spans="6:17" x14ac:dyDescent="0.35">
      <c r="H162" s="14"/>
      <c r="I162" s="14"/>
      <c r="J162" s="14"/>
      <c r="K162" s="14"/>
      <c r="L162" s="14"/>
      <c r="M162" s="14"/>
      <c r="N162" s="14"/>
      <c r="O162" s="14"/>
      <c r="P162" s="14"/>
      <c r="Q162" s="14"/>
    </row>
    <row r="163" spans="6:17" x14ac:dyDescent="0.35">
      <c r="F163" s="48" t="str">
        <f>A11</f>
        <v>Team 10</v>
      </c>
      <c r="G163" s="48"/>
      <c r="H163" s="14"/>
      <c r="I163" s="14"/>
      <c r="J163" s="14"/>
      <c r="K163" s="14"/>
      <c r="L163" s="14"/>
      <c r="M163" s="14"/>
      <c r="N163" s="14"/>
      <c r="O163" s="14"/>
      <c r="P163" s="14"/>
      <c r="Q163" s="14"/>
    </row>
    <row r="164" spans="6:17" x14ac:dyDescent="0.35">
      <c r="F164" s="45" t="s">
        <v>662</v>
      </c>
      <c r="G164" s="26" t="s">
        <v>4</v>
      </c>
      <c r="H164" s="45" t="s">
        <v>631</v>
      </c>
      <c r="I164" s="45" t="s">
        <v>632</v>
      </c>
      <c r="J164" s="45" t="s">
        <v>540</v>
      </c>
      <c r="K164" s="45" t="s">
        <v>537</v>
      </c>
      <c r="L164" s="45" t="s">
        <v>541</v>
      </c>
      <c r="M164" s="45" t="s">
        <v>536</v>
      </c>
      <c r="N164" s="45" t="s">
        <v>538</v>
      </c>
      <c r="O164" s="45" t="s">
        <v>539</v>
      </c>
      <c r="P164" s="45" t="s">
        <v>542</v>
      </c>
      <c r="Q164" s="45" t="s">
        <v>633</v>
      </c>
    </row>
    <row r="165" spans="6:17" x14ac:dyDescent="0.35">
      <c r="F165" s="8" t="s">
        <v>174</v>
      </c>
      <c r="G165" s="8">
        <f>VLOOKUP(F165,Rankings!$D$2:$AE$300,5,0)</f>
        <v>33.6</v>
      </c>
      <c r="H165" s="14">
        <f>VLOOKUP(F165,Rankings!$D$2:$AE$300,17,0)</f>
        <v>0.51319029850746212</v>
      </c>
      <c r="I165" s="14">
        <f>VLOOKUP(F165,Rankings!$D$2:$AE$300,18,0)</f>
        <v>-5.2058555133082621E-2</v>
      </c>
      <c r="J165" s="14">
        <f>VLOOKUP(F165,Rankings!$D$2:$AE$300,19,0)</f>
        <v>0.33351574474364315</v>
      </c>
      <c r="K165" s="14">
        <f>VLOOKUP(F165,Rankings!$D$2:$AE$300,20,0)</f>
        <v>1.3037670090572351</v>
      </c>
      <c r="L165" s="14">
        <f>VLOOKUP(F165,Rankings!$D$2:$AE$300,21,0)</f>
        <v>0.34220602397677297</v>
      </c>
      <c r="M165" s="14">
        <f>VLOOKUP(F165,Rankings!$D$2:$AE$300,22,0)</f>
        <v>1.7008546586937949</v>
      </c>
      <c r="N165" s="14">
        <f>VLOOKUP(F165,Rankings!$D$2:$AE$300,23,0)</f>
        <v>0.31183915844888088</v>
      </c>
      <c r="O165" s="14">
        <f>VLOOKUP(F165,Rankings!$D$2:$AE$300,24,0)</f>
        <v>-7.2944039363743871E-2</v>
      </c>
      <c r="P165" s="14">
        <f>VLOOKUP(F165,Rankings!$D$2:$AE$300,25,0)</f>
        <v>-1.2776867090509234</v>
      </c>
      <c r="Q165" s="14">
        <f>VLOOKUP(F165,Rankings!$D$2:$AE$300,26,0)</f>
        <v>3.1026835898800393</v>
      </c>
    </row>
    <row r="166" spans="6:17" x14ac:dyDescent="0.35">
      <c r="F166" s="8" t="s">
        <v>400</v>
      </c>
      <c r="G166" s="8">
        <f>VLOOKUP(F166,Rankings!$D$2:$AE$300,5,0)</f>
        <v>34.6</v>
      </c>
      <c r="H166" s="14">
        <f>VLOOKUP(F166,Rankings!$D$2:$AE$300,17,0)</f>
        <v>0.32403022388059588</v>
      </c>
      <c r="I166" s="14">
        <f>VLOOKUP(F166,Rankings!$D$2:$AE$300,18,0)</f>
        <v>0.45312091254752679</v>
      </c>
      <c r="J166" s="14">
        <f>VLOOKUP(F166,Rankings!$D$2:$AE$300,19,0)</f>
        <v>2.0800648631942678</v>
      </c>
      <c r="K166" s="14">
        <f>VLOOKUP(F166,Rankings!$D$2:$AE$300,20,0)</f>
        <v>2.2637273325903813</v>
      </c>
      <c r="L166" s="14">
        <f>VLOOKUP(F166,Rankings!$D$2:$AE$300,21,0)</f>
        <v>0.88764230348435413</v>
      </c>
      <c r="M166" s="14">
        <f>VLOOKUP(F166,Rankings!$D$2:$AE$300,22,0)</f>
        <v>0.48323245405137316</v>
      </c>
      <c r="N166" s="14">
        <f>VLOOKUP(F166,Rankings!$D$2:$AE$300,23,0)</f>
        <v>0.31183915844888088</v>
      </c>
      <c r="O166" s="14">
        <f>VLOOKUP(F166,Rankings!$D$2:$AE$300,24,0)</f>
        <v>0.4803296176971123</v>
      </c>
      <c r="P166" s="14">
        <f>VLOOKUP(F166,Rankings!$D$2:$AE$300,25,0)</f>
        <v>-0.85869614554447204</v>
      </c>
      <c r="Q166" s="14">
        <f>VLOOKUP(F166,Rankings!$D$2:$AE$300,26,0)</f>
        <v>6.42529072035002</v>
      </c>
    </row>
    <row r="167" spans="6:17" x14ac:dyDescent="0.35">
      <c r="F167" s="8" t="s">
        <v>105</v>
      </c>
      <c r="G167" s="8">
        <f>VLOOKUP(F167,Rankings!$D$2:$AE$300,5,0)</f>
        <v>29</v>
      </c>
      <c r="H167" s="14">
        <f>VLOOKUP(F167,Rankings!$D$2:$AE$300,17,0)</f>
        <v>-0.21487761194029886</v>
      </c>
      <c r="I167" s="14">
        <f>VLOOKUP(F167,Rankings!$D$2:$AE$300,18,0)</f>
        <v>0.80576121673003587</v>
      </c>
      <c r="J167" s="14">
        <f>VLOOKUP(F167,Rankings!$D$2:$AE$300,19,0)</f>
        <v>-1.5157715571452535</v>
      </c>
      <c r="K167" s="14">
        <f>VLOOKUP(F167,Rankings!$D$2:$AE$300,20,0)</f>
        <v>0.48780073405406121</v>
      </c>
      <c r="L167" s="14">
        <f>VLOOKUP(F167,Rankings!$D$2:$AE$300,21,0)</f>
        <v>0.26428655547568985</v>
      </c>
      <c r="M167" s="14">
        <f>VLOOKUP(F167,Rankings!$D$2:$AE$300,22,0)</f>
        <v>1.2138057768368262</v>
      </c>
      <c r="N167" s="14">
        <f>VLOOKUP(F167,Rankings!$D$2:$AE$300,23,0)</f>
        <v>2.8833128342734962</v>
      </c>
      <c r="O167" s="14">
        <f>VLOOKUP(F167,Rankings!$D$2:$AE$300,24,0)</f>
        <v>0.29590506534349342</v>
      </c>
      <c r="P167" s="14">
        <f>VLOOKUP(F167,Rankings!$D$2:$AE$300,25,0)</f>
        <v>-0.23021030028479489</v>
      </c>
      <c r="Q167" s="14">
        <f>VLOOKUP(F167,Rankings!$D$2:$AE$300,26,0)</f>
        <v>3.9900127133432557</v>
      </c>
    </row>
    <row r="168" spans="6:17" x14ac:dyDescent="0.35">
      <c r="F168" s="8" t="s">
        <v>417</v>
      </c>
      <c r="G168" s="8">
        <f>VLOOKUP(F168,Rankings!$D$2:$AE$300,5,0)</f>
        <v>35.799999999999997</v>
      </c>
      <c r="H168" s="14">
        <f>VLOOKUP(F168,Rankings!$D$2:$AE$300,17,0)</f>
        <v>-0.13472052238806004</v>
      </c>
      <c r="I168" s="14">
        <f>VLOOKUP(F168,Rankings!$D$2:$AE$300,18,0)</f>
        <v>0.12070722433459959</v>
      </c>
      <c r="J168" s="14">
        <f>VLOOKUP(F168,Rankings!$D$2:$AE$300,19,0)</f>
        <v>2.0800648631942678</v>
      </c>
      <c r="K168" s="14">
        <f>VLOOKUP(F168,Rankings!$D$2:$AE$300,20,0)</f>
        <v>1.3037670090572351</v>
      </c>
      <c r="L168" s="14">
        <f>VLOOKUP(F168,Rankings!$D$2:$AE$300,21,0)</f>
        <v>-0.1253107870297254</v>
      </c>
      <c r="M168" s="14">
        <f>VLOOKUP(F168,Rankings!$D$2:$AE$300,22,0)</f>
        <v>1.4573302177653107</v>
      </c>
      <c r="N168" s="14">
        <f>VLOOKUP(F168,Rankings!$D$2:$AE$300,23,0)</f>
        <v>0.95470757740503476</v>
      </c>
      <c r="O168" s="14">
        <f>VLOOKUP(F168,Rankings!$D$2:$AE$300,24,0)</f>
        <v>0.11148051298987478</v>
      </c>
      <c r="P168" s="14">
        <f>VLOOKUP(F168,Rankings!$D$2:$AE$300,25,0)</f>
        <v>-2.0715018531569193E-2</v>
      </c>
      <c r="Q168" s="14">
        <f>VLOOKUP(F168,Rankings!$D$2:$AE$300,26,0)</f>
        <v>5.7473110767969686</v>
      </c>
    </row>
    <row r="169" spans="6:17" x14ac:dyDescent="0.35">
      <c r="F169" s="8" t="s">
        <v>364</v>
      </c>
      <c r="G169" s="8">
        <f>VLOOKUP(F169,Rankings!$D$2:$AE$300,5,0)</f>
        <v>37.1</v>
      </c>
      <c r="H169" s="14">
        <f>VLOOKUP(F169,Rankings!$D$2:$AE$300,17,0)</f>
        <v>0.56340298507462627</v>
      </c>
      <c r="I169" s="14">
        <f>VLOOKUP(F169,Rankings!$D$2:$AE$300,18,0)</f>
        <v>7.7134980988590118E-2</v>
      </c>
      <c r="J169" s="14">
        <f>VLOOKUP(F169,Rankings!$D$2:$AE$300,19,0)</f>
        <v>-0.18017517244771702</v>
      </c>
      <c r="K169" s="14">
        <f>VLOOKUP(F169,Rankings!$D$2:$AE$300,20,0)</f>
        <v>1.4957590737638649</v>
      </c>
      <c r="L169" s="14">
        <f>VLOOKUP(F169,Rankings!$D$2:$AE$300,21,0)</f>
        <v>2.4849914077565565</v>
      </c>
      <c r="M169" s="14">
        <f>VLOOKUP(F169,Rankings!$D$2:$AE$300,22,0)</f>
        <v>1.9930839878079765</v>
      </c>
      <c r="N169" s="14">
        <f>VLOOKUP(F169,Rankings!$D$2:$AE$300,23,0)</f>
        <v>-0.75960820647804206</v>
      </c>
      <c r="O169" s="14">
        <f>VLOOKUP(F169,Rankings!$D$2:$AE$300,24,0)</f>
        <v>-0.4417931440709813</v>
      </c>
      <c r="P169" s="14">
        <f>VLOOKUP(F169,Rankings!$D$2:$AE$300,25,0)</f>
        <v>-2.9536489630767297</v>
      </c>
      <c r="Q169" s="14">
        <f>VLOOKUP(F169,Rankings!$D$2:$AE$300,26,0)</f>
        <v>2.279146949318144</v>
      </c>
    </row>
    <row r="170" spans="6:17" x14ac:dyDescent="0.35">
      <c r="F170" s="8" t="s">
        <v>127</v>
      </c>
      <c r="G170" s="8">
        <f>VLOOKUP(F170,Rankings!$D$2:$AE$300,5,0)</f>
        <v>30.8</v>
      </c>
      <c r="H170" s="14">
        <f>VLOOKUP(F170,Rankings!$D$2:$AE$300,17,0)</f>
        <v>-0.64348134328358242</v>
      </c>
      <c r="I170" s="14">
        <f>VLOOKUP(F170,Rankings!$D$2:$AE$300,18,0)</f>
        <v>8.9493536121672615E-2</v>
      </c>
      <c r="J170" s="14">
        <f>VLOOKUP(F170,Rankings!$D$2:$AE$300,19,0)</f>
        <v>2.5301194428826994E-2</v>
      </c>
      <c r="K170" s="14">
        <f>VLOOKUP(F170,Rankings!$D$2:$AE$300,20,0)</f>
        <v>-0.98413842869676305</v>
      </c>
      <c r="L170" s="14">
        <f>VLOOKUP(F170,Rankings!$D$2:$AE$300,21,0)</f>
        <v>0.45908522672839747</v>
      </c>
      <c r="M170" s="14">
        <f>VLOOKUP(F170,Rankings!$D$2:$AE$300,22,0)</f>
        <v>-0.4421604214768674</v>
      </c>
      <c r="N170" s="14">
        <f>VLOOKUP(F170,Rankings!$D$2:$AE$300,23,0)</f>
        <v>1.3832865233758038</v>
      </c>
      <c r="O170" s="14">
        <f>VLOOKUP(F170,Rankings!$D$2:$AE$300,24,0)</f>
        <v>-7.2944039363743871E-2</v>
      </c>
      <c r="P170" s="14">
        <f>VLOOKUP(F170,Rankings!$D$2:$AE$300,25,0)</f>
        <v>0.50302318585149519</v>
      </c>
      <c r="Q170" s="14">
        <f>VLOOKUP(F170,Rankings!$D$2:$AE$300,26,0)</f>
        <v>0.31746543368523933</v>
      </c>
    </row>
    <row r="171" spans="6:17" x14ac:dyDescent="0.35">
      <c r="F171" s="8" t="s">
        <v>245</v>
      </c>
      <c r="G171" s="8">
        <f>VLOOKUP(F171,Rankings!$D$2:$AE$300,5,0)</f>
        <v>32.1</v>
      </c>
      <c r="H171" s="14">
        <f>VLOOKUP(F171,Rankings!$D$2:$AE$300,17,0)</f>
        <v>-0.1406604477611943</v>
      </c>
      <c r="I171" s="14">
        <f>VLOOKUP(F171,Rankings!$D$2:$AE$300,18,0)</f>
        <v>0.18868745247148125</v>
      </c>
      <c r="J171" s="14">
        <f>VLOOKUP(F171,Rankings!$D$2:$AE$300,19,0)</f>
        <v>-0.28291335588598915</v>
      </c>
      <c r="K171" s="14">
        <f>VLOOKUP(F171,Rankings!$D$2:$AE$300,20,0)</f>
        <v>0.11981594336635509</v>
      </c>
      <c r="L171" s="14">
        <f>VLOOKUP(F171,Rankings!$D$2:$AE$300,21,0)</f>
        <v>1.0045215062359789</v>
      </c>
      <c r="M171" s="14">
        <f>VLOOKUP(F171,Rankings!$D$2:$AE$300,22,0)</f>
        <v>-0.19863598054838305</v>
      </c>
      <c r="N171" s="14">
        <f>VLOOKUP(F171,Rankings!$D$2:$AE$300,23,0)</f>
        <v>0.95470757740503476</v>
      </c>
      <c r="O171" s="14">
        <f>VLOOKUP(F171,Rankings!$D$2:$AE$300,24,0)</f>
        <v>0.29590506534349342</v>
      </c>
      <c r="P171" s="14">
        <f>VLOOKUP(F171,Rankings!$D$2:$AE$300,25,0)</f>
        <v>-2.0715018531569193E-2</v>
      </c>
      <c r="Q171" s="14">
        <f>VLOOKUP(F171,Rankings!$D$2:$AE$300,26,0)</f>
        <v>1.9207127420952077</v>
      </c>
    </row>
    <row r="172" spans="6:17" x14ac:dyDescent="0.35">
      <c r="F172" s="8" t="s">
        <v>179</v>
      </c>
      <c r="G172" s="8">
        <f>VLOOKUP(F172,Rankings!$D$2:$AE$300,5,0)</f>
        <v>32.5</v>
      </c>
      <c r="H172" s="14">
        <f>VLOOKUP(F172,Rankings!$D$2:$AE$300,17,0)</f>
        <v>-2.0470052238805976</v>
      </c>
      <c r="I172" s="14">
        <f>VLOOKUP(F172,Rankings!$D$2:$AE$300,18,0)</f>
        <v>0.12002737642585427</v>
      </c>
      <c r="J172" s="14">
        <f>VLOOKUP(F172,Rankings!$D$2:$AE$300,19,0)</f>
        <v>0.84720666193500305</v>
      </c>
      <c r="K172" s="14">
        <f>VLOOKUP(F172,Rankings!$D$2:$AE$300,20,0)</f>
        <v>-0.18417149241914127</v>
      </c>
      <c r="L172" s="14">
        <f>VLOOKUP(F172,Rankings!$D$2:$AE$300,21,0)</f>
        <v>-0.51490812953514065</v>
      </c>
      <c r="M172" s="14">
        <f>VLOOKUP(F172,Rankings!$D$2:$AE$300,22,0)</f>
        <v>1.7982644350651888</v>
      </c>
      <c r="N172" s="14">
        <f>VLOOKUP(F172,Rankings!$D$2:$AE$300,23,0)</f>
        <v>1.3832865233758038</v>
      </c>
      <c r="O172" s="14">
        <f>VLOOKUP(F172,Rankings!$D$2:$AE$300,24,0)</f>
        <v>-0.99506680113183732</v>
      </c>
      <c r="P172" s="14">
        <f>VLOOKUP(F172,Rankings!$D$2:$AE$300,25,0)</f>
        <v>0.50302318585149519</v>
      </c>
      <c r="Q172" s="14">
        <f>VLOOKUP(F172,Rankings!$D$2:$AE$300,26,0)</f>
        <v>0.91065653568662841</v>
      </c>
    </row>
    <row r="173" spans="6:17" x14ac:dyDescent="0.35">
      <c r="F173" s="8" t="s">
        <v>460</v>
      </c>
      <c r="G173" s="8">
        <f>VLOOKUP(F173,Rankings!$D$2:$AE$300,5,0)</f>
        <v>27.8</v>
      </c>
      <c r="H173" s="14">
        <f>VLOOKUP(F173,Rankings!$D$2:$AE$300,17,0)</f>
        <v>-0.33997947761194069</v>
      </c>
      <c r="I173" s="14">
        <f>VLOOKUP(F173,Rankings!$D$2:$AE$300,18,0)</f>
        <v>-0.1867057034220552</v>
      </c>
      <c r="J173" s="14">
        <f>VLOOKUP(F173,Rankings!$D$2:$AE$300,19,0)</f>
        <v>-0.28291335588598915</v>
      </c>
      <c r="K173" s="14">
        <f>VLOOKUP(F173,Rankings!$D$2:$AE$300,20,0)</f>
        <v>-0.13617347624248383</v>
      </c>
      <c r="L173" s="14">
        <f>VLOOKUP(F173,Rankings!$D$2:$AE$300,21,0)</f>
        <v>0.49804496097893886</v>
      </c>
      <c r="M173" s="14">
        <f>VLOOKUP(F173,Rankings!$D$2:$AE$300,22,0)</f>
        <v>-5.252131599129229E-2</v>
      </c>
      <c r="N173" s="14">
        <f>VLOOKUP(F173,Rankings!$D$2:$AE$300,23,0)</f>
        <v>0.31183915844888088</v>
      </c>
      <c r="O173" s="14">
        <f>VLOOKUP(F173,Rankings!$D$2:$AE$300,24,0)</f>
        <v>1.771301484172443</v>
      </c>
      <c r="P173" s="14">
        <f>VLOOKUP(F173,Rankings!$D$2:$AE$300,25,0)</f>
        <v>-0.33495794116140765</v>
      </c>
      <c r="Q173" s="14">
        <f>VLOOKUP(F173,Rankings!$D$2:$AE$300,26,0)</f>
        <v>1.2479343332850941</v>
      </c>
    </row>
    <row r="174" spans="6:17" x14ac:dyDescent="0.35">
      <c r="F174" s="8" t="s">
        <v>92</v>
      </c>
      <c r="G174" s="8">
        <f>VLOOKUP(F174,Rankings!$D$2:$AE$300,5,0)</f>
        <v>32.700000000000003</v>
      </c>
      <c r="H174" s="14">
        <f>VLOOKUP(F174,Rankings!$D$2:$AE$300,17,0)</f>
        <v>0.46569067164179079</v>
      </c>
      <c r="I174" s="14">
        <f>VLOOKUP(F174,Rankings!$D$2:$AE$300,18,0)</f>
        <v>0.29248060836501782</v>
      </c>
      <c r="J174" s="14">
        <f>VLOOKUP(F174,Rankings!$D$2:$AE$300,19,0)</f>
        <v>1.1554212122498193</v>
      </c>
      <c r="K174" s="14">
        <f>VLOOKUP(F174,Rankings!$D$2:$AE$300,20,0)</f>
        <v>0.37580536297519401</v>
      </c>
      <c r="L174" s="14">
        <f>VLOOKUP(F174,Rankings!$D$2:$AE$300,21,0)</f>
        <v>0.22532682122514847</v>
      </c>
      <c r="M174" s="14">
        <f>VLOOKUP(F174,Rankings!$D$2:$AE$300,22,0)</f>
        <v>-0.73438975059104861</v>
      </c>
      <c r="N174" s="14">
        <f>VLOOKUP(F174,Rankings!$D$2:$AE$300,23,0)</f>
        <v>-0.75960820647804206</v>
      </c>
      <c r="O174" s="14">
        <f>VLOOKUP(F174,Rankings!$D$2:$AE$300,24,0)</f>
        <v>1.218027827111587</v>
      </c>
      <c r="P174" s="14">
        <f>VLOOKUP(F174,Rankings!$D$2:$AE$300,25,0)</f>
        <v>1.3410043128643983</v>
      </c>
      <c r="Q174" s="14">
        <f>VLOOKUP(F174,Rankings!$D$2:$AE$300,26,0)</f>
        <v>3.5797588593638654</v>
      </c>
    </row>
    <row r="175" spans="6:17" x14ac:dyDescent="0.35">
      <c r="F175" s="8" t="s">
        <v>378</v>
      </c>
      <c r="G175" s="8">
        <f>VLOOKUP(F175,Rankings!$D$2:$AE$300,5,0)</f>
        <v>32.1</v>
      </c>
      <c r="H175" s="14">
        <f>VLOOKUP(F175,Rankings!$D$2:$AE$300,17,0)</f>
        <v>0.12897761194029844</v>
      </c>
      <c r="I175" s="14">
        <f>VLOOKUP(F175,Rankings!$D$2:$AE$300,18,0)</f>
        <v>3.9467680608363143E-2</v>
      </c>
      <c r="J175" s="14">
        <f>VLOOKUP(F175,Rankings!$D$2:$AE$300,19,0)</f>
        <v>1.9773266797559954</v>
      </c>
      <c r="K175" s="14">
        <f>VLOOKUP(F175,Rankings!$D$2:$AE$300,20,0)</f>
        <v>1.0797762668995012</v>
      </c>
      <c r="L175" s="14">
        <f>VLOOKUP(F175,Rankings!$D$2:$AE$300,21,0)</f>
        <v>-0.51490812953514065</v>
      </c>
      <c r="M175" s="14">
        <f>VLOOKUP(F175,Rankings!$D$2:$AE$300,22,0)</f>
        <v>-3.8164278055955883E-3</v>
      </c>
      <c r="N175" s="14">
        <f>VLOOKUP(F175,Rankings!$D$2:$AE$300,23,0)</f>
        <v>1.3832865233758038</v>
      </c>
      <c r="O175" s="14">
        <f>VLOOKUP(F175,Rankings!$D$2:$AE$300,24,0)</f>
        <v>-7.2944039363743871E-2</v>
      </c>
      <c r="P175" s="14">
        <f>VLOOKUP(F175,Rankings!$D$2:$AE$300,25,0)</f>
        <v>-0.43970558203802057</v>
      </c>
      <c r="Q175" s="14">
        <f>VLOOKUP(F175,Rankings!$D$2:$AE$300,26,0)</f>
        <v>3.5774605838374622</v>
      </c>
    </row>
    <row r="176" spans="6:17" x14ac:dyDescent="0.35">
      <c r="F176" s="8" t="s">
        <v>97</v>
      </c>
      <c r="G176" s="8">
        <f>VLOOKUP(F176,Rankings!$D$2:$AE$300,5,0)</f>
        <v>34.6</v>
      </c>
      <c r="H176" s="14">
        <f>VLOOKUP(F176,Rankings!$D$2:$AE$300,17,0)</f>
        <v>1.5320623134328359</v>
      </c>
      <c r="I176" s="14">
        <f>VLOOKUP(F176,Rankings!$D$2:$AE$300,18,0)</f>
        <v>1.6627756653990355E-2</v>
      </c>
      <c r="J176" s="14">
        <f>VLOOKUP(F176,Rankings!$D$2:$AE$300,19,0)</f>
        <v>0.94994484537327517</v>
      </c>
      <c r="K176" s="14">
        <f>VLOOKUP(F176,Rankings!$D$2:$AE$300,20,0)</f>
        <v>2.1677313002370671</v>
      </c>
      <c r="L176" s="14">
        <f>VLOOKUP(F176,Rankings!$D$2:$AE$300,21,0)</f>
        <v>0.53700469522948058</v>
      </c>
      <c r="M176" s="14">
        <f>VLOOKUP(F176,Rankings!$D$2:$AE$300,22,0)</f>
        <v>0.33711778949428262</v>
      </c>
      <c r="N176" s="14">
        <f>VLOOKUP(F176,Rankings!$D$2:$AE$300,23,0)</f>
        <v>1.8118654693465728</v>
      </c>
      <c r="O176" s="14">
        <f>VLOOKUP(F176,Rankings!$D$2:$AE$300,24,0)</f>
        <v>0.29590506534349342</v>
      </c>
      <c r="P176" s="14">
        <f>VLOOKUP(F176,Rankings!$D$2:$AE$300,25,0)</f>
        <v>-1.3824343499275364</v>
      </c>
      <c r="Q176" s="14">
        <f>VLOOKUP(F176,Rankings!$D$2:$AE$300,26,0)</f>
        <v>6.2658248851834619</v>
      </c>
    </row>
    <row r="177" spans="6:17" x14ac:dyDescent="0.35">
      <c r="F177" s="8"/>
      <c r="G177" s="8"/>
      <c r="H177" s="14"/>
      <c r="I177" s="14"/>
      <c r="J177" s="14"/>
      <c r="K177" s="14"/>
      <c r="L177" s="14"/>
      <c r="M177" s="14"/>
      <c r="N177" s="14"/>
      <c r="O177" s="14"/>
      <c r="P177" s="14"/>
      <c r="Q177" s="14"/>
    </row>
    <row r="178" spans="6:17" x14ac:dyDescent="0.35">
      <c r="F178" s="49" t="s">
        <v>663</v>
      </c>
      <c r="G178" s="49"/>
      <c r="H178" s="47">
        <f t="shared" ref="H178:Q178" si="125">SUM(H163:H177)</f>
        <v>6.6294776119355525E-3</v>
      </c>
      <c r="I178" s="47">
        <f t="shared" si="125"/>
        <v>1.9647444866919941</v>
      </c>
      <c r="J178" s="47">
        <f t="shared" si="125"/>
        <v>7.187072623510149</v>
      </c>
      <c r="K178" s="47">
        <f t="shared" si="125"/>
        <v>9.2934666346425061</v>
      </c>
      <c r="L178" s="47">
        <f t="shared" si="125"/>
        <v>5.5479824549913106</v>
      </c>
      <c r="M178" s="47">
        <f t="shared" si="125"/>
        <v>7.5521654233015649</v>
      </c>
      <c r="N178" s="47">
        <f t="shared" si="125"/>
        <v>10.17075409094811</v>
      </c>
      <c r="O178" s="47">
        <f t="shared" si="125"/>
        <v>2.8131625747074471</v>
      </c>
      <c r="P178" s="47">
        <f t="shared" si="125"/>
        <v>-5.1717193435796354</v>
      </c>
      <c r="Q178" s="47">
        <f t="shared" si="125"/>
        <v>39.364258422825387</v>
      </c>
    </row>
    <row r="179" spans="6:17" x14ac:dyDescent="0.35">
      <c r="F179" s="45" t="s">
        <v>652</v>
      </c>
      <c r="G179" s="45"/>
      <c r="H179" s="45" t="str">
        <f>IF(H178&lt;0, "Punt", "")</f>
        <v/>
      </c>
      <c r="I179" s="45" t="str">
        <f t="shared" ref="I179" si="126">IF(I178&lt;0, "Punt", "")</f>
        <v/>
      </c>
      <c r="J179" s="45" t="str">
        <f t="shared" ref="J179" si="127">IF(J178&lt;0, "Punt", "")</f>
        <v/>
      </c>
      <c r="K179" s="45" t="str">
        <f t="shared" ref="K179" si="128">IF(K178&lt;0, "Punt", "")</f>
        <v/>
      </c>
      <c r="L179" s="45" t="str">
        <f t="shared" ref="L179" si="129">IF(L178&lt;0, "Punt", "")</f>
        <v/>
      </c>
      <c r="M179" s="45" t="str">
        <f t="shared" ref="M179" si="130">IF(M178&lt;0, "Punt", "")</f>
        <v/>
      </c>
      <c r="N179" s="45" t="str">
        <f t="shared" ref="N179" si="131">IF(N178&lt;0, "Punt", "")</f>
        <v/>
      </c>
      <c r="O179" s="45" t="str">
        <f t="shared" ref="O179" si="132">IF(O178&lt;0, "Punt", "")</f>
        <v/>
      </c>
      <c r="P179" s="45" t="str">
        <f t="shared" ref="P179" si="133">IF(P178&lt;0, "Punt", "")</f>
        <v>Punt</v>
      </c>
      <c r="Q179" s="45" t="str">
        <f t="shared" ref="Q179" si="134">IF(Q178&lt;0, "Punt", "")</f>
        <v/>
      </c>
    </row>
    <row r="180" spans="6:17" x14ac:dyDescent="0.35">
      <c r="H180" s="14"/>
      <c r="I180" s="14"/>
      <c r="J180" s="14"/>
      <c r="K180" s="14"/>
      <c r="L180" s="14"/>
      <c r="M180" s="14"/>
      <c r="N180" s="14"/>
      <c r="O180" s="14"/>
      <c r="P180" s="14"/>
      <c r="Q180" s="14"/>
    </row>
    <row r="181" spans="6:17" x14ac:dyDescent="0.35">
      <c r="F181" s="48" t="str">
        <f>A12</f>
        <v>Team 11</v>
      </c>
      <c r="G181" s="48"/>
      <c r="H181" s="14"/>
      <c r="I181" s="14"/>
      <c r="J181" s="14"/>
      <c r="K181" s="14"/>
      <c r="L181" s="14"/>
      <c r="M181" s="14"/>
      <c r="N181" s="14"/>
      <c r="O181" s="14"/>
      <c r="P181" s="14"/>
      <c r="Q181" s="14"/>
    </row>
    <row r="182" spans="6:17" x14ac:dyDescent="0.35">
      <c r="F182" s="45" t="s">
        <v>662</v>
      </c>
      <c r="G182" s="26" t="s">
        <v>4</v>
      </c>
      <c r="H182" s="45" t="s">
        <v>631</v>
      </c>
      <c r="I182" s="45" t="s">
        <v>632</v>
      </c>
      <c r="J182" s="45" t="s">
        <v>540</v>
      </c>
      <c r="K182" s="45" t="s">
        <v>537</v>
      </c>
      <c r="L182" s="45" t="s">
        <v>541</v>
      </c>
      <c r="M182" s="45" t="s">
        <v>536</v>
      </c>
      <c r="N182" s="45" t="s">
        <v>538</v>
      </c>
      <c r="O182" s="45" t="s">
        <v>539</v>
      </c>
      <c r="P182" s="45" t="s">
        <v>542</v>
      </c>
      <c r="Q182" s="45" t="s">
        <v>633</v>
      </c>
    </row>
    <row r="183" spans="6:17" x14ac:dyDescent="0.35">
      <c r="F183" s="8" t="s">
        <v>445</v>
      </c>
      <c r="G183" s="8">
        <f>VLOOKUP(F183,Rankings!$D$2:$AE$300,5,0)</f>
        <v>33</v>
      </c>
      <c r="H183" s="14">
        <f>VLOOKUP(F183,Rankings!$D$2:$AE$300,17,0)</f>
        <v>-0.74022052238806058</v>
      </c>
      <c r="I183" s="14">
        <f>VLOOKUP(F183,Rankings!$D$2:$AE$300,18,0)</f>
        <v>1.1470825095056987</v>
      </c>
      <c r="J183" s="14">
        <f>VLOOKUP(F183,Rankings!$D$2:$AE$300,19,0)</f>
        <v>0.230777561305371</v>
      </c>
      <c r="K183" s="14">
        <f>VLOOKUP(F183,Rankings!$D$2:$AE$300,20,0)</f>
        <v>1.9277412193537804</v>
      </c>
      <c r="L183" s="14">
        <f>VLOOKUP(F183,Rankings!$D$2:$AE$300,21,0)</f>
        <v>-0.35906919253297459</v>
      </c>
      <c r="M183" s="14">
        <f>VLOOKUP(F183,Rankings!$D$2:$AE$300,22,0)</f>
        <v>2.7723621987791263</v>
      </c>
      <c r="N183" s="14">
        <f>VLOOKUP(F183,Rankings!$D$2:$AE$300,23,0)</f>
        <v>-0.75960820647804206</v>
      </c>
      <c r="O183" s="14">
        <f>VLOOKUP(F183,Rankings!$D$2:$AE$300,24,0)</f>
        <v>-0.81064224877821867</v>
      </c>
      <c r="P183" s="14">
        <f>VLOOKUP(F183,Rankings!$D$2:$AE$300,25,0)</f>
        <v>-2.848901322200116</v>
      </c>
      <c r="Q183" s="14">
        <f>VLOOKUP(F183,Rankings!$D$2:$AE$300,26,0)</f>
        <v>0.55952199656656409</v>
      </c>
    </row>
    <row r="184" spans="6:17" x14ac:dyDescent="0.35">
      <c r="F184" s="8" t="s">
        <v>601</v>
      </c>
      <c r="G184" s="8">
        <f>VLOOKUP(F184,Rankings!$D$2:$AE$300,5,0)</f>
        <v>34</v>
      </c>
      <c r="H184" s="14">
        <f>VLOOKUP(F184,Rankings!$D$2:$AE$300,17,0)</f>
        <v>-0.15808246268656756</v>
      </c>
      <c r="I184" s="14">
        <f>VLOOKUP(F184,Rankings!$D$2:$AE$300,18,0)</f>
        <v>0.17085551330798082</v>
      </c>
      <c r="J184" s="14">
        <f>VLOOKUP(F184,Rankings!$D$2:$AE$300,19,0)</f>
        <v>0.12803937786709912</v>
      </c>
      <c r="K184" s="14">
        <f>VLOOKUP(F184,Rankings!$D$2:$AE$300,20,0)</f>
        <v>2.2157293164137246</v>
      </c>
      <c r="L184" s="14">
        <f>VLOOKUP(F184,Rankings!$D$2:$AE$300,21,0)</f>
        <v>1.6668369884951846</v>
      </c>
      <c r="M184" s="14">
        <f>VLOOKUP(F184,Rankings!$D$2:$AE$300,22,0)</f>
        <v>2.674952422407733</v>
      </c>
      <c r="N184" s="14">
        <f>VLOOKUP(F184,Rankings!$D$2:$AE$300,23,0)</f>
        <v>0.52612863143426558</v>
      </c>
      <c r="O184" s="14">
        <f>VLOOKUP(F184,Rankings!$D$2:$AE$300,24,0)</f>
        <v>0.11148051298987478</v>
      </c>
      <c r="P184" s="14">
        <f>VLOOKUP(F184,Rankings!$D$2:$AE$300,25,0)</f>
        <v>-3.0583966039533421</v>
      </c>
      <c r="Q184" s="14">
        <f>VLOOKUP(F184,Rankings!$D$2:$AE$300,26,0)</f>
        <v>4.2775436962759521</v>
      </c>
    </row>
    <row r="185" spans="6:17" x14ac:dyDescent="0.35">
      <c r="F185" s="8" t="s">
        <v>667</v>
      </c>
      <c r="G185" s="8">
        <f>VLOOKUP(F185,Rankings!$D$2:$AE$300,5,0)</f>
        <v>25.3</v>
      </c>
      <c r="H185" s="14">
        <f>VLOOKUP(F185,Rankings!$D$2:$AE$300,17,0)</f>
        <v>-0.50366044776119456</v>
      </c>
      <c r="I185" s="14">
        <f>VLOOKUP(F185,Rankings!$D$2:$AE$300,18,0)</f>
        <v>-9.920608365019129E-2</v>
      </c>
      <c r="J185" s="14">
        <f>VLOOKUP(F185,Rankings!$D$2:$AE$300,19,0)</f>
        <v>0.12803937786709912</v>
      </c>
      <c r="K185" s="14">
        <f>VLOOKUP(F185,Rankings!$D$2:$AE$300,20,0)</f>
        <v>-5.617678261472165E-2</v>
      </c>
      <c r="L185" s="14">
        <f>VLOOKUP(F185,Rankings!$D$2:$AE$300,21,0)</f>
        <v>0.8486825692338128</v>
      </c>
      <c r="M185" s="14">
        <f>VLOOKUP(F185,Rankings!$D$2:$AE$300,22,0)</f>
        <v>1.5547399941367044</v>
      </c>
      <c r="N185" s="14">
        <f>VLOOKUP(F185,Rankings!$D$2:$AE$300,23,0)</f>
        <v>1.5975759963611886</v>
      </c>
      <c r="O185" s="14">
        <f>VLOOKUP(F185,Rankings!$D$2:$AE$300,24,0)</f>
        <v>-0.25736859171736254</v>
      </c>
      <c r="P185" s="14">
        <f>VLOOKUP(F185,Rankings!$D$2:$AE$300,25,0)</f>
        <v>-0.43970558203802057</v>
      </c>
      <c r="Q185" s="14">
        <f>VLOOKUP(F185,Rankings!$D$2:$AE$300,26,0)</f>
        <v>2.7729204498173141</v>
      </c>
    </row>
    <row r="186" spans="6:17" x14ac:dyDescent="0.35">
      <c r="F186" s="8" t="s">
        <v>374</v>
      </c>
      <c r="G186" s="8">
        <f>VLOOKUP(F186,Rankings!$D$2:$AE$300,5,0)</f>
        <v>30.1</v>
      </c>
      <c r="H186" s="14">
        <f>VLOOKUP(F186,Rankings!$D$2:$AE$300,17,0)</f>
        <v>1.3392761194029852</v>
      </c>
      <c r="I186" s="14">
        <f>VLOOKUP(F186,Rankings!$D$2:$AE$300,18,0)</f>
        <v>-0.43819961977186389</v>
      </c>
      <c r="J186" s="14">
        <f>VLOOKUP(F186,Rankings!$D$2:$AE$300,19,0)</f>
        <v>-1.5157715571452535</v>
      </c>
      <c r="K186" s="14">
        <f>VLOOKUP(F186,Rankings!$D$2:$AE$300,20,0)</f>
        <v>-0.61615363800905687</v>
      </c>
      <c r="L186" s="14">
        <f>VLOOKUP(F186,Rankings!$D$2:$AE$300,21,0)</f>
        <v>1.2772396459897695</v>
      </c>
      <c r="M186" s="14">
        <f>VLOOKUP(F186,Rankings!$D$2:$AE$300,22,0)</f>
        <v>-1.1240288560766236</v>
      </c>
      <c r="N186" s="14">
        <f>VLOOKUP(F186,Rankings!$D$2:$AE$300,23,0)</f>
        <v>1.3832865233758038</v>
      </c>
      <c r="O186" s="14">
        <f>VLOOKUP(F186,Rankings!$D$2:$AE$300,24,0)</f>
        <v>2.5089996935869174</v>
      </c>
      <c r="P186" s="14">
        <f>VLOOKUP(F186,Rankings!$D$2:$AE$300,25,0)</f>
        <v>0.81726610848133385</v>
      </c>
      <c r="Q186" s="14">
        <f>VLOOKUP(F186,Rankings!$D$2:$AE$300,26,0)</f>
        <v>3.6319144198340116</v>
      </c>
    </row>
    <row r="187" spans="6:17" x14ac:dyDescent="0.35">
      <c r="F187" s="8" t="s">
        <v>85</v>
      </c>
      <c r="G187" s="8">
        <f>VLOOKUP(F187,Rankings!$D$2:$AE$300,5,0)</f>
        <v>22.2</v>
      </c>
      <c r="H187" s="14">
        <f>VLOOKUP(F187,Rankings!$D$2:$AE$300,17,0)</f>
        <v>1.072914179104477</v>
      </c>
      <c r="I187" s="14">
        <f>VLOOKUP(F187,Rankings!$D$2:$AE$300,18,0)</f>
        <v>-9.039923954372775E-2</v>
      </c>
      <c r="J187" s="14">
        <f>VLOOKUP(F187,Rankings!$D$2:$AE$300,19,0)</f>
        <v>0.230777561305371</v>
      </c>
      <c r="K187" s="14">
        <f>VLOOKUP(F187,Rankings!$D$2:$AE$300,20,0)</f>
        <v>0.24781065317077469</v>
      </c>
      <c r="L187" s="14">
        <f>VLOOKUP(F187,Rankings!$D$2:$AE$300,21,0)</f>
        <v>0.53700469522948058</v>
      </c>
      <c r="M187" s="14">
        <f>VLOOKUP(F187,Rankings!$D$2:$AE$300,22,0)</f>
        <v>-0.92920930333383611</v>
      </c>
      <c r="N187" s="14">
        <f>VLOOKUP(F187,Rankings!$D$2:$AE$300,23,0)</f>
        <v>-0.54531873349265758</v>
      </c>
      <c r="O187" s="14">
        <f>VLOOKUP(F187,Rankings!$D$2:$AE$300,24,0)</f>
        <v>3.7999715600622488</v>
      </c>
      <c r="P187" s="14">
        <f>VLOOKUP(F187,Rankings!$D$2:$AE$300,25,0)</f>
        <v>1.0267613902345596</v>
      </c>
      <c r="Q187" s="14">
        <f>VLOOKUP(F187,Rankings!$D$2:$AE$300,26,0)</f>
        <v>5.3503127627366904</v>
      </c>
    </row>
    <row r="188" spans="6:17" x14ac:dyDescent="0.35">
      <c r="F188" s="8" t="s">
        <v>640</v>
      </c>
      <c r="G188" s="8">
        <f>VLOOKUP(F188,Rankings!$D$2:$AE$300,5,0)</f>
        <v>34.799999999999997</v>
      </c>
      <c r="H188" s="14">
        <f>VLOOKUP(F188,Rankings!$D$2:$AE$300,17,0)</f>
        <v>0.21232276119402949</v>
      </c>
      <c r="I188" s="14">
        <f>VLOOKUP(F188,Rankings!$D$2:$AE$300,18,0)</f>
        <v>-0.26017300380228209</v>
      </c>
      <c r="J188" s="14">
        <f>VLOOKUP(F188,Rankings!$D$2:$AE$300,19,0)</f>
        <v>0.12803937786709912</v>
      </c>
      <c r="K188" s="14">
        <f>VLOOKUP(F188,Rankings!$D$2:$AE$300,20,0)</f>
        <v>-0.40816223457687539</v>
      </c>
      <c r="L188" s="14">
        <f>VLOOKUP(F188,Rankings!$D$2:$AE$300,21,0)</f>
        <v>0.38116575822731436</v>
      </c>
      <c r="M188" s="14">
        <f>VLOOKUP(F188,Rankings!$D$2:$AE$300,22,0)</f>
        <v>0.43452756586567642</v>
      </c>
      <c r="N188" s="14">
        <f>VLOOKUP(F188,Rankings!$D$2:$AE$300,23,0)</f>
        <v>3.3118917802442649</v>
      </c>
      <c r="O188" s="14">
        <f>VLOOKUP(F188,Rankings!$D$2:$AE$300,24,0)</f>
        <v>-7.2944039363743871E-2</v>
      </c>
      <c r="P188" s="14">
        <f>VLOOKUP(F188,Rankings!$D$2:$AE$300,25,0)</f>
        <v>-0.23021030028479489</v>
      </c>
      <c r="Q188" s="14">
        <f>VLOOKUP(F188,Rankings!$D$2:$AE$300,26,0)</f>
        <v>3.4964576653706878</v>
      </c>
    </row>
    <row r="189" spans="6:17" x14ac:dyDescent="0.35">
      <c r="F189" s="8" t="s">
        <v>363</v>
      </c>
      <c r="G189" s="8">
        <f>VLOOKUP(F189,Rankings!$D$2:$AE$300,5,0)</f>
        <v>22.9</v>
      </c>
      <c r="H189" s="14">
        <f>VLOOKUP(F189,Rankings!$D$2:$AE$300,17,0)</f>
        <v>-0.75421343283582121</v>
      </c>
      <c r="I189" s="14">
        <f>VLOOKUP(F189,Rankings!$D$2:$AE$300,18,0)</f>
        <v>0.28671406844106317</v>
      </c>
      <c r="J189" s="14">
        <f>VLOOKUP(F189,Rankings!$D$2:$AE$300,19,0)</f>
        <v>0.33351574474364315</v>
      </c>
      <c r="K189" s="14">
        <f>VLOOKUP(F189,Rankings!$D$2:$AE$300,20,0)</f>
        <v>-0.36016421840021801</v>
      </c>
      <c r="L189" s="14">
        <f>VLOOKUP(F189,Rankings!$D$2:$AE$300,21,0)</f>
        <v>-1.1772236117943466</v>
      </c>
      <c r="M189" s="14">
        <f>VLOOKUP(F189,Rankings!$D$2:$AE$300,22,0)</f>
        <v>-1.0753239678909268</v>
      </c>
      <c r="N189" s="14">
        <f>VLOOKUP(F189,Rankings!$D$2:$AE$300,23,0)</f>
        <v>0.52612863143426558</v>
      </c>
      <c r="O189" s="14">
        <f>VLOOKUP(F189,Rankings!$D$2:$AE$300,24,0)</f>
        <v>-0.6262176964245999</v>
      </c>
      <c r="P189" s="14">
        <f>VLOOKUP(F189,Rankings!$D$2:$AE$300,25,0)</f>
        <v>0.50302318585149519</v>
      </c>
      <c r="Q189" s="14">
        <f>VLOOKUP(F189,Rankings!$D$2:$AE$300,26,0)</f>
        <v>-2.3437612968754449</v>
      </c>
    </row>
    <row r="190" spans="6:17" x14ac:dyDescent="0.35">
      <c r="F190" s="8" t="s">
        <v>17</v>
      </c>
      <c r="G190" s="8">
        <f>VLOOKUP(F190,Rankings!$D$2:$AE$300,5,0)</f>
        <v>31.1</v>
      </c>
      <c r="H190" s="14">
        <f>VLOOKUP(F190,Rankings!$D$2:$AE$300,17,0)</f>
        <v>1.3950250000000002</v>
      </c>
      <c r="I190" s="14">
        <f>VLOOKUP(F190,Rankings!$D$2:$AE$300,18,0)</f>
        <v>-0.84639923954372775</v>
      </c>
      <c r="J190" s="14">
        <f>VLOOKUP(F190,Rankings!$D$2:$AE$300,19,0)</f>
        <v>-1.5157715571452535</v>
      </c>
      <c r="K190" s="14">
        <f>VLOOKUP(F190,Rankings!$D$2:$AE$300,20,0)</f>
        <v>-0.39216289585132275</v>
      </c>
      <c r="L190" s="14">
        <f>VLOOKUP(F190,Rankings!$D$2:$AE$300,21,0)</f>
        <v>1.5889175199941019</v>
      </c>
      <c r="M190" s="14">
        <f>VLOOKUP(F190,Rankings!$D$2:$AE$300,22,0)</f>
        <v>-0.1012262041769892</v>
      </c>
      <c r="N190" s="14">
        <f>VLOOKUP(F190,Rankings!$D$2:$AE$300,23,0)</f>
        <v>1.5975759963611886</v>
      </c>
      <c r="O190" s="14">
        <f>VLOOKUP(F190,Rankings!$D$2:$AE$300,24,0)</f>
        <v>0.6647541700507309</v>
      </c>
      <c r="P190" s="14">
        <f>VLOOKUP(F190,Rankings!$D$2:$AE$300,25,0)</f>
        <v>-0.54445322291463361</v>
      </c>
      <c r="Q190" s="14">
        <f>VLOOKUP(F190,Rankings!$D$2:$AE$300,26,0)</f>
        <v>1.8462595667740946</v>
      </c>
    </row>
    <row r="191" spans="6:17" x14ac:dyDescent="0.35">
      <c r="F191" s="8" t="s">
        <v>310</v>
      </c>
      <c r="G191" s="8">
        <f>VLOOKUP(F191,Rankings!$D$2:$AE$300,5,0)</f>
        <v>25.5</v>
      </c>
      <c r="H191" s="14">
        <f>VLOOKUP(F191,Rankings!$D$2:$AE$300,17,0)</f>
        <v>0.22233955223880542</v>
      </c>
      <c r="I191" s="14">
        <f>VLOOKUP(F191,Rankings!$D$2:$AE$300,18,0)</f>
        <v>0.26680038022813607</v>
      </c>
      <c r="J191" s="14">
        <f>VLOOKUP(F191,Rankings!$D$2:$AE$300,19,0)</f>
        <v>1.7718503128794516</v>
      </c>
      <c r="K191" s="14">
        <f>VLOOKUP(F191,Rankings!$D$2:$AE$300,20,0)</f>
        <v>0.39180470170074638</v>
      </c>
      <c r="L191" s="14">
        <f>VLOOKUP(F191,Rankings!$D$2:$AE$300,21,0)</f>
        <v>-1.2941028145459712</v>
      </c>
      <c r="M191" s="14">
        <f>VLOOKUP(F191,Rankings!$D$2:$AE$300,22,0)</f>
        <v>0.23970801312288878</v>
      </c>
      <c r="N191" s="14">
        <f>VLOOKUP(F191,Rankings!$D$2:$AE$300,23,0)</f>
        <v>-1.1881871524488112</v>
      </c>
      <c r="O191" s="14">
        <f>VLOOKUP(F191,Rankings!$D$2:$AE$300,24,0)</f>
        <v>-0.81064224877821867</v>
      </c>
      <c r="P191" s="14">
        <f>VLOOKUP(F191,Rankings!$D$2:$AE$300,25,0)</f>
        <v>0.92201374935794678</v>
      </c>
      <c r="Q191" s="14">
        <f>VLOOKUP(F191,Rankings!$D$2:$AE$300,26,0)</f>
        <v>0.52158449375497395</v>
      </c>
    </row>
    <row r="192" spans="6:17" x14ac:dyDescent="0.35">
      <c r="F192" s="8" t="s">
        <v>139</v>
      </c>
      <c r="G192" s="8">
        <f>VLOOKUP(F192,Rankings!$D$2:$AE$300,5,0)</f>
        <v>21.3</v>
      </c>
      <c r="H192" s="14">
        <f>VLOOKUP(F192,Rankings!$D$2:$AE$300,17,0)</f>
        <v>-0.44407276119403</v>
      </c>
      <c r="I192" s="14">
        <f>VLOOKUP(F192,Rankings!$D$2:$AE$300,18,0)</f>
        <v>0.47373384030418153</v>
      </c>
      <c r="J192" s="14">
        <f>VLOOKUP(F192,Rankings!$D$2:$AE$300,19,0)</f>
        <v>-0.79660427307734927</v>
      </c>
      <c r="K192" s="14">
        <f>VLOOKUP(F192,Rankings!$D$2:$AE$300,20,0)</f>
        <v>-0.96813908997121056</v>
      </c>
      <c r="L192" s="14">
        <f>VLOOKUP(F192,Rankings!$D$2:$AE$300,21,0)</f>
        <v>-0.20323025553080853</v>
      </c>
      <c r="M192" s="14">
        <f>VLOOKUP(F192,Rankings!$D$2:$AE$300,22,0)</f>
        <v>9.3593348565798248E-2</v>
      </c>
      <c r="N192" s="14">
        <f>VLOOKUP(F192,Rankings!$D$2:$AE$300,23,0)</f>
        <v>-0.33102926050727299</v>
      </c>
      <c r="O192" s="14">
        <f>VLOOKUP(F192,Rankings!$D$2:$AE$300,24,0)</f>
        <v>-0.4417931440709813</v>
      </c>
      <c r="P192" s="14">
        <f>VLOOKUP(F192,Rankings!$D$2:$AE$300,25,0)</f>
        <v>-0.12546265940818194</v>
      </c>
      <c r="Q192" s="14">
        <f>VLOOKUP(F192,Rankings!$D$2:$AE$300,26,0)</f>
        <v>-2.743004254889855</v>
      </c>
    </row>
    <row r="193" spans="6:20" x14ac:dyDescent="0.35">
      <c r="F193" s="8" t="s">
        <v>129</v>
      </c>
      <c r="G193" s="8">
        <f>VLOOKUP(F193,Rankings!$D$2:$AE$300,5,0)</f>
        <v>28.8</v>
      </c>
      <c r="H193" s="14">
        <f>VLOOKUP(F193,Rankings!$D$2:$AE$300,17,0)</f>
        <v>-0.4437772388059702</v>
      </c>
      <c r="I193" s="14">
        <f>VLOOKUP(F193,Rankings!$D$2:$AE$300,18,0)</f>
        <v>0.12202699619771798</v>
      </c>
      <c r="J193" s="14">
        <f>VLOOKUP(F193,Rankings!$D$2:$AE$300,19,0)</f>
        <v>0.84720666193500305</v>
      </c>
      <c r="K193" s="14">
        <f>VLOOKUP(F193,Rankings!$D$2:$AE$300,20,0)</f>
        <v>-0.45616025075353256</v>
      </c>
      <c r="L193" s="14">
        <f>VLOOKUP(F193,Rankings!$D$2:$AE$300,21,0)</f>
        <v>3.0528149972440837E-2</v>
      </c>
      <c r="M193" s="14">
        <f>VLOOKUP(F193,Rankings!$D$2:$AE$300,22,0)</f>
        <v>-0.24734086873407995</v>
      </c>
      <c r="N193" s="14">
        <f>VLOOKUP(F193,Rankings!$D$2:$AE$300,23,0)</f>
        <v>-0.54531873349265758</v>
      </c>
      <c r="O193" s="14">
        <f>VLOOKUP(F193,Rankings!$D$2:$AE$300,24,0)</f>
        <v>-0.81064224877821867</v>
      </c>
      <c r="P193" s="14">
        <f>VLOOKUP(F193,Rankings!$D$2:$AE$300,25,0)</f>
        <v>1.0267613902345596</v>
      </c>
      <c r="Q193" s="14">
        <f>VLOOKUP(F193,Rankings!$D$2:$AE$300,26,0)</f>
        <v>-0.47671614222473768</v>
      </c>
    </row>
    <row r="194" spans="6:20" x14ac:dyDescent="0.35">
      <c r="F194" s="8" t="s">
        <v>249</v>
      </c>
      <c r="G194" s="8">
        <f>VLOOKUP(F194,Rankings!$D$2:$AE$300,5,0)</f>
        <v>26.9</v>
      </c>
      <c r="H194" s="14">
        <f>VLOOKUP(F194,Rankings!$D$2:$AE$300,17,0)</f>
        <v>-0.25021343283582126</v>
      </c>
      <c r="I194" s="14">
        <f>VLOOKUP(F194,Rankings!$D$2:$AE$300,18,0)</f>
        <v>-3.4393155893536483E-2</v>
      </c>
      <c r="J194" s="14">
        <f>VLOOKUP(F194,Rankings!$D$2:$AE$300,19,0)</f>
        <v>-0.89934245651562128</v>
      </c>
      <c r="K194" s="14">
        <f>VLOOKUP(F194,Rankings!$D$2:$AE$300,20,0)</f>
        <v>-0.71214967036237153</v>
      </c>
      <c r="L194" s="14">
        <f>VLOOKUP(F194,Rankings!$D$2:$AE$300,21,0)</f>
        <v>-0.78762626928893142</v>
      </c>
      <c r="M194" s="14">
        <f>VLOOKUP(F194,Rankings!$D$2:$AE$300,22,0)</f>
        <v>1.3599204413939168</v>
      </c>
      <c r="N194" s="14">
        <f>VLOOKUP(F194,Rankings!$D$2:$AE$300,23,0)</f>
        <v>1.5975759963611886</v>
      </c>
      <c r="O194" s="14">
        <f>VLOOKUP(F194,Rankings!$D$2:$AE$300,24,0)</f>
        <v>-0.4417931440709813</v>
      </c>
      <c r="P194" s="14">
        <f>VLOOKUP(F194,Rankings!$D$2:$AE$300,25,0)</f>
        <v>0.50302318585149519</v>
      </c>
      <c r="Q194" s="14">
        <f>VLOOKUP(F194,Rankings!$D$2:$AE$300,26,0)</f>
        <v>0.33500149463933721</v>
      </c>
    </row>
    <row r="195" spans="6:20" x14ac:dyDescent="0.35">
      <c r="F195" s="8" t="s">
        <v>584</v>
      </c>
      <c r="G195" s="8">
        <f>VLOOKUP(F195,Rankings!$D$2:$AE$300,5,0)</f>
        <v>30.3</v>
      </c>
      <c r="H195" s="14">
        <f>VLOOKUP(F195,Rankings!$D$2:$AE$300,17,0)</f>
        <v>1.673507462686551E-2</v>
      </c>
      <c r="I195" s="14">
        <f>VLOOKUP(F195,Rankings!$D$2:$AE$300,18,0)</f>
        <v>-0.39939923954372769</v>
      </c>
      <c r="J195" s="14">
        <f>VLOOKUP(F195,Rankings!$D$2:$AE$300,19,0)</f>
        <v>2.4910175969473558</v>
      </c>
      <c r="K195" s="14">
        <f>VLOOKUP(F195,Rankings!$D$2:$AE$300,20,0)</f>
        <v>0.90378354091842428</v>
      </c>
      <c r="L195" s="14">
        <f>VLOOKUP(F195,Rankings!$D$2:$AE$300,21,0)</f>
        <v>-0.32010945828243303</v>
      </c>
      <c r="M195" s="14">
        <f>VLOOKUP(F195,Rankings!$D$2:$AE$300,22,0)</f>
        <v>-0.29604575691977664</v>
      </c>
      <c r="N195" s="14">
        <f>VLOOKUP(F195,Rankings!$D$2:$AE$300,23,0)</f>
        <v>-0.33102926050727299</v>
      </c>
      <c r="O195" s="14">
        <f>VLOOKUP(F195,Rankings!$D$2:$AE$300,24,0)</f>
        <v>-0.6262176964245999</v>
      </c>
      <c r="P195" s="14">
        <f>VLOOKUP(F195,Rankings!$D$2:$AE$300,25,0)</f>
        <v>0.29352790409826945</v>
      </c>
      <c r="Q195" s="14">
        <f>VLOOKUP(F195,Rankings!$D$2:$AE$300,26,0)</f>
        <v>1.732262704913105</v>
      </c>
    </row>
    <row r="196" spans="6:20" x14ac:dyDescent="0.35">
      <c r="F196" s="49" t="s">
        <v>663</v>
      </c>
      <c r="G196" s="49"/>
      <c r="H196" s="47">
        <f>SUM(H181:H195)</f>
        <v>0.96437238805969727</v>
      </c>
      <c r="I196" s="47">
        <f t="shared" ref="I196:P196" si="135">SUM(I181:I195)</f>
        <v>0.29904372623572117</v>
      </c>
      <c r="J196" s="47">
        <f t="shared" si="135"/>
        <v>1.5617737288340154</v>
      </c>
      <c r="K196" s="47">
        <f t="shared" si="135"/>
        <v>1.7176006510181414</v>
      </c>
      <c r="L196" s="47">
        <f t="shared" si="135"/>
        <v>2.1890137251666397</v>
      </c>
      <c r="M196" s="47">
        <f t="shared" si="135"/>
        <v>5.3566290271396095</v>
      </c>
      <c r="N196" s="47">
        <f t="shared" si="135"/>
        <v>6.8396722086454522</v>
      </c>
      <c r="O196" s="47">
        <f t="shared" si="135"/>
        <v>2.1869448782828469</v>
      </c>
      <c r="P196" s="47">
        <f t="shared" si="135"/>
        <v>-2.1547527766894277</v>
      </c>
      <c r="Q196" s="47">
        <f>SUM(Q181:Q195)</f>
        <v>18.960297556692691</v>
      </c>
    </row>
    <row r="197" spans="6:20" x14ac:dyDescent="0.35">
      <c r="F197" s="45" t="s">
        <v>652</v>
      </c>
      <c r="G197" s="45"/>
      <c r="H197" s="45" t="str">
        <f>IF(H196&lt;0, "Punt", "")</f>
        <v/>
      </c>
      <c r="I197" s="45" t="str">
        <f t="shared" ref="I197" si="136">IF(I196&lt;0, "Punt", "")</f>
        <v/>
      </c>
      <c r="J197" s="45" t="str">
        <f t="shared" ref="J197" si="137">IF(J196&lt;0, "Punt", "")</f>
        <v/>
      </c>
      <c r="K197" s="45" t="str">
        <f t="shared" ref="K197" si="138">IF(K196&lt;0, "Punt", "")</f>
        <v/>
      </c>
      <c r="L197" s="45" t="str">
        <f t="shared" ref="L197" si="139">IF(L196&lt;0, "Punt", "")</f>
        <v/>
      </c>
      <c r="M197" s="45" t="str">
        <f t="shared" ref="M197" si="140">IF(M196&lt;0, "Punt", "")</f>
        <v/>
      </c>
      <c r="N197" s="45" t="str">
        <f t="shared" ref="N197" si="141">IF(N196&lt;0, "Punt", "")</f>
        <v/>
      </c>
      <c r="O197" s="45" t="str">
        <f t="shared" ref="O197" si="142">IF(O196&lt;0, "Punt", "")</f>
        <v/>
      </c>
      <c r="P197" s="45" t="str">
        <f t="shared" ref="P197" si="143">IF(P196&lt;0, "Punt", "")</f>
        <v>Punt</v>
      </c>
      <c r="Q197" s="45" t="str">
        <f t="shared" ref="Q197" si="144">IF(Q196&lt;0, "Punt", "")</f>
        <v/>
      </c>
    </row>
    <row r="198" spans="6:20" x14ac:dyDescent="0.35">
      <c r="H198" s="14"/>
      <c r="I198" s="14"/>
      <c r="J198" s="14"/>
      <c r="K198" s="14"/>
      <c r="L198" s="14"/>
      <c r="M198" s="14"/>
      <c r="N198" s="14"/>
      <c r="O198" s="14"/>
      <c r="P198" s="14"/>
      <c r="Q198" s="14"/>
    </row>
    <row r="199" spans="6:20" x14ac:dyDescent="0.35">
      <c r="F199" s="48" t="str">
        <f>A13</f>
        <v>Team 12</v>
      </c>
      <c r="G199" s="48"/>
      <c r="H199" s="14"/>
      <c r="I199" s="14"/>
      <c r="J199" s="14"/>
      <c r="K199" s="14"/>
      <c r="L199" s="14"/>
      <c r="M199" s="14"/>
      <c r="N199" s="14"/>
      <c r="O199" s="14"/>
      <c r="P199" s="14"/>
      <c r="Q199" s="14"/>
    </row>
    <row r="200" spans="6:20" x14ac:dyDescent="0.35">
      <c r="F200" s="45" t="s">
        <v>662</v>
      </c>
      <c r="G200" s="26" t="s">
        <v>4</v>
      </c>
      <c r="H200" s="45" t="s">
        <v>631</v>
      </c>
      <c r="I200" s="45" t="s">
        <v>632</v>
      </c>
      <c r="J200" s="45" t="s">
        <v>540</v>
      </c>
      <c r="K200" s="45" t="s">
        <v>537</v>
      </c>
      <c r="L200" s="45" t="s">
        <v>541</v>
      </c>
      <c r="M200" s="45" t="s">
        <v>536</v>
      </c>
      <c r="N200" s="45" t="s">
        <v>538</v>
      </c>
      <c r="O200" s="45" t="s">
        <v>539</v>
      </c>
      <c r="P200" s="45" t="s">
        <v>542</v>
      </c>
      <c r="Q200" s="45" t="s">
        <v>633</v>
      </c>
    </row>
    <row r="201" spans="6:20" x14ac:dyDescent="0.35">
      <c r="F201" s="8" t="s">
        <v>192</v>
      </c>
      <c r="G201" s="8">
        <f>VLOOKUP(F201,Rankings!$D$2:$AE$300,5,0)</f>
        <v>36.299999999999997</v>
      </c>
      <c r="H201" s="14">
        <f>VLOOKUP(F201,Rankings!$D$2:$AE$300,17,0)</f>
        <v>-0.24990559701492579</v>
      </c>
      <c r="I201" s="14">
        <f>VLOOKUP(F201,Rankings!$D$2:$AE$300,18,0)</f>
        <v>0.89900190114068079</v>
      </c>
      <c r="J201" s="14">
        <f>VLOOKUP(F201,Rankings!$D$2:$AE$300,19,0)</f>
        <v>1.6691121294411795</v>
      </c>
      <c r="K201" s="14">
        <f>VLOOKUP(F201,Rankings!$D$2:$AE$300,20,0)</f>
        <v>1.9277412193537804</v>
      </c>
      <c r="L201" s="14">
        <f>VLOOKUP(F201,Rankings!$D$2:$AE$300,21,0)</f>
        <v>0.1084476184735236</v>
      </c>
      <c r="M201" s="14">
        <f>VLOOKUP(F201,Rankings!$D$2:$AE$300,22,0)</f>
        <v>3.6977550743073668</v>
      </c>
      <c r="N201" s="14">
        <f>VLOOKUP(F201,Rankings!$D$2:$AE$300,23,0)</f>
        <v>9.7549685463496322E-2</v>
      </c>
      <c r="O201" s="14">
        <f>VLOOKUP(F201,Rankings!$D$2:$AE$300,24,0)</f>
        <v>0.4803296176971123</v>
      </c>
      <c r="P201" s="14">
        <f>VLOOKUP(F201,Rankings!$D$2:$AE$300,25,0)</f>
        <v>-2.848901322200116</v>
      </c>
      <c r="Q201" s="14">
        <f>VLOOKUP(F201,Rankings!$D$2:$AE$300,26,0)</f>
        <v>5.7811303266620984</v>
      </c>
    </row>
    <row r="202" spans="6:20" x14ac:dyDescent="0.35">
      <c r="F202" s="8"/>
      <c r="G202" s="8"/>
      <c r="H202" s="14"/>
      <c r="I202" s="14"/>
      <c r="J202" s="14"/>
      <c r="K202" s="14"/>
      <c r="L202" s="14"/>
      <c r="M202" s="14"/>
      <c r="N202" s="14"/>
      <c r="O202" s="14"/>
      <c r="P202" s="14"/>
      <c r="Q202" s="14"/>
    </row>
    <row r="203" spans="6:20" x14ac:dyDescent="0.35">
      <c r="F203" s="8" t="s">
        <v>597</v>
      </c>
      <c r="G203" s="8">
        <f>VLOOKUP(F203,Rankings!$D$2:$AE$300,5,0)</f>
        <v>24</v>
      </c>
      <c r="H203" s="14">
        <f>VLOOKUP(F203,Rankings!$D$2:$AE$300,17,0)</f>
        <v>-0.79782201492537352</v>
      </c>
      <c r="I203" s="14">
        <f>VLOOKUP(F203,Rankings!$D$2:$AE$300,18,0)</f>
        <v>0.14466730038022679</v>
      </c>
      <c r="J203" s="14">
        <f>VLOOKUP(F203,Rankings!$D$2:$AE$300,19,0)</f>
        <v>1.3608975791263631</v>
      </c>
      <c r="K203" s="14">
        <f>VLOOKUP(F203,Rankings!$D$2:$AE$300,20,0)</f>
        <v>-0.15217281496803622</v>
      </c>
      <c r="L203" s="14">
        <f>VLOOKUP(F203,Rankings!$D$2:$AE$300,21,0)</f>
        <v>-0.67074706653730676</v>
      </c>
      <c r="M203" s="14">
        <f>VLOOKUP(F203,Rankings!$D$2:$AE$300,22,0)</f>
        <v>-0.68568486240535176</v>
      </c>
      <c r="N203" s="14">
        <f>VLOOKUP(F203,Rankings!$D$2:$AE$300,23,0)</f>
        <v>-0.75960820647804206</v>
      </c>
      <c r="O203" s="14">
        <f>VLOOKUP(F203,Rankings!$D$2:$AE$300,24,0)</f>
        <v>-0.4417931440709813</v>
      </c>
      <c r="P203" s="14">
        <f>VLOOKUP(F203,Rankings!$D$2:$AE$300,25,0)</f>
        <v>1.1315090311111724</v>
      </c>
      <c r="Q203" s="14">
        <f>VLOOKUP(F203,Rankings!$D$2:$AE$300,26,0)</f>
        <v>-0.87075419876732929</v>
      </c>
      <c r="S203" s="70"/>
      <c r="T203" s="70"/>
    </row>
    <row r="204" spans="6:20" x14ac:dyDescent="0.35">
      <c r="F204" s="8" t="s">
        <v>220</v>
      </c>
      <c r="G204" s="8">
        <f>VLOOKUP(F204,Rankings!$D$2:$AE$300,5,0)</f>
        <v>27.1</v>
      </c>
      <c r="H204" s="14">
        <f>VLOOKUP(F204,Rankings!$D$2:$AE$300,17,0)</f>
        <v>-0.444581716417911</v>
      </c>
      <c r="I204" s="14">
        <f>VLOOKUP(F204,Rankings!$D$2:$AE$300,18,0)</f>
        <v>-0.10525323193916369</v>
      </c>
      <c r="J204" s="14">
        <f>VLOOKUP(F204,Rankings!$D$2:$AE$300,19,0)</f>
        <v>0.33351574474364315</v>
      </c>
      <c r="K204" s="14">
        <f>VLOOKUP(F204,Rankings!$D$2:$AE$300,20,0)</f>
        <v>-0.26416818604690345</v>
      </c>
      <c r="L204" s="14">
        <f>VLOOKUP(F204,Rankings!$D$2:$AE$300,21,0)</f>
        <v>0.88764230348435413</v>
      </c>
      <c r="M204" s="14">
        <f>VLOOKUP(F204,Rankings!$D$2:$AE$300,22,0)</f>
        <v>-0.19863598054838305</v>
      </c>
      <c r="N204" s="14">
        <f>VLOOKUP(F204,Rankings!$D$2:$AE$300,23,0)</f>
        <v>-1.1881871524488112</v>
      </c>
      <c r="O204" s="14">
        <f>VLOOKUP(F204,Rankings!$D$2:$AE$300,24,0)</f>
        <v>0.4803296176971123</v>
      </c>
      <c r="P204" s="14">
        <f>VLOOKUP(F204,Rankings!$D$2:$AE$300,25,0)</f>
        <v>0.71251846760472104</v>
      </c>
      <c r="Q204" s="14">
        <f>VLOOKUP(F204,Rankings!$D$2:$AE$300,26,0)</f>
        <v>0.21317986612865819</v>
      </c>
    </row>
    <row r="205" spans="6:20" x14ac:dyDescent="0.35">
      <c r="F205" s="8" t="s">
        <v>431</v>
      </c>
      <c r="G205" s="8">
        <f>VLOOKUP(F205,Rankings!$D$2:$AE$300,5,0)</f>
        <v>32.5</v>
      </c>
      <c r="H205" s="14">
        <f>VLOOKUP(F205,Rankings!$D$2:$AE$300,17,0)</f>
        <v>-0.42236716417910503</v>
      </c>
      <c r="I205" s="14">
        <f>VLOOKUP(F205,Rankings!$D$2:$AE$300,18,0)</f>
        <v>-0.13727908745247333</v>
      </c>
      <c r="J205" s="14">
        <f>VLOOKUP(F205,Rankings!$D$2:$AE$300,19,0)</f>
        <v>0.74446847849673137</v>
      </c>
      <c r="K205" s="14">
        <f>VLOOKUP(F205,Rankings!$D$2:$AE$300,20,0)</f>
        <v>0.82378684729066209</v>
      </c>
      <c r="L205" s="14">
        <f>VLOOKUP(F205,Rankings!$D$2:$AE$300,21,0)</f>
        <v>-8.4315842781008971E-3</v>
      </c>
      <c r="M205" s="14">
        <f>VLOOKUP(F205,Rankings!$D$2:$AE$300,22,0)</f>
        <v>-0.14993109236268612</v>
      </c>
      <c r="N205" s="14">
        <f>VLOOKUP(F205,Rankings!$D$2:$AE$300,23,0)</f>
        <v>-0.75960820647804206</v>
      </c>
      <c r="O205" s="14">
        <f>VLOOKUP(F205,Rankings!$D$2:$AE$300,24,0)</f>
        <v>2.3245751412332991</v>
      </c>
      <c r="P205" s="14">
        <f>VLOOKUP(F205,Rankings!$D$2:$AE$300,25,0)</f>
        <v>-0.64920086379124653</v>
      </c>
      <c r="Q205" s="14">
        <f>VLOOKUP(F205,Rankings!$D$2:$AE$300,26,0)</f>
        <v>1.7660124684790386</v>
      </c>
    </row>
    <row r="206" spans="6:20" x14ac:dyDescent="0.35">
      <c r="F206" s="8" t="s">
        <v>641</v>
      </c>
      <c r="G206" s="8">
        <f>VLOOKUP(F206,Rankings!$D$2:$AE$300,5,0)</f>
        <v>26.8</v>
      </c>
      <c r="H206" s="14">
        <f>VLOOKUP(F206,Rankings!$D$2:$AE$300,17,0)</f>
        <v>-1.2800264925373139</v>
      </c>
      <c r="I206" s="14">
        <f>VLOOKUP(F206,Rankings!$D$2:$AE$300,18,0)</f>
        <v>4.3973764258554357E-2</v>
      </c>
      <c r="J206" s="14">
        <f>VLOOKUP(F206,Rankings!$D$2:$AE$300,19,0)</f>
        <v>-0.59112790620080513</v>
      </c>
      <c r="K206" s="14">
        <f>VLOOKUP(F206,Rankings!$D$2:$AE$300,20,0)</f>
        <v>-0.31216620222356056</v>
      </c>
      <c r="L206" s="14">
        <f>VLOOKUP(F206,Rankings!$D$2:$AE$300,21,0)</f>
        <v>0.26428655547568985</v>
      </c>
      <c r="M206" s="14">
        <f>VLOOKUP(F206,Rankings!$D$2:$AE$300,22,0)</f>
        <v>-0.92920930333383611</v>
      </c>
      <c r="N206" s="14">
        <f>VLOOKUP(F206,Rankings!$D$2:$AE$300,23,0)</f>
        <v>0.95470757740503476</v>
      </c>
      <c r="O206" s="14">
        <f>VLOOKUP(F206,Rankings!$D$2:$AE$300,24,0)</f>
        <v>0.6647541700507309</v>
      </c>
      <c r="P206" s="14">
        <f>VLOOKUP(F206,Rankings!$D$2:$AE$300,25,0)</f>
        <v>-0.23021030028479489</v>
      </c>
      <c r="Q206" s="14">
        <f>VLOOKUP(F206,Rankings!$D$2:$AE$300,26,0)</f>
        <v>-1.4150181373903006</v>
      </c>
    </row>
    <row r="207" spans="6:20" x14ac:dyDescent="0.35">
      <c r="F207" s="8" t="s">
        <v>421</v>
      </c>
      <c r="G207" s="8">
        <f>VLOOKUP(F207,Rankings!$D$2:$AE$300,5,0)</f>
        <v>29.3</v>
      </c>
      <c r="H207" s="14">
        <f>VLOOKUP(F207,Rankings!$D$2:$AE$300,17,0)</f>
        <v>-0.28306902985074667</v>
      </c>
      <c r="I207" s="14">
        <f>VLOOKUP(F207,Rankings!$D$2:$AE$300,18,0)</f>
        <v>1.4080608365017877E-2</v>
      </c>
      <c r="J207" s="14">
        <f>VLOOKUP(F207,Rankings!$D$2:$AE$300,19,0)</f>
        <v>0.436253928181915</v>
      </c>
      <c r="K207" s="14">
        <f>VLOOKUP(F207,Rankings!$D$2:$AE$300,20,0)</f>
        <v>0.21581197571966965</v>
      </c>
      <c r="L207" s="14">
        <f>VLOOKUP(F207,Rankings!$D$2:$AE$300,21,0)</f>
        <v>-0.67074706653730676</v>
      </c>
      <c r="M207" s="14">
        <f>VLOOKUP(F207,Rankings!$D$2:$AE$300,22,0)</f>
        <v>-0.4908653096625642</v>
      </c>
      <c r="N207" s="14">
        <f>VLOOKUP(F207,Rankings!$D$2:$AE$300,23,0)</f>
        <v>-0.54531873349265758</v>
      </c>
      <c r="O207" s="14">
        <f>VLOOKUP(F207,Rankings!$D$2:$AE$300,24,0)</f>
        <v>0.11148051298987478</v>
      </c>
      <c r="P207" s="14">
        <f>VLOOKUP(F207,Rankings!$D$2:$AE$300,25,0)</f>
        <v>0.71251846760472104</v>
      </c>
      <c r="Q207" s="14">
        <f>VLOOKUP(F207,Rankings!$D$2:$AE$300,26,0)</f>
        <v>-0.49985464668207669</v>
      </c>
    </row>
    <row r="208" spans="6:20" x14ac:dyDescent="0.35">
      <c r="F208" s="8" t="s">
        <v>227</v>
      </c>
      <c r="G208" s="8">
        <f>VLOOKUP(F208,Rankings!$D$2:$AE$300,5,0)</f>
        <v>25.5</v>
      </c>
      <c r="H208" s="14">
        <f>VLOOKUP(F208,Rankings!$D$2:$AE$300,17,0)</f>
        <v>0.41212686567164147</v>
      </c>
      <c r="I208" s="14">
        <f>VLOOKUP(F208,Rankings!$D$2:$AE$300,18,0)</f>
        <v>2.8003802281361678E-3</v>
      </c>
      <c r="J208" s="14">
        <f>VLOOKUP(F208,Rankings!$D$2:$AE$300,19,0)</f>
        <v>-0.38565153932426105</v>
      </c>
      <c r="K208" s="14">
        <f>VLOOKUP(F208,Rankings!$D$2:$AE$300,20,0)</f>
        <v>-7.2176121340274027E-2</v>
      </c>
      <c r="L208" s="14">
        <f>VLOOKUP(F208,Rankings!$D$2:$AE$300,21,0)</f>
        <v>0.77076310073272958</v>
      </c>
      <c r="M208" s="14">
        <f>VLOOKUP(F208,Rankings!$D$2:$AE$300,22,0)</f>
        <v>-0.63697997421965491</v>
      </c>
      <c r="N208" s="14">
        <f>VLOOKUP(F208,Rankings!$D$2:$AE$300,23,0)</f>
        <v>-1.1881871524488112</v>
      </c>
      <c r="O208" s="14">
        <f>VLOOKUP(F208,Rankings!$D$2:$AE$300,24,0)</f>
        <v>1.0336032747579684</v>
      </c>
      <c r="P208" s="14">
        <f>VLOOKUP(F208,Rankings!$D$2:$AE$300,25,0)</f>
        <v>0.29352790409826945</v>
      </c>
      <c r="Q208" s="14">
        <f>VLOOKUP(F208,Rankings!$D$2:$AE$300,26,0)</f>
        <v>0.22982673815574373</v>
      </c>
    </row>
    <row r="209" spans="6:17" x14ac:dyDescent="0.35">
      <c r="F209" s="8" t="s">
        <v>360</v>
      </c>
      <c r="G209" s="8">
        <f>VLOOKUP(F209,Rankings!$D$2:$AE$300,5,0)</f>
        <v>23.5</v>
      </c>
      <c r="H209" s="14">
        <f>VLOOKUP(F209,Rankings!$D$2:$AE$300,17,0)</f>
        <v>-0.19955820895522416</v>
      </c>
      <c r="I209" s="14">
        <f>VLOOKUP(F209,Rankings!$D$2:$AE$300,18,0)</f>
        <v>0.33984068441064513</v>
      </c>
      <c r="J209" s="14">
        <f>VLOOKUP(F209,Rankings!$D$2:$AE$300,19,0)</f>
        <v>0.53899211162018712</v>
      </c>
      <c r="K209" s="14">
        <f>VLOOKUP(F209,Rankings!$D$2:$AE$300,20,0)</f>
        <v>7.8205722874881475E-3</v>
      </c>
      <c r="L209" s="14">
        <f>VLOOKUP(F209,Rankings!$D$2:$AE$300,21,0)</f>
        <v>0.57596442948002202</v>
      </c>
      <c r="M209" s="14">
        <f>VLOOKUP(F209,Rankings!$D$2:$AE$300,22,0)</f>
        <v>-0.3934555332911705</v>
      </c>
      <c r="N209" s="14">
        <f>VLOOKUP(F209,Rankings!$D$2:$AE$300,23,0)</f>
        <v>-0.11673978752188821</v>
      </c>
      <c r="O209" s="14">
        <f>VLOOKUP(F209,Rankings!$D$2:$AE$300,24,0)</f>
        <v>-0.99506680113183732</v>
      </c>
      <c r="P209" s="14">
        <f>VLOOKUP(F209,Rankings!$D$2:$AE$300,25,0)</f>
        <v>0.60777082672810812</v>
      </c>
      <c r="Q209" s="14">
        <f>VLOOKUP(F209,Rankings!$D$2:$AE$300,26,0)</f>
        <v>0.36556829362633037</v>
      </c>
    </row>
    <row r="210" spans="6:17" x14ac:dyDescent="0.35">
      <c r="F210" s="8" t="s">
        <v>621</v>
      </c>
      <c r="G210" s="8">
        <f>VLOOKUP(F210,Rankings!$D$2:$AE$300,5,0)</f>
        <v>30.8</v>
      </c>
      <c r="H210" s="14">
        <f>VLOOKUP(F210,Rankings!$D$2:$AE$300,17,0)</f>
        <v>-0.27452014925373175</v>
      </c>
      <c r="I210" s="14">
        <f>VLOOKUP(F210,Rankings!$D$2:$AE$300,18,0)</f>
        <v>2.8253992395436047E-2</v>
      </c>
      <c r="J210" s="14">
        <f>VLOOKUP(F210,Rankings!$D$2:$AE$300,19,0)</f>
        <v>-0.18017517244771702</v>
      </c>
      <c r="K210" s="14">
        <f>VLOOKUP(F210,Rankings!$D$2:$AE$300,20,0)</f>
        <v>0.24781065317077469</v>
      </c>
      <c r="L210" s="14">
        <f>VLOOKUP(F210,Rankings!$D$2:$AE$300,21,0)</f>
        <v>-0.32010945828243303</v>
      </c>
      <c r="M210" s="14">
        <f>VLOOKUP(F210,Rankings!$D$2:$AE$300,22,0)</f>
        <v>0.97028133590834187</v>
      </c>
      <c r="N210" s="14">
        <f>VLOOKUP(F210,Rankings!$D$2:$AE$300,23,0)</f>
        <v>-0.11673978752188821</v>
      </c>
      <c r="O210" s="14">
        <f>VLOOKUP(F210,Rankings!$D$2:$AE$300,24,0)</f>
        <v>-0.4417931440709813</v>
      </c>
      <c r="P210" s="14">
        <f>VLOOKUP(F210,Rankings!$D$2:$AE$300,25,0)</f>
        <v>-1.068191427297698</v>
      </c>
      <c r="Q210" s="14">
        <f>VLOOKUP(F210,Rankings!$D$2:$AE$300,26,0)</f>
        <v>-1.1551831573998967</v>
      </c>
    </row>
    <row r="211" spans="6:17" x14ac:dyDescent="0.35">
      <c r="F211" s="8" t="s">
        <v>598</v>
      </c>
      <c r="G211" s="8">
        <f>VLOOKUP(F211,Rankings!$D$2:$AE$300,5,0)</f>
        <v>23.7</v>
      </c>
      <c r="H211" s="14">
        <f>VLOOKUP(F211,Rankings!$D$2:$AE$300,17,0)</f>
        <v>-0.64194962686567181</v>
      </c>
      <c r="I211" s="14">
        <f>VLOOKUP(F211,Rankings!$D$2:$AE$300,18,0)</f>
        <v>0.12586692015209078</v>
      </c>
      <c r="J211" s="14">
        <f>VLOOKUP(F211,Rankings!$D$2:$AE$300,19,0)</f>
        <v>0.84720666193500305</v>
      </c>
      <c r="K211" s="14">
        <f>VLOOKUP(F211,Rankings!$D$2:$AE$300,20,0)</f>
        <v>-0.45616025075353256</v>
      </c>
      <c r="L211" s="14">
        <f>VLOOKUP(F211,Rankings!$D$2:$AE$300,21,0)</f>
        <v>-0.39802892678351615</v>
      </c>
      <c r="M211" s="14">
        <f>VLOOKUP(F211,Rankings!$D$2:$AE$300,22,0)</f>
        <v>-0.3447506451054736</v>
      </c>
      <c r="N211" s="14">
        <f>VLOOKUP(F211,Rankings!$D$2:$AE$300,23,0)</f>
        <v>-0.97389767946342665</v>
      </c>
      <c r="O211" s="14">
        <f>VLOOKUP(F211,Rankings!$D$2:$AE$300,24,0)</f>
        <v>-0.81064224877821867</v>
      </c>
      <c r="P211" s="14">
        <f>VLOOKUP(F211,Rankings!$D$2:$AE$300,25,0)</f>
        <v>0.39827554497488243</v>
      </c>
      <c r="Q211" s="14">
        <f>VLOOKUP(F211,Rankings!$D$2:$AE$300,26,0)</f>
        <v>-2.254080250687863</v>
      </c>
    </row>
    <row r="212" spans="6:17" x14ac:dyDescent="0.35">
      <c r="F212" s="8" t="s">
        <v>258</v>
      </c>
      <c r="G212" s="8">
        <f>VLOOKUP(F212,Rankings!$D$2:$AE$300,5,0)</f>
        <v>24.3</v>
      </c>
      <c r="H212" s="14">
        <f>VLOOKUP(F212,Rankings!$D$2:$AE$300,17,0)</f>
        <v>-9.102164179104491E-2</v>
      </c>
      <c r="I212" s="14">
        <f>VLOOKUP(F212,Rankings!$D$2:$AE$300,18,0)</f>
        <v>0.31476045627376331</v>
      </c>
      <c r="J212" s="14">
        <f>VLOOKUP(F212,Rankings!$D$2:$AE$300,19,0)</f>
        <v>0.33351574474364315</v>
      </c>
      <c r="K212" s="14">
        <f>VLOOKUP(F212,Rankings!$D$2:$AE$300,20,0)</f>
        <v>-0.85614371889234342</v>
      </c>
      <c r="L212" s="14">
        <f>VLOOKUP(F212,Rankings!$D$2:$AE$300,21,0)</f>
        <v>0.18636708697460674</v>
      </c>
      <c r="M212" s="14">
        <f>VLOOKUP(F212,Rankings!$D$2:$AE$300,22,0)</f>
        <v>-0.73438975059104861</v>
      </c>
      <c r="N212" s="14">
        <f>VLOOKUP(F212,Rankings!$D$2:$AE$300,23,0)</f>
        <v>-1.1881871524488112</v>
      </c>
      <c r="O212" s="14">
        <f>VLOOKUP(F212,Rankings!$D$2:$AE$300,24,0)</f>
        <v>0.6647541700507309</v>
      </c>
      <c r="P212" s="14">
        <f>VLOOKUP(F212,Rankings!$D$2:$AE$300,25,0)</f>
        <v>0.92201374935794678</v>
      </c>
      <c r="Q212" s="14">
        <f>VLOOKUP(F212,Rankings!$D$2:$AE$300,26,0)</f>
        <v>-0.44833105632255732</v>
      </c>
    </row>
    <row r="213" spans="6:17" x14ac:dyDescent="0.35">
      <c r="F213" s="8" t="s">
        <v>371</v>
      </c>
      <c r="G213" s="8">
        <f>VLOOKUP(F213,Rankings!$D$2:$AE$300,5,0)</f>
        <v>32</v>
      </c>
      <c r="H213" s="14">
        <f>VLOOKUP(F213,Rankings!$D$2:$AE$300,17,0)</f>
        <v>-0.49715820895522445</v>
      </c>
      <c r="I213" s="14">
        <f>VLOOKUP(F213,Rankings!$D$2:$AE$300,18,0)</f>
        <v>5.4320532319390685E-2</v>
      </c>
      <c r="J213" s="14">
        <f>VLOOKUP(F213,Rankings!$D$2:$AE$300,19,0)</f>
        <v>1.9773266797559954</v>
      </c>
      <c r="K213" s="14">
        <f>VLOOKUP(F213,Rankings!$D$2:$AE$300,20,0)</f>
        <v>2.3819911013040526E-2</v>
      </c>
      <c r="L213" s="14">
        <f>VLOOKUP(F213,Rankings!$D$2:$AE$300,21,0)</f>
        <v>-0.24218998978134992</v>
      </c>
      <c r="M213" s="14">
        <f>VLOOKUP(F213,Rankings!$D$2:$AE$300,22,0)</f>
        <v>-0.68568486240535176</v>
      </c>
      <c r="N213" s="14">
        <f>VLOOKUP(F213,Rankings!$D$2:$AE$300,23,0)</f>
        <v>-0.11673978752188821</v>
      </c>
      <c r="O213" s="14">
        <f>VLOOKUP(F213,Rankings!$D$2:$AE$300,24,0)</f>
        <v>-0.4417931440709813</v>
      </c>
      <c r="P213" s="14">
        <f>VLOOKUP(F213,Rankings!$D$2:$AE$300,25,0)</f>
        <v>0.18878026322165675</v>
      </c>
      <c r="Q213" s="14">
        <f>VLOOKUP(F213,Rankings!$D$2:$AE$300,26,0)</f>
        <v>0.2606813935752878</v>
      </c>
    </row>
    <row r="214" spans="6:17" x14ac:dyDescent="0.35">
      <c r="F214" s="49" t="s">
        <v>663</v>
      </c>
      <c r="G214" s="49"/>
      <c r="H214" s="47">
        <f>SUM(H199:H213)</f>
        <v>-4.7698529850746318</v>
      </c>
      <c r="I214" s="47">
        <f t="shared" ref="I214:P214" si="145">SUM(I199:I213)</f>
        <v>1.725034220532305</v>
      </c>
      <c r="J214" s="47">
        <f t="shared" si="145"/>
        <v>7.0843344400718768</v>
      </c>
      <c r="K214" s="47">
        <f t="shared" si="145"/>
        <v>1.1338038846107654</v>
      </c>
      <c r="L214" s="47">
        <f t="shared" si="145"/>
        <v>0.48321700242091242</v>
      </c>
      <c r="M214" s="47">
        <f t="shared" si="145"/>
        <v>-0.58155090370981144</v>
      </c>
      <c r="N214" s="47">
        <f t="shared" si="145"/>
        <v>-5.9009563829557354</v>
      </c>
      <c r="O214" s="47">
        <f t="shared" si="145"/>
        <v>2.6287380223538293</v>
      </c>
      <c r="P214" s="47">
        <f t="shared" si="145"/>
        <v>0.17041034112762266</v>
      </c>
      <c r="Q214" s="47">
        <f>SUM(Q199:Q213)</f>
        <v>1.9731776393771323</v>
      </c>
    </row>
    <row r="215" spans="6:17" x14ac:dyDescent="0.35">
      <c r="F215" s="45" t="s">
        <v>652</v>
      </c>
      <c r="G215" s="45"/>
      <c r="H215" s="45" t="str">
        <f>IF(H214&lt;0, "Punt", "")</f>
        <v>Punt</v>
      </c>
      <c r="I215" s="45" t="str">
        <f t="shared" ref="I215" si="146">IF(I214&lt;0, "Punt", "")</f>
        <v/>
      </c>
      <c r="J215" s="45" t="str">
        <f t="shared" ref="J215" si="147">IF(J214&lt;0, "Punt", "")</f>
        <v/>
      </c>
      <c r="K215" s="45" t="str">
        <f t="shared" ref="K215" si="148">IF(K214&lt;0, "Punt", "")</f>
        <v/>
      </c>
      <c r="L215" s="45" t="str">
        <f t="shared" ref="L215" si="149">IF(L214&lt;0, "Punt", "")</f>
        <v/>
      </c>
      <c r="M215" s="45" t="str">
        <f t="shared" ref="M215" si="150">IF(M214&lt;0, "Punt", "")</f>
        <v>Punt</v>
      </c>
      <c r="N215" s="45" t="str">
        <f t="shared" ref="N215" si="151">IF(N214&lt;0, "Punt", "")</f>
        <v>Punt</v>
      </c>
      <c r="O215" s="45" t="str">
        <f t="shared" ref="O215" si="152">IF(O214&lt;0, "Punt", "")</f>
        <v/>
      </c>
      <c r="P215" s="45" t="str">
        <f t="shared" ref="P215" si="153">IF(P214&lt;0, "Punt", "")</f>
        <v/>
      </c>
      <c r="Q215" s="45" t="str">
        <f t="shared" ref="Q215" si="154">IF(Q214&lt;0, "Punt", "")</f>
        <v/>
      </c>
    </row>
    <row r="216" spans="6:17" x14ac:dyDescent="0.35">
      <c r="H216" s="14"/>
      <c r="I216" s="14"/>
      <c r="J216" s="14"/>
      <c r="K216" s="14"/>
      <c r="L216" s="14"/>
      <c r="M216" s="14"/>
      <c r="N216" s="14"/>
      <c r="O216" s="14"/>
      <c r="P216" s="14"/>
      <c r="Q216" s="14"/>
    </row>
    <row r="217" spans="6:17" x14ac:dyDescent="0.35">
      <c r="F217" s="48" t="str">
        <f>A14</f>
        <v>Team 13</v>
      </c>
      <c r="G217" s="48"/>
      <c r="H217" s="14"/>
      <c r="I217" s="14"/>
      <c r="J217" s="14"/>
      <c r="K217" s="14"/>
      <c r="L217" s="14"/>
      <c r="M217" s="14"/>
      <c r="N217" s="14"/>
      <c r="O217" s="14"/>
      <c r="P217" s="14"/>
      <c r="Q217" s="14"/>
    </row>
    <row r="218" spans="6:17" x14ac:dyDescent="0.35">
      <c r="F218" s="45" t="s">
        <v>662</v>
      </c>
      <c r="G218" s="26" t="s">
        <v>4</v>
      </c>
      <c r="H218" s="45" t="s">
        <v>631</v>
      </c>
      <c r="I218" s="45" t="s">
        <v>632</v>
      </c>
      <c r="J218" s="45" t="s">
        <v>540</v>
      </c>
      <c r="K218" s="45" t="s">
        <v>537</v>
      </c>
      <c r="L218" s="45" t="s">
        <v>541</v>
      </c>
      <c r="M218" s="45" t="s">
        <v>536</v>
      </c>
      <c r="N218" s="45" t="s">
        <v>538</v>
      </c>
      <c r="O218" s="45" t="s">
        <v>539</v>
      </c>
      <c r="P218" s="45" t="s">
        <v>542</v>
      </c>
      <c r="Q218" s="45" t="s">
        <v>633</v>
      </c>
    </row>
    <row r="219" spans="6:17" x14ac:dyDescent="0.35">
      <c r="F219" s="8" t="s">
        <v>508</v>
      </c>
      <c r="G219" s="8">
        <f>VLOOKUP(F219,Rankings!$D$2:$AE$300,5,0)</f>
        <v>34.799999999999997</v>
      </c>
      <c r="H219" s="14">
        <f>VLOOKUP(F219,Rankings!$D$2:$AE$300,17,0)</f>
        <v>1.3718283582089552</v>
      </c>
      <c r="I219" s="14">
        <f>VLOOKUP(F219,Rankings!$D$2:$AE$300,18,0)</f>
        <v>0.94736235741444408</v>
      </c>
      <c r="J219" s="14">
        <f>VLOOKUP(F219,Rankings!$D$2:$AE$300,19,0)</f>
        <v>1.1554212122498193</v>
      </c>
      <c r="K219" s="14">
        <f>VLOOKUP(F219,Rankings!$D$2:$AE$300,20,0)</f>
        <v>2.7437074943569542</v>
      </c>
      <c r="L219" s="14">
        <f>VLOOKUP(F219,Rankings!$D$2:$AE$300,21,0)</f>
        <v>1.1603604432381449</v>
      </c>
      <c r="M219" s="14">
        <f>VLOOKUP(F219,Rankings!$D$2:$AE$300,22,0)</f>
        <v>1.4573302177653107</v>
      </c>
      <c r="N219" s="14">
        <f>VLOOKUP(F219,Rankings!$D$2:$AE$300,23,0)</f>
        <v>9.7549685463496322E-2</v>
      </c>
      <c r="O219" s="14">
        <f>VLOOKUP(F219,Rankings!$D$2:$AE$300,24,0)</f>
        <v>0.4803296176971123</v>
      </c>
      <c r="P219" s="14">
        <f>VLOOKUP(F219,Rankings!$D$2:$AE$300,25,0)</f>
        <v>-2.5346583995702781</v>
      </c>
      <c r="Q219" s="14">
        <f>VLOOKUP(F219,Rankings!$D$2:$AE$300,26,0)</f>
        <v>6.8792309868239592</v>
      </c>
    </row>
    <row r="220" spans="6:17" x14ac:dyDescent="0.35">
      <c r="F220" s="8" t="s">
        <v>55</v>
      </c>
      <c r="G220" s="8">
        <f>VLOOKUP(F220,Rankings!$D$2:$AE$300,5,0)</f>
        <v>33.4</v>
      </c>
      <c r="H220" s="14">
        <f>VLOOKUP(F220,Rankings!$D$2:$AE$300,17,0)</f>
        <v>-0.78392649253731361</v>
      </c>
      <c r="I220" s="14">
        <f>VLOOKUP(F220,Rankings!$D$2:$AE$300,18,0)</f>
        <v>-0.1794463878327002</v>
      </c>
      <c r="J220" s="14">
        <f>VLOOKUP(F220,Rankings!$D$2:$AE$300,19,0)</f>
        <v>0.74446847849673137</v>
      </c>
      <c r="K220" s="14">
        <f>VLOOKUP(F220,Rankings!$D$2:$AE$300,20,0)</f>
        <v>-5.617678261472165E-2</v>
      </c>
      <c r="L220" s="14">
        <f>VLOOKUP(F220,Rankings!$D$2:$AE$300,21,0)</f>
        <v>-0.20323025553080853</v>
      </c>
      <c r="M220" s="14">
        <f>VLOOKUP(F220,Rankings!$D$2:$AE$300,22,0)</f>
        <v>0.7754617831655547</v>
      </c>
      <c r="N220" s="14">
        <f>VLOOKUP(F220,Rankings!$D$2:$AE$300,23,0)</f>
        <v>0.52612863143426558</v>
      </c>
      <c r="O220" s="14">
        <f>VLOOKUP(F220,Rankings!$D$2:$AE$300,24,0)</f>
        <v>0.29590506534349342</v>
      </c>
      <c r="P220" s="14">
        <f>VLOOKUP(F220,Rankings!$D$2:$AE$300,25,0)</f>
        <v>-1.3824343499275364</v>
      </c>
      <c r="Q220" s="14">
        <f>VLOOKUP(F220,Rankings!$D$2:$AE$300,26,0)</f>
        <v>-0.26325031000303545</v>
      </c>
    </row>
    <row r="221" spans="6:17" x14ac:dyDescent="0.35">
      <c r="F221" s="8" t="s">
        <v>627</v>
      </c>
      <c r="G221" s="8">
        <f>VLOOKUP(F221,Rankings!$D$2:$AE$300,5,0)</f>
        <v>22.9</v>
      </c>
      <c r="H221" s="14">
        <f>VLOOKUP(F221,Rankings!$D$2:$AE$300,17,0)</f>
        <v>0.21065037313432794</v>
      </c>
      <c r="I221" s="14">
        <f>VLOOKUP(F221,Rankings!$D$2:$AE$300,18,0)</f>
        <v>-0.47363954372623662</v>
      </c>
      <c r="J221" s="14">
        <f>VLOOKUP(F221,Rankings!$D$2:$AE$300,19,0)</f>
        <v>-1.3102951902687094</v>
      </c>
      <c r="K221" s="14">
        <f>VLOOKUP(F221,Rankings!$D$2:$AE$300,20,0)</f>
        <v>-0.52015760565574232</v>
      </c>
      <c r="L221" s="14">
        <f>VLOOKUP(F221,Rankings!$D$2:$AE$300,21,0)</f>
        <v>0.92660203773489591</v>
      </c>
      <c r="M221" s="14">
        <f>VLOOKUP(F221,Rankings!$D$2:$AE$300,22,0)</f>
        <v>0.14229823675149517</v>
      </c>
      <c r="N221" s="14">
        <f>VLOOKUP(F221,Rankings!$D$2:$AE$300,23,0)</f>
        <v>9.7549685463496322E-2</v>
      </c>
      <c r="O221" s="14">
        <f>VLOOKUP(F221,Rankings!$D$2:$AE$300,24,0)</f>
        <v>0.29590506534349342</v>
      </c>
      <c r="P221" s="14">
        <f>VLOOKUP(F221,Rankings!$D$2:$AE$300,25,0)</f>
        <v>-0.23021030028479489</v>
      </c>
      <c r="Q221" s="14">
        <f>VLOOKUP(F221,Rankings!$D$2:$AE$300,26,0)</f>
        <v>-0.86129724150777465</v>
      </c>
    </row>
    <row r="222" spans="6:17" x14ac:dyDescent="0.35">
      <c r="F222" s="8" t="s">
        <v>22</v>
      </c>
      <c r="G222" s="8">
        <f>VLOOKUP(F222,Rankings!$D$2:$AE$300,5,0)</f>
        <v>29.4</v>
      </c>
      <c r="H222" s="14">
        <f>VLOOKUP(F222,Rankings!$D$2:$AE$300,17,0)</f>
        <v>-0.38680970149253785</v>
      </c>
      <c r="I222" s="14">
        <f>VLOOKUP(F222,Rankings!$D$2:$AE$300,18,0)</f>
        <v>1.6353612167299872E-2</v>
      </c>
      <c r="J222" s="14">
        <f>VLOOKUP(F222,Rankings!$D$2:$AE$300,19,0)</f>
        <v>-0.18017517244771702</v>
      </c>
      <c r="K222" s="14">
        <f>VLOOKUP(F222,Rankings!$D$2:$AE$300,20,0)</f>
        <v>0.37580536297519401</v>
      </c>
      <c r="L222" s="14">
        <f>VLOOKUP(F222,Rankings!$D$2:$AE$300,21,0)</f>
        <v>0.38116575822731436</v>
      </c>
      <c r="M222" s="14">
        <f>VLOOKUP(F222,Rankings!$D$2:$AE$300,22,0)</f>
        <v>-3.8164278055955883E-3</v>
      </c>
      <c r="N222" s="14">
        <f>VLOOKUP(F222,Rankings!$D$2:$AE$300,23,0)</f>
        <v>-0.54531873349265758</v>
      </c>
      <c r="O222" s="14">
        <f>VLOOKUP(F222,Rankings!$D$2:$AE$300,24,0)</f>
        <v>0.6647541700507309</v>
      </c>
      <c r="P222" s="14">
        <f>VLOOKUP(F222,Rankings!$D$2:$AE$300,25,0)</f>
        <v>0.29352790409826945</v>
      </c>
      <c r="Q222" s="14">
        <f>VLOOKUP(F222,Rankings!$D$2:$AE$300,26,0)</f>
        <v>0.61548677228030058</v>
      </c>
    </row>
    <row r="223" spans="6:17" x14ac:dyDescent="0.35">
      <c r="F223" s="8" t="s">
        <v>423</v>
      </c>
      <c r="G223" s="8">
        <f>VLOOKUP(F223,Rankings!$D$2:$AE$300,5,0)</f>
        <v>29.3</v>
      </c>
      <c r="H223" s="14">
        <f>VLOOKUP(F223,Rankings!$D$2:$AE$300,17,0)</f>
        <v>0.8987223880597015</v>
      </c>
      <c r="I223" s="14">
        <f>VLOOKUP(F223,Rankings!$D$2:$AE$300,18,0)</f>
        <v>9.2167300380227024E-2</v>
      </c>
      <c r="J223" s="14">
        <f>VLOOKUP(F223,Rankings!$D$2:$AE$300,19,0)</f>
        <v>-1.5157715571452535</v>
      </c>
      <c r="K223" s="14">
        <f>VLOOKUP(F223,Rankings!$D$2:$AE$300,20,0)</f>
        <v>0.43980271787740383</v>
      </c>
      <c r="L223" s="14">
        <f>VLOOKUP(F223,Rankings!$D$2:$AE$300,21,0)</f>
        <v>-0.51490812953514065</v>
      </c>
      <c r="M223" s="14">
        <f>VLOOKUP(F223,Rankings!$D$2:$AE$300,22,0)</f>
        <v>-0.73438975059104861</v>
      </c>
      <c r="N223" s="14">
        <f>VLOOKUP(F223,Rankings!$D$2:$AE$300,23,0)</f>
        <v>-0.75960820647804206</v>
      </c>
      <c r="O223" s="14">
        <f>VLOOKUP(F223,Rankings!$D$2:$AE$300,24,0)</f>
        <v>-0.99506680113183732</v>
      </c>
      <c r="P223" s="14">
        <f>VLOOKUP(F223,Rankings!$D$2:$AE$300,25,0)</f>
        <v>0.60777082672810812</v>
      </c>
      <c r="Q223" s="14">
        <f>VLOOKUP(F223,Rankings!$D$2:$AE$300,26,0)</f>
        <v>-2.4812812118358814</v>
      </c>
    </row>
    <row r="224" spans="6:17" x14ac:dyDescent="0.35">
      <c r="F224" s="8" t="s">
        <v>666</v>
      </c>
      <c r="G224" s="8">
        <f>VLOOKUP(F224,Rankings!$D$2:$AE$300,5,0)</f>
        <v>20.7</v>
      </c>
      <c r="H224" s="14">
        <f>VLOOKUP(F224,Rankings!$D$2:$AE$300,17,0)</f>
        <v>0.11357798507462634</v>
      </c>
      <c r="I224" s="14">
        <f>VLOOKUP(F224,Rankings!$D$2:$AE$300,18,0)</f>
        <v>-0.51783269961977296</v>
      </c>
      <c r="J224" s="14">
        <f>VLOOKUP(F224,Rankings!$D$2:$AE$300,19,0)</f>
        <v>-1.0020806399538933</v>
      </c>
      <c r="K224" s="14">
        <f>VLOOKUP(F224,Rankings!$D$2:$AE$300,20,0)</f>
        <v>-0.34416487967466564</v>
      </c>
      <c r="L224" s="14">
        <f>VLOOKUP(F224,Rankings!$D$2:$AE$300,21,0)</f>
        <v>0.61492416373056369</v>
      </c>
      <c r="M224" s="14">
        <f>VLOOKUP(F224,Rankings!$D$2:$AE$300,22,0)</f>
        <v>-1.2214386324480173</v>
      </c>
      <c r="N224" s="14">
        <f>VLOOKUP(F224,Rankings!$D$2:$AE$300,23,0)</f>
        <v>-0.97389767946342665</v>
      </c>
      <c r="O224" s="14">
        <f>VLOOKUP(F224,Rankings!$D$2:$AE$300,24,0)</f>
        <v>1.771301484172443</v>
      </c>
      <c r="P224" s="14">
        <f>VLOOKUP(F224,Rankings!$D$2:$AE$300,25,0)</f>
        <v>8.4032622345043773E-2</v>
      </c>
      <c r="Q224" s="14">
        <f>VLOOKUP(F224,Rankings!$D$2:$AE$300,26,0)</f>
        <v>-1.475578275837099</v>
      </c>
    </row>
    <row r="225" spans="6:17" x14ac:dyDescent="0.35">
      <c r="F225" s="8" t="s">
        <v>594</v>
      </c>
      <c r="G225" s="8">
        <f>VLOOKUP(F225,Rankings!$D$2:$AE$300,5,0)</f>
        <v>34.9</v>
      </c>
      <c r="H225" s="14">
        <f>VLOOKUP(F225,Rankings!$D$2:$AE$300,17,0)</f>
        <v>-5.4979477611940469E-2</v>
      </c>
      <c r="I225" s="14">
        <f>VLOOKUP(F225,Rankings!$D$2:$AE$300,18,0)</f>
        <v>-0.16471254752851874</v>
      </c>
      <c r="J225" s="14">
        <f>VLOOKUP(F225,Rankings!$D$2:$AE$300,19,0)</f>
        <v>0.33351574474364315</v>
      </c>
      <c r="K225" s="14">
        <f>VLOOKUP(F225,Rankings!$D$2:$AE$300,20,0)</f>
        <v>-2.4178105163616896E-2</v>
      </c>
      <c r="L225" s="14">
        <f>VLOOKUP(F225,Rankings!$D$2:$AE$300,21,0)</f>
        <v>0.22532682122514847</v>
      </c>
      <c r="M225" s="14">
        <f>VLOOKUP(F225,Rankings!$D$2:$AE$300,22,0)</f>
        <v>-0.5395701978482611</v>
      </c>
      <c r="N225" s="14">
        <f>VLOOKUP(F225,Rankings!$D$2:$AE$300,23,0)</f>
        <v>2.0261549423319578</v>
      </c>
      <c r="O225" s="14">
        <f>VLOOKUP(F225,Rankings!$D$2:$AE$300,24,0)</f>
        <v>0.11148051298987478</v>
      </c>
      <c r="P225" s="14">
        <f>VLOOKUP(F225,Rankings!$D$2:$AE$300,25,0)</f>
        <v>-2.0715018531569193E-2</v>
      </c>
      <c r="Q225" s="14">
        <f>VLOOKUP(F225,Rankings!$D$2:$AE$300,26,0)</f>
        <v>1.8923226746067179</v>
      </c>
    </row>
    <row r="226" spans="6:17" x14ac:dyDescent="0.35">
      <c r="F226" s="8" t="s">
        <v>612</v>
      </c>
      <c r="G226" s="8">
        <f>VLOOKUP(F226,Rankings!$D$2:$AE$300,5,0)</f>
        <v>34.5</v>
      </c>
      <c r="H226" s="14">
        <f>VLOOKUP(F226,Rankings!$D$2:$AE$300,17,0)</f>
        <v>0.35802388059701384</v>
      </c>
      <c r="I226" s="14">
        <f>VLOOKUP(F226,Rankings!$D$2:$AE$300,18,0)</f>
        <v>0.42458098859315396</v>
      </c>
      <c r="J226" s="14">
        <f>VLOOKUP(F226,Rankings!$D$2:$AE$300,19,0)</f>
        <v>3.5183994313300762</v>
      </c>
      <c r="K226" s="14">
        <f>VLOOKUP(F226,Rankings!$D$2:$AE$300,20,0)</f>
        <v>2.4557193972970111</v>
      </c>
      <c r="L226" s="14">
        <f>VLOOKUP(F226,Rankings!$D$2:$AE$300,21,0)</f>
        <v>-0.28114972403189165</v>
      </c>
      <c r="M226" s="14">
        <f>VLOOKUP(F226,Rankings!$D$2:$AE$300,22,0)</f>
        <v>1.0676911122797357</v>
      </c>
      <c r="N226" s="14">
        <f>VLOOKUP(F226,Rankings!$D$2:$AE$300,23,0)</f>
        <v>1.5975759963611886</v>
      </c>
      <c r="O226" s="14">
        <f>VLOOKUP(F226,Rankings!$D$2:$AE$300,24,0)</f>
        <v>-0.4417931440709813</v>
      </c>
      <c r="P226" s="14">
        <f>VLOOKUP(F226,Rankings!$D$2:$AE$300,25,0)</f>
        <v>0.50302318585149519</v>
      </c>
      <c r="Q226" s="14">
        <f>VLOOKUP(F226,Rankings!$D$2:$AE$300,26,0)</f>
        <v>9.2020711242068014</v>
      </c>
    </row>
    <row r="227" spans="6:17" x14ac:dyDescent="0.35">
      <c r="F227" s="8" t="s">
        <v>361</v>
      </c>
      <c r="G227" s="8">
        <f>VLOOKUP(F227,Rankings!$D$2:$AE$300,5,0)</f>
        <v>24.2</v>
      </c>
      <c r="H227" s="14">
        <f>VLOOKUP(F227,Rankings!$D$2:$AE$300,17,0)</f>
        <v>0.9066503731343275</v>
      </c>
      <c r="I227" s="14">
        <f>VLOOKUP(F227,Rankings!$D$2:$AE$300,18,0)</f>
        <v>5.1613688212927132E-2</v>
      </c>
      <c r="J227" s="14">
        <f>VLOOKUP(F227,Rankings!$D$2:$AE$300,19,0)</f>
        <v>-0.59112790620080513</v>
      </c>
      <c r="K227" s="14">
        <f>VLOOKUP(F227,Rankings!$D$2:$AE$300,20,0)</f>
        <v>-0.15217281496803622</v>
      </c>
      <c r="L227" s="14">
        <f>VLOOKUP(F227,Rankings!$D$2:$AE$300,21,0)</f>
        <v>1.238279911739228</v>
      </c>
      <c r="M227" s="14">
        <f>VLOOKUP(F227,Rankings!$D$2:$AE$300,22,0)</f>
        <v>-0.68568486240535176</v>
      </c>
      <c r="N227" s="14">
        <f>VLOOKUP(F227,Rankings!$D$2:$AE$300,23,0)</f>
        <v>9.7549685463496322E-2</v>
      </c>
      <c r="O227" s="14">
        <f>VLOOKUP(F227,Rankings!$D$2:$AE$300,24,0)</f>
        <v>-7.2944039363743871E-2</v>
      </c>
      <c r="P227" s="14">
        <f>VLOOKUP(F227,Rankings!$D$2:$AE$300,25,0)</f>
        <v>0.18878026322165675</v>
      </c>
      <c r="Q227" s="14">
        <f>VLOOKUP(F227,Rankings!$D$2:$AE$300,26,0)</f>
        <v>0.98094429883369871</v>
      </c>
    </row>
    <row r="228" spans="6:17" x14ac:dyDescent="0.35">
      <c r="F228" s="8" t="s">
        <v>178</v>
      </c>
      <c r="G228" s="8">
        <f>VLOOKUP(F228,Rankings!$D$2:$AE$300,5,0)</f>
        <v>25.6</v>
      </c>
      <c r="H228" s="14">
        <f>VLOOKUP(F228,Rankings!$D$2:$AE$300,17,0)</f>
        <v>-0.27018171641791083</v>
      </c>
      <c r="I228" s="14">
        <f>VLOOKUP(F228,Rankings!$D$2:$AE$300,18,0)</f>
        <v>0.39691406844106325</v>
      </c>
      <c r="J228" s="14">
        <f>VLOOKUP(F228,Rankings!$D$2:$AE$300,19,0)</f>
        <v>0.84720666193500305</v>
      </c>
      <c r="K228" s="14">
        <f>VLOOKUP(F228,Rankings!$D$2:$AE$300,20,0)</f>
        <v>0.24781065317077469</v>
      </c>
      <c r="L228" s="14">
        <f>VLOOKUP(F228,Rankings!$D$2:$AE$300,21,0)</f>
        <v>-1.0603444090427221</v>
      </c>
      <c r="M228" s="14">
        <f>VLOOKUP(F228,Rankings!$D$2:$AE$300,22,0)</f>
        <v>-0.58827508603395795</v>
      </c>
      <c r="N228" s="14">
        <f>VLOOKUP(F228,Rankings!$D$2:$AE$300,23,0)</f>
        <v>0.31183915844888088</v>
      </c>
      <c r="O228" s="14">
        <f>VLOOKUP(F228,Rankings!$D$2:$AE$300,24,0)</f>
        <v>0.6647541700507309</v>
      </c>
      <c r="P228" s="14">
        <f>VLOOKUP(F228,Rankings!$D$2:$AE$300,25,0)</f>
        <v>-2.0715018531569193E-2</v>
      </c>
      <c r="Q228" s="14">
        <f>VLOOKUP(F228,Rankings!$D$2:$AE$300,26,0)</f>
        <v>0.5290084820202926</v>
      </c>
    </row>
    <row r="229" spans="6:17" x14ac:dyDescent="0.35">
      <c r="F229" s="8" t="s">
        <v>254</v>
      </c>
      <c r="G229" s="8">
        <f>VLOOKUP(F229,Rankings!$D$2:$AE$300,5,0)</f>
        <v>19.100000000000001</v>
      </c>
      <c r="H229" s="14">
        <f>VLOOKUP(F229,Rankings!$D$2:$AE$300,17,0)</f>
        <v>1.533267537313433</v>
      </c>
      <c r="I229" s="14">
        <f>VLOOKUP(F229,Rankings!$D$2:$AE$300,18,0)</f>
        <v>4.5693916349808822E-2</v>
      </c>
      <c r="J229" s="14">
        <f>VLOOKUP(F229,Rankings!$D$2:$AE$300,19,0)</f>
        <v>-1.5157715571452535</v>
      </c>
      <c r="K229" s="14">
        <f>VLOOKUP(F229,Rankings!$D$2:$AE$300,20,0)</f>
        <v>-0.24816884732135105</v>
      </c>
      <c r="L229" s="14">
        <f>VLOOKUP(F229,Rankings!$D$2:$AE$300,21,0)</f>
        <v>1.7447564569962681</v>
      </c>
      <c r="M229" s="14">
        <f>VLOOKUP(F229,Rankings!$D$2:$AE$300,22,0)</f>
        <v>-1.1727337442623205</v>
      </c>
      <c r="N229" s="14">
        <f>VLOOKUP(F229,Rankings!$D$2:$AE$300,23,0)</f>
        <v>-0.75960820647804206</v>
      </c>
      <c r="O229" s="14">
        <f>VLOOKUP(F229,Rankings!$D$2:$AE$300,24,0)</f>
        <v>-0.4417931440709813</v>
      </c>
      <c r="P229" s="14">
        <f>VLOOKUP(F229,Rankings!$D$2:$AE$300,25,0)</f>
        <v>0.71251846760472104</v>
      </c>
      <c r="Q229" s="14">
        <f>VLOOKUP(F229,Rankings!$D$2:$AE$300,26,0)</f>
        <v>-0.10183912101371717</v>
      </c>
    </row>
    <row r="230" spans="6:17" x14ac:dyDescent="0.35">
      <c r="F230" s="8" t="s">
        <v>351</v>
      </c>
      <c r="G230" s="8">
        <f>VLOOKUP(F230,Rankings!$D$2:$AE$300,5,0)</f>
        <v>29.7</v>
      </c>
      <c r="H230" s="14">
        <f>VLOOKUP(F230,Rankings!$D$2:$AE$300,17,0)</f>
        <v>-3.7350000000000209E-2</v>
      </c>
      <c r="I230" s="14">
        <f>VLOOKUP(F230,Rankings!$D$2:$AE$300,18,0)</f>
        <v>-0.30033269961977305</v>
      </c>
      <c r="J230" s="14">
        <f>VLOOKUP(F230,Rankings!$D$2:$AE$300,19,0)</f>
        <v>-0.79660427307734927</v>
      </c>
      <c r="K230" s="14">
        <f>VLOOKUP(F230,Rankings!$D$2:$AE$300,20,0)</f>
        <v>0.27980933062187946</v>
      </c>
      <c r="L230" s="14">
        <f>VLOOKUP(F230,Rankings!$D$2:$AE$300,21,0)</f>
        <v>-0.20323025553080853</v>
      </c>
      <c r="M230" s="14">
        <f>VLOOKUP(F230,Rankings!$D$2:$AE$300,22,0)</f>
        <v>0.82416667135125132</v>
      </c>
      <c r="N230" s="14">
        <f>VLOOKUP(F230,Rankings!$D$2:$AE$300,23,0)</f>
        <v>-0.54531873349265758</v>
      </c>
      <c r="O230" s="14">
        <f>VLOOKUP(F230,Rankings!$D$2:$AE$300,24,0)</f>
        <v>-0.6262176964245999</v>
      </c>
      <c r="P230" s="14">
        <f>VLOOKUP(F230,Rankings!$D$2:$AE$300,25,0)</f>
        <v>-0.85869614554447204</v>
      </c>
      <c r="Q230" s="14">
        <f>VLOOKUP(F230,Rankings!$D$2:$AE$300,26,0)</f>
        <v>-2.2637738017165301</v>
      </c>
    </row>
    <row r="231" spans="6:17" x14ac:dyDescent="0.35">
      <c r="F231" s="8" t="s">
        <v>444</v>
      </c>
      <c r="G231" s="8">
        <f>VLOOKUP(F231,Rankings!$D$2:$AE$300,5,0)</f>
        <v>25.3</v>
      </c>
      <c r="H231" s="14">
        <f>VLOOKUP(F231,Rankings!$D$2:$AE$300,17,0)</f>
        <v>1.1155802238805967</v>
      </c>
      <c r="I231" s="14">
        <f>VLOOKUP(F231,Rankings!$D$2:$AE$300,18,0)</f>
        <v>9.3866920152090749E-2</v>
      </c>
      <c r="J231" s="14">
        <f>VLOOKUP(F231,Rankings!$D$2:$AE$300,19,0)</f>
        <v>-1.1048188233921654</v>
      </c>
      <c r="K231" s="14">
        <f>VLOOKUP(F231,Rankings!$D$2:$AE$300,20,0)</f>
        <v>-0.32816554094911327</v>
      </c>
      <c r="L231" s="14">
        <f>VLOOKUP(F231,Rankings!$D$2:$AE$300,21,0)</f>
        <v>-0.20323025553080853</v>
      </c>
      <c r="M231" s="14">
        <f>VLOOKUP(F231,Rankings!$D$2:$AE$300,22,0)</f>
        <v>4.488846038010133E-2</v>
      </c>
      <c r="N231" s="14">
        <f>VLOOKUP(F231,Rankings!$D$2:$AE$300,23,0)</f>
        <v>-0.33102926050727299</v>
      </c>
      <c r="O231" s="14">
        <f>VLOOKUP(F231,Rankings!$D$2:$AE$300,24,0)</f>
        <v>-0.4417931440709813</v>
      </c>
      <c r="P231" s="14">
        <f>VLOOKUP(F231,Rankings!$D$2:$AE$300,25,0)</f>
        <v>-0.85869614554447204</v>
      </c>
      <c r="Q231" s="14">
        <f>VLOOKUP(F231,Rankings!$D$2:$AE$300,26,0)</f>
        <v>-2.0133975655820247</v>
      </c>
    </row>
    <row r="232" spans="6:17" x14ac:dyDescent="0.35">
      <c r="F232" s="49" t="s">
        <v>663</v>
      </c>
      <c r="G232" s="49"/>
      <c r="H232" s="47">
        <f>SUM(H217:H231)</f>
        <v>4.9750537313432801</v>
      </c>
      <c r="I232" s="47">
        <f t="shared" ref="I232:P232" si="155">SUM(I217:I231)</f>
        <v>0.43258897338401325</v>
      </c>
      <c r="J232" s="47">
        <f t="shared" si="155"/>
        <v>-1.4176335908758733</v>
      </c>
      <c r="K232" s="47">
        <f t="shared" si="155"/>
        <v>4.8694703799519692</v>
      </c>
      <c r="L232" s="47">
        <f t="shared" si="155"/>
        <v>3.8253225636893831</v>
      </c>
      <c r="M232" s="47">
        <f t="shared" si="155"/>
        <v>-0.63407221970110372</v>
      </c>
      <c r="N232" s="47">
        <f t="shared" si="155"/>
        <v>0.83956696505468342</v>
      </c>
      <c r="O232" s="47">
        <f t="shared" si="155"/>
        <v>1.2648221165147537</v>
      </c>
      <c r="P232" s="47">
        <f t="shared" si="155"/>
        <v>-3.5164721080853978</v>
      </c>
      <c r="Q232" s="47">
        <f>SUM(Q217:Q231)</f>
        <v>10.638646811275708</v>
      </c>
    </row>
    <row r="233" spans="6:17" x14ac:dyDescent="0.35">
      <c r="F233" s="45" t="s">
        <v>652</v>
      </c>
      <c r="G233" s="45"/>
      <c r="H233" s="45" t="str">
        <f>IF(H232&lt;0, "Punt", "")</f>
        <v/>
      </c>
      <c r="I233" s="45" t="str">
        <f t="shared" ref="I233" si="156">IF(I232&lt;0, "Punt", "")</f>
        <v/>
      </c>
      <c r="J233" s="45" t="str">
        <f t="shared" ref="J233" si="157">IF(J232&lt;0, "Punt", "")</f>
        <v>Punt</v>
      </c>
      <c r="K233" s="45" t="str">
        <f t="shared" ref="K233" si="158">IF(K232&lt;0, "Punt", "")</f>
        <v/>
      </c>
      <c r="L233" s="45" t="str">
        <f t="shared" ref="L233" si="159">IF(L232&lt;0, "Punt", "")</f>
        <v/>
      </c>
      <c r="M233" s="45" t="str">
        <f t="shared" ref="M233" si="160">IF(M232&lt;0, "Punt", "")</f>
        <v>Punt</v>
      </c>
      <c r="N233" s="45" t="str">
        <f t="shared" ref="N233" si="161">IF(N232&lt;0, "Punt", "")</f>
        <v/>
      </c>
      <c r="O233" s="45" t="str">
        <f t="shared" ref="O233" si="162">IF(O232&lt;0, "Punt", "")</f>
        <v/>
      </c>
      <c r="P233" s="45" t="str">
        <f t="shared" ref="P233" si="163">IF(P232&lt;0, "Punt", "")</f>
        <v>Punt</v>
      </c>
      <c r="Q233" s="45" t="str">
        <f t="shared" ref="Q233" si="164">IF(Q232&lt;0, "Punt", "")</f>
        <v/>
      </c>
    </row>
    <row r="234" spans="6:17" x14ac:dyDescent="0.35">
      <c r="H234" s="14"/>
      <c r="I234" s="14"/>
      <c r="J234" s="14"/>
      <c r="K234" s="14"/>
      <c r="L234" s="14"/>
      <c r="M234" s="14"/>
      <c r="N234" s="14"/>
      <c r="O234" s="14"/>
      <c r="P234" s="14"/>
      <c r="Q234" s="14"/>
    </row>
    <row r="235" spans="6:17" x14ac:dyDescent="0.35">
      <c r="F235" s="48" t="str">
        <f>A15</f>
        <v>Team 14</v>
      </c>
      <c r="G235" s="48"/>
      <c r="H235" s="14"/>
      <c r="I235" s="14"/>
      <c r="J235" s="14"/>
      <c r="K235" s="14"/>
      <c r="L235" s="14"/>
      <c r="M235" s="14"/>
      <c r="N235" s="14"/>
      <c r="O235" s="14"/>
      <c r="P235" s="14"/>
      <c r="Q235" s="14"/>
    </row>
    <row r="236" spans="6:17" x14ac:dyDescent="0.35">
      <c r="F236" s="45" t="s">
        <v>662</v>
      </c>
      <c r="G236" s="26" t="s">
        <v>4</v>
      </c>
      <c r="H236" s="45" t="s">
        <v>631</v>
      </c>
      <c r="I236" s="45" t="s">
        <v>632</v>
      </c>
      <c r="J236" s="45" t="s">
        <v>540</v>
      </c>
      <c r="K236" s="45" t="s">
        <v>537</v>
      </c>
      <c r="L236" s="45" t="s">
        <v>541</v>
      </c>
      <c r="M236" s="45" t="s">
        <v>536</v>
      </c>
      <c r="N236" s="45" t="s">
        <v>538</v>
      </c>
      <c r="O236" s="45" t="s">
        <v>539</v>
      </c>
      <c r="P236" s="45" t="s">
        <v>542</v>
      </c>
      <c r="Q236" s="45" t="s">
        <v>633</v>
      </c>
    </row>
    <row r="237" spans="6:17" x14ac:dyDescent="0.35">
      <c r="F237" s="8" t="s">
        <v>215</v>
      </c>
      <c r="G237" s="8">
        <f>VLOOKUP(F237,Rankings!$D$2:$AE$300,5,0)</f>
        <v>31.1</v>
      </c>
      <c r="H237" s="14">
        <f>VLOOKUP(F237,Rankings!$D$2:$AE$300,17,0)</f>
        <v>0.21490970149253671</v>
      </c>
      <c r="I237" s="14">
        <f>VLOOKUP(F237,Rankings!$D$2:$AE$300,18,0)</f>
        <v>0.20173384030418151</v>
      </c>
      <c r="J237" s="14">
        <f>VLOOKUP(F237,Rankings!$D$2:$AE$300,19,0)</f>
        <v>0.12803937786709912</v>
      </c>
      <c r="K237" s="14">
        <f>VLOOKUP(F237,Rankings!$D$2:$AE$300,20,0)</f>
        <v>0.29580866934743183</v>
      </c>
      <c r="L237" s="14">
        <f>VLOOKUP(F237,Rankings!$D$2:$AE$300,21,0)</f>
        <v>-0.24218998978134992</v>
      </c>
      <c r="M237" s="14">
        <f>VLOOKUP(F237,Rankings!$D$2:$AE$300,22,0)</f>
        <v>1.0676911122797357</v>
      </c>
      <c r="N237" s="14">
        <f>VLOOKUP(F237,Rankings!$D$2:$AE$300,23,0)</f>
        <v>2.6690233612881116</v>
      </c>
      <c r="O237" s="14">
        <f>VLOOKUP(F237,Rankings!$D$2:$AE$300,24,0)</f>
        <v>0.11148051298987478</v>
      </c>
      <c r="P237" s="14">
        <f>VLOOKUP(F237,Rankings!$D$2:$AE$300,25,0)</f>
        <v>8.4032622345043773E-2</v>
      </c>
      <c r="Q237" s="14">
        <f>VLOOKUP(F237,Rankings!$D$2:$AE$300,26,0)</f>
        <v>4.5305292081326645</v>
      </c>
    </row>
    <row r="238" spans="6:17" x14ac:dyDescent="0.35">
      <c r="F238" s="8" t="s">
        <v>66</v>
      </c>
      <c r="G238" s="8">
        <f>VLOOKUP(F238,Rankings!$D$2:$AE$300,5,0)</f>
        <v>35.9</v>
      </c>
      <c r="H238" s="14">
        <f>VLOOKUP(F238,Rankings!$D$2:$AE$300,17,0)</f>
        <v>0.86271082089552142</v>
      </c>
      <c r="I238" s="14">
        <f>VLOOKUP(F238,Rankings!$D$2:$AE$300,18,0)</f>
        <v>1.0532357414448623</v>
      </c>
      <c r="J238" s="14">
        <f>VLOOKUP(F238,Rankings!$D$2:$AE$300,19,0)</f>
        <v>0.94994484537327517</v>
      </c>
      <c r="K238" s="14">
        <f>VLOOKUP(F238,Rankings!$D$2:$AE$300,20,0)</f>
        <v>3.5436744306345758</v>
      </c>
      <c r="L238" s="14">
        <f>VLOOKUP(F238,Rankings!$D$2:$AE$300,21,0)</f>
        <v>0.18636708697460674</v>
      </c>
      <c r="M238" s="14">
        <f>VLOOKUP(F238,Rankings!$D$2:$AE$300,22,0)</f>
        <v>1.0676911122797357</v>
      </c>
      <c r="N238" s="14">
        <f>VLOOKUP(F238,Rankings!$D$2:$AE$300,23,0)</f>
        <v>1.168997050390419</v>
      </c>
      <c r="O238" s="14">
        <f>VLOOKUP(F238,Rankings!$D$2:$AE$300,24,0)</f>
        <v>0.29590506534349342</v>
      </c>
      <c r="P238" s="14">
        <f>VLOOKUP(F238,Rankings!$D$2:$AE$300,25,0)</f>
        <v>-1.8014249134339877</v>
      </c>
      <c r="Q238" s="14">
        <f>VLOOKUP(F238,Rankings!$D$2:$AE$300,26,0)</f>
        <v>7.3271012399025013</v>
      </c>
    </row>
    <row r="239" spans="6:17" x14ac:dyDescent="0.35">
      <c r="F239" s="8" t="s">
        <v>439</v>
      </c>
      <c r="G239" s="8">
        <f>VLOOKUP(F239,Rankings!$D$2:$AE$300,5,0)</f>
        <v>31.8</v>
      </c>
      <c r="H239" s="14">
        <f>VLOOKUP(F239,Rankings!$D$2:$AE$300,17,0)</f>
        <v>1.5321179104477614</v>
      </c>
      <c r="I239" s="14">
        <f>VLOOKUP(F239,Rankings!$D$2:$AE$300,18,0)</f>
        <v>-1.0375714828897373</v>
      </c>
      <c r="J239" s="14">
        <f>VLOOKUP(F239,Rankings!$D$2:$AE$300,19,0)</f>
        <v>-1.5157715571452535</v>
      </c>
      <c r="K239" s="14">
        <f>VLOOKUP(F239,Rankings!$D$2:$AE$300,20,0)</f>
        <v>1.4637603963127594</v>
      </c>
      <c r="L239" s="14">
        <f>VLOOKUP(F239,Rankings!$D$2:$AE$300,21,0)</f>
        <v>1.2772396459897695</v>
      </c>
      <c r="M239" s="14">
        <f>VLOOKUP(F239,Rankings!$D$2:$AE$300,22,0)</f>
        <v>-0.73438975059104861</v>
      </c>
      <c r="N239" s="14">
        <f>VLOOKUP(F239,Rankings!$D$2:$AE$300,23,0)</f>
        <v>0.95470757740503476</v>
      </c>
      <c r="O239" s="14">
        <f>VLOOKUP(F239,Rankings!$D$2:$AE$300,24,0)</f>
        <v>-0.25736859171736254</v>
      </c>
      <c r="P239" s="14">
        <f>VLOOKUP(F239,Rankings!$D$2:$AE$300,25,0)</f>
        <v>-1.2776867090509234</v>
      </c>
      <c r="Q239" s="14">
        <f>VLOOKUP(F239,Rankings!$D$2:$AE$300,26,0)</f>
        <v>0.40503743876099985</v>
      </c>
    </row>
    <row r="240" spans="6:17" x14ac:dyDescent="0.35">
      <c r="F240" s="8" t="s">
        <v>51</v>
      </c>
      <c r="G240" s="8">
        <f>VLOOKUP(F240,Rankings!$D$2:$AE$300,5,0)</f>
        <v>30.2</v>
      </c>
      <c r="H240" s="14">
        <f>VLOOKUP(F240,Rankings!$D$2:$AE$300,17,0)</f>
        <v>1.0292417910447753</v>
      </c>
      <c r="I240" s="14">
        <f>VLOOKUP(F240,Rankings!$D$2:$AE$300,18,0)</f>
        <v>-0.28320608365019118</v>
      </c>
      <c r="J240" s="14">
        <f>VLOOKUP(F240,Rankings!$D$2:$AE$300,19,0)</f>
        <v>-1.4130333737069813</v>
      </c>
      <c r="K240" s="14">
        <f>VLOOKUP(F240,Rankings!$D$2:$AE$300,20,0)</f>
        <v>-4.0177443889169273E-2</v>
      </c>
      <c r="L240" s="14">
        <f>VLOOKUP(F240,Rankings!$D$2:$AE$300,21,0)</f>
        <v>2.5239511420070988</v>
      </c>
      <c r="M240" s="14">
        <f>VLOOKUP(F240,Rankings!$D$2:$AE$300,22,0)</f>
        <v>-0.4908653096625642</v>
      </c>
      <c r="N240" s="14">
        <f>VLOOKUP(F240,Rankings!$D$2:$AE$300,23,0)</f>
        <v>-0.97389767946342665</v>
      </c>
      <c r="O240" s="14">
        <f>VLOOKUP(F240,Rankings!$D$2:$AE$300,24,0)</f>
        <v>0.84917872240434955</v>
      </c>
      <c r="P240" s="14">
        <f>VLOOKUP(F240,Rankings!$D$2:$AE$300,25,0)</f>
        <v>-0.23021030028479489</v>
      </c>
      <c r="Q240" s="14">
        <f>VLOOKUP(F240,Rankings!$D$2:$AE$300,26,0)</f>
        <v>0.97098146479909619</v>
      </c>
    </row>
    <row r="241" spans="6:17" x14ac:dyDescent="0.35">
      <c r="F241" s="8" t="s">
        <v>195</v>
      </c>
      <c r="G241" s="8">
        <f>VLOOKUP(F241,Rankings!$D$2:$AE$300,5,0)</f>
        <v>24.4</v>
      </c>
      <c r="H241" s="14">
        <f>VLOOKUP(F241,Rankings!$D$2:$AE$300,17,0)</f>
        <v>1.2426716417910444</v>
      </c>
      <c r="I241" s="14">
        <f>VLOOKUP(F241,Rankings!$D$2:$AE$300,18,0)</f>
        <v>-4.3339163498100471E-2</v>
      </c>
      <c r="J241" s="14">
        <f>VLOOKUP(F241,Rankings!$D$2:$AE$300,19,0)</f>
        <v>-1.5157715571452535</v>
      </c>
      <c r="K241" s="14">
        <f>VLOOKUP(F241,Rankings!$D$2:$AE$300,20,0)</f>
        <v>3.981924973859291E-2</v>
      </c>
      <c r="L241" s="14">
        <f>VLOOKUP(F241,Rankings!$D$2:$AE$300,21,0)</f>
        <v>1.1214007089876035</v>
      </c>
      <c r="M241" s="14">
        <f>VLOOKUP(F241,Rankings!$D$2:$AE$300,22,0)</f>
        <v>-0.88050441514813926</v>
      </c>
      <c r="N241" s="14">
        <f>VLOOKUP(F241,Rankings!$D$2:$AE$300,23,0)</f>
        <v>-0.54531873349265758</v>
      </c>
      <c r="O241" s="14">
        <f>VLOOKUP(F241,Rankings!$D$2:$AE$300,24,0)</f>
        <v>-7.2944039363743871E-2</v>
      </c>
      <c r="P241" s="14">
        <f>VLOOKUP(F241,Rankings!$D$2:$AE$300,25,0)</f>
        <v>0.29352790409826945</v>
      </c>
      <c r="Q241" s="14">
        <f>VLOOKUP(F241,Rankings!$D$2:$AE$300,26,0)</f>
        <v>-0.36045840403238427</v>
      </c>
    </row>
    <row r="242" spans="6:17" x14ac:dyDescent="0.35">
      <c r="F242" s="8" t="s">
        <v>369</v>
      </c>
      <c r="G242" s="8">
        <f>VLOOKUP(F242,Rankings!$D$2:$AE$300,5,0)</f>
        <v>32.5</v>
      </c>
      <c r="H242" s="14">
        <f>VLOOKUP(F242,Rankings!$D$2:$AE$300,17,0)</f>
        <v>-0.56866902985074697</v>
      </c>
      <c r="I242" s="14">
        <f>VLOOKUP(F242,Rankings!$D$2:$AE$300,18,0)</f>
        <v>0.37352053231939053</v>
      </c>
      <c r="J242" s="14">
        <f>VLOOKUP(F242,Rankings!$D$2:$AE$300,19,0)</f>
        <v>0.53899211162018712</v>
      </c>
      <c r="K242" s="14">
        <f>VLOOKUP(F242,Rankings!$D$2:$AE$300,20,0)</f>
        <v>0.16781395954301251</v>
      </c>
      <c r="L242" s="14">
        <f>VLOOKUP(F242,Rankings!$D$2:$AE$300,21,0)</f>
        <v>-0.74866653503838987</v>
      </c>
      <c r="M242" s="14">
        <f>VLOOKUP(F242,Rankings!$D$2:$AE$300,22,0)</f>
        <v>-0.58827508603395795</v>
      </c>
      <c r="N242" s="14">
        <f>VLOOKUP(F242,Rankings!$D$2:$AE$300,23,0)</f>
        <v>9.7549685463496322E-2</v>
      </c>
      <c r="O242" s="14">
        <f>VLOOKUP(F242,Rankings!$D$2:$AE$300,24,0)</f>
        <v>-0.4417931440709813</v>
      </c>
      <c r="P242" s="14">
        <f>VLOOKUP(F242,Rankings!$D$2:$AE$300,25,0)</f>
        <v>0.29352790409826945</v>
      </c>
      <c r="Q242" s="14">
        <f>VLOOKUP(F242,Rankings!$D$2:$AE$300,26,0)</f>
        <v>-0.87599960194972026</v>
      </c>
    </row>
    <row r="243" spans="6:17" x14ac:dyDescent="0.35">
      <c r="F243" s="8" t="s">
        <v>78</v>
      </c>
      <c r="G243" s="8">
        <f>VLOOKUP(F243,Rankings!$D$2:$AE$300,5,0)</f>
        <v>29.9</v>
      </c>
      <c r="H243" s="14">
        <f>VLOOKUP(F243,Rankings!$D$2:$AE$300,17,0)</f>
        <v>-0.21133694029850775</v>
      </c>
      <c r="I243" s="14">
        <f>VLOOKUP(F243,Rankings!$D$2:$AE$300,18,0)</f>
        <v>-8.2266159695818519E-2</v>
      </c>
      <c r="J243" s="14">
        <f>VLOOKUP(F243,Rankings!$D$2:$AE$300,19,0)</f>
        <v>0.436253928181915</v>
      </c>
      <c r="K243" s="14">
        <f>VLOOKUP(F243,Rankings!$D$2:$AE$300,20,0)</f>
        <v>-0.15217281496803622</v>
      </c>
      <c r="L243" s="14">
        <f>VLOOKUP(F243,Rankings!$D$2:$AE$300,21,0)</f>
        <v>-0.6317873322867652</v>
      </c>
      <c r="M243" s="14">
        <f>VLOOKUP(F243,Rankings!$D$2:$AE$300,22,0)</f>
        <v>0.72675689497985752</v>
      </c>
      <c r="N243" s="14">
        <f>VLOOKUP(F243,Rankings!$D$2:$AE$300,23,0)</f>
        <v>0.52612863143426558</v>
      </c>
      <c r="O243" s="14">
        <f>VLOOKUP(F243,Rankings!$D$2:$AE$300,24,0)</f>
        <v>-0.4417931440709813</v>
      </c>
      <c r="P243" s="14">
        <f>VLOOKUP(F243,Rankings!$D$2:$AE$300,25,0)</f>
        <v>-0.43970558203802057</v>
      </c>
      <c r="Q243" s="14">
        <f>VLOOKUP(F243,Rankings!$D$2:$AE$300,26,0)</f>
        <v>-0.26992251876209145</v>
      </c>
    </row>
    <row r="244" spans="6:17" x14ac:dyDescent="0.35">
      <c r="F244" s="8" t="s">
        <v>284</v>
      </c>
      <c r="G244" s="8">
        <f>VLOOKUP(F244,Rankings!$D$2:$AE$300,5,0)</f>
        <v>23</v>
      </c>
      <c r="H244" s="14">
        <f>VLOOKUP(F244,Rankings!$D$2:$AE$300,17,0)</f>
        <v>-1.1320858208955225</v>
      </c>
      <c r="I244" s="14">
        <f>VLOOKUP(F244,Rankings!$D$2:$AE$300,18,0)</f>
        <v>9.2167300380227024E-2</v>
      </c>
      <c r="J244" s="14">
        <f>VLOOKUP(F244,Rankings!$D$2:$AE$300,19,0)</f>
        <v>2.5301194428826994E-2</v>
      </c>
      <c r="K244" s="14">
        <f>VLOOKUP(F244,Rankings!$D$2:$AE$300,20,0)</f>
        <v>-0.52015760565574232</v>
      </c>
      <c r="L244" s="14">
        <f>VLOOKUP(F244,Rankings!$D$2:$AE$300,21,0)</f>
        <v>0.45908522672839747</v>
      </c>
      <c r="M244" s="14">
        <f>VLOOKUP(F244,Rankings!$D$2:$AE$300,22,0)</f>
        <v>-0.14993109236268612</v>
      </c>
      <c r="N244" s="14">
        <f>VLOOKUP(F244,Rankings!$D$2:$AE$300,23,0)</f>
        <v>-0.75960820647804206</v>
      </c>
      <c r="O244" s="14">
        <f>VLOOKUP(F244,Rankings!$D$2:$AE$300,24,0)</f>
        <v>-0.99506680113183732</v>
      </c>
      <c r="P244" s="14">
        <f>VLOOKUP(F244,Rankings!$D$2:$AE$300,25,0)</f>
        <v>8.4032622345043773E-2</v>
      </c>
      <c r="Q244" s="14">
        <f>VLOOKUP(F244,Rankings!$D$2:$AE$300,26,0)</f>
        <v>-2.8962631826413352</v>
      </c>
    </row>
    <row r="245" spans="6:17" x14ac:dyDescent="0.35">
      <c r="F245" s="8" t="s">
        <v>117</v>
      </c>
      <c r="G245" s="8">
        <f>VLOOKUP(F245,Rankings!$D$2:$AE$300,5,0)</f>
        <v>24.3</v>
      </c>
      <c r="H245" s="14">
        <f>VLOOKUP(F245,Rankings!$D$2:$AE$300,17,0)</f>
        <v>0.53988619402985027</v>
      </c>
      <c r="I245" s="14">
        <f>VLOOKUP(F245,Rankings!$D$2:$AE$300,18,0)</f>
        <v>0.23781368821292712</v>
      </c>
      <c r="J245" s="14">
        <f>VLOOKUP(F245,Rankings!$D$2:$AE$300,19,0)</f>
        <v>1.3608975791263631</v>
      </c>
      <c r="K245" s="14">
        <f>VLOOKUP(F245,Rankings!$D$2:$AE$300,20,0)</f>
        <v>0.71179147621179506</v>
      </c>
      <c r="L245" s="14">
        <f>VLOOKUP(F245,Rankings!$D$2:$AE$300,21,0)</f>
        <v>-0.1253107870297254</v>
      </c>
      <c r="M245" s="14">
        <f>VLOOKUP(F245,Rankings!$D$2:$AE$300,22,0)</f>
        <v>-0.58827508603395795</v>
      </c>
      <c r="N245" s="14">
        <f>VLOOKUP(F245,Rankings!$D$2:$AE$300,23,0)</f>
        <v>0.31183915844888088</v>
      </c>
      <c r="O245" s="14">
        <f>VLOOKUP(F245,Rankings!$D$2:$AE$300,24,0)</f>
        <v>-0.4417931440709813</v>
      </c>
      <c r="P245" s="14">
        <f>VLOOKUP(F245,Rankings!$D$2:$AE$300,25,0)</f>
        <v>-0.54445322291463361</v>
      </c>
      <c r="Q245" s="14">
        <f>VLOOKUP(F245,Rankings!$D$2:$AE$300,26,0)</f>
        <v>1.4623958559805179</v>
      </c>
    </row>
    <row r="246" spans="6:17" x14ac:dyDescent="0.35">
      <c r="F246" s="8" t="s">
        <v>197</v>
      </c>
      <c r="G246" s="8">
        <f>VLOOKUP(F246,Rankings!$D$2:$AE$300,5,0)</f>
        <v>29.2</v>
      </c>
      <c r="H246" s="14">
        <f>VLOOKUP(F246,Rankings!$D$2:$AE$300,17,0)</f>
        <v>0.73365447761194025</v>
      </c>
      <c r="I246" s="14">
        <f>VLOOKUP(F246,Rankings!$D$2:$AE$300,18,0)</f>
        <v>-0.18419315589353646</v>
      </c>
      <c r="J246" s="14">
        <f>VLOOKUP(F246,Rankings!$D$2:$AE$300,19,0)</f>
        <v>1.4636357625646352</v>
      </c>
      <c r="K246" s="14">
        <f>VLOOKUP(F246,Rankings!$D$2:$AE$300,20,0)</f>
        <v>0.26380999189632709</v>
      </c>
      <c r="L246" s="14">
        <f>VLOOKUP(F246,Rankings!$D$2:$AE$300,21,0)</f>
        <v>-0.39802892678351615</v>
      </c>
      <c r="M246" s="14">
        <f>VLOOKUP(F246,Rankings!$D$2:$AE$300,22,0)</f>
        <v>-0.3447506451054736</v>
      </c>
      <c r="N246" s="14">
        <f>VLOOKUP(F246,Rankings!$D$2:$AE$300,23,0)</f>
        <v>-0.11673978752188821</v>
      </c>
      <c r="O246" s="14">
        <f>VLOOKUP(F246,Rankings!$D$2:$AE$300,24,0)</f>
        <v>-0.4417931440709813</v>
      </c>
      <c r="P246" s="14">
        <f>VLOOKUP(F246,Rankings!$D$2:$AE$300,25,0)</f>
        <v>0.50302318585149519</v>
      </c>
      <c r="Q246" s="14">
        <f>VLOOKUP(F246,Rankings!$D$2:$AE$300,26,0)</f>
        <v>1.4786177585490017</v>
      </c>
    </row>
    <row r="247" spans="6:17" x14ac:dyDescent="0.35">
      <c r="F247" s="8" t="s">
        <v>406</v>
      </c>
      <c r="G247" s="8">
        <f>VLOOKUP(F247,Rankings!$D$2:$AE$300,5,0)</f>
        <v>23.1</v>
      </c>
      <c r="H247" s="14">
        <f>VLOOKUP(F247,Rankings!$D$2:$AE$300,17,0)</f>
        <v>0.44936119402985075</v>
      </c>
      <c r="I247" s="14">
        <f>VLOOKUP(F247,Rankings!$D$2:$AE$300,18,0)</f>
        <v>-0.28283269961977303</v>
      </c>
      <c r="J247" s="14">
        <f>VLOOKUP(F247,Rankings!$D$2:$AE$300,19,0)</f>
        <v>-1.5157715571452535</v>
      </c>
      <c r="K247" s="14">
        <f>VLOOKUP(F247,Rankings!$D$2:$AE$300,20,0)</f>
        <v>-0.69615033163681905</v>
      </c>
      <c r="L247" s="14">
        <f>VLOOKUP(F247,Rankings!$D$2:$AE$300,21,0)</f>
        <v>1.4330785829919357</v>
      </c>
      <c r="M247" s="14">
        <f>VLOOKUP(F247,Rankings!$D$2:$AE$300,22,0)</f>
        <v>-0.97791419151953307</v>
      </c>
      <c r="N247" s="14">
        <f>VLOOKUP(F247,Rankings!$D$2:$AE$300,23,0)</f>
        <v>-1.1881871524488112</v>
      </c>
      <c r="O247" s="14">
        <f>VLOOKUP(F247,Rankings!$D$2:$AE$300,24,0)</f>
        <v>0.4803296176971123</v>
      </c>
      <c r="P247" s="14">
        <f>VLOOKUP(F247,Rankings!$D$2:$AE$300,25,0)</f>
        <v>0.29352790409826945</v>
      </c>
      <c r="Q247" s="14">
        <f>VLOOKUP(F247,Rankings!$D$2:$AE$300,26,0)</f>
        <v>-2.0045586335530219</v>
      </c>
    </row>
    <row r="248" spans="6:17" x14ac:dyDescent="0.35">
      <c r="F248" s="8" t="s">
        <v>95</v>
      </c>
      <c r="G248" s="8">
        <f>VLOOKUP(F248,Rankings!$D$2:$AE$300,5,0)</f>
        <v>30.4</v>
      </c>
      <c r="H248" s="14">
        <f>VLOOKUP(F248,Rankings!$D$2:$AE$300,17,0)</f>
        <v>-1.0090694029850749</v>
      </c>
      <c r="I248" s="14">
        <f>VLOOKUP(F248,Rankings!$D$2:$AE$300,18,0)</f>
        <v>0.14459391634980864</v>
      </c>
      <c r="J248" s="14">
        <f>VLOOKUP(F248,Rankings!$D$2:$AE$300,19,0)</f>
        <v>0.84720666193500305</v>
      </c>
      <c r="K248" s="14">
        <f>VLOOKUP(F248,Rankings!$D$2:$AE$300,20,0)</f>
        <v>0.74379015366289991</v>
      </c>
      <c r="L248" s="14">
        <f>VLOOKUP(F248,Rankings!$D$2:$AE$300,21,0)</f>
        <v>-0.16427052128026678</v>
      </c>
      <c r="M248" s="14">
        <f>VLOOKUP(F248,Rankings!$D$2:$AE$300,22,0)</f>
        <v>9.3593348565798248E-2</v>
      </c>
      <c r="N248" s="14">
        <f>VLOOKUP(F248,Rankings!$D$2:$AE$300,23,0)</f>
        <v>1.5975759963611886</v>
      </c>
      <c r="O248" s="14">
        <f>VLOOKUP(F248,Rankings!$D$2:$AE$300,24,0)</f>
        <v>-7.2944039363743871E-2</v>
      </c>
      <c r="P248" s="14">
        <f>VLOOKUP(F248,Rankings!$D$2:$AE$300,25,0)</f>
        <v>-1.1729390681743108</v>
      </c>
      <c r="Q248" s="14">
        <f>VLOOKUP(F248,Rankings!$D$2:$AE$300,26,0)</f>
        <v>1.0075370450713022</v>
      </c>
    </row>
    <row r="249" spans="6:17" x14ac:dyDescent="0.35">
      <c r="F249" s="8" t="s">
        <v>250</v>
      </c>
      <c r="G249" s="8">
        <f>VLOOKUP(F249,Rankings!$D$2:$AE$300,5,0)</f>
        <v>17.100000000000001</v>
      </c>
      <c r="H249" s="14">
        <f>VLOOKUP(F249,Rankings!$D$2:$AE$300,17,0)</f>
        <v>0.69278917910447746</v>
      </c>
      <c r="I249" s="14">
        <f>VLOOKUP(F249,Rankings!$D$2:$AE$300,18,0)</f>
        <v>-0.41458631178707289</v>
      </c>
      <c r="J249" s="14">
        <f>VLOOKUP(F249,Rankings!$D$2:$AE$300,19,0)</f>
        <v>-1.5157715571452535</v>
      </c>
      <c r="K249" s="14">
        <f>VLOOKUP(F249,Rankings!$D$2:$AE$300,20,0)</f>
        <v>-1.384121896835574</v>
      </c>
      <c r="L249" s="14">
        <f>VLOOKUP(F249,Rankings!$D$2:$AE$300,21,0)</f>
        <v>0.65388389798110513</v>
      </c>
      <c r="M249" s="14">
        <f>VLOOKUP(F249,Rankings!$D$2:$AE$300,22,0)</f>
        <v>-0.5395701978482611</v>
      </c>
      <c r="N249" s="14">
        <f>VLOOKUP(F249,Rankings!$D$2:$AE$300,23,0)</f>
        <v>-1.4024766254341958</v>
      </c>
      <c r="O249" s="14">
        <f>VLOOKUP(F249,Rankings!$D$2:$AE$300,24,0)</f>
        <v>1.218027827111587</v>
      </c>
      <c r="P249" s="14">
        <f>VLOOKUP(F249,Rankings!$D$2:$AE$300,25,0)</f>
        <v>-0.33495794116140765</v>
      </c>
      <c r="Q249" s="14">
        <f>VLOOKUP(F249,Rankings!$D$2:$AE$300,26,0)</f>
        <v>-3.0267836260145953</v>
      </c>
    </row>
    <row r="250" spans="6:17" x14ac:dyDescent="0.35">
      <c r="F250" s="49" t="s">
        <v>663</v>
      </c>
      <c r="G250" s="49"/>
      <c r="H250" s="47">
        <f>SUM(H235:H249)</f>
        <v>4.3761817164179053</v>
      </c>
      <c r="I250" s="47">
        <f t="shared" ref="I250:P250" si="165">SUM(I235:I249)</f>
        <v>-0.22493003802283276</v>
      </c>
      <c r="J250" s="47">
        <f t="shared" si="165"/>
        <v>-1.7258481411906899</v>
      </c>
      <c r="K250" s="47">
        <f t="shared" si="165"/>
        <v>4.4374882343620543</v>
      </c>
      <c r="L250" s="47">
        <f t="shared" si="165"/>
        <v>5.344752199460503</v>
      </c>
      <c r="M250" s="47">
        <f t="shared" si="165"/>
        <v>-2.3387433062004948</v>
      </c>
      <c r="N250" s="47">
        <f t="shared" si="165"/>
        <v>2.3395932759523754</v>
      </c>
      <c r="O250" s="47">
        <f t="shared" si="165"/>
        <v>-0.21057430231419572</v>
      </c>
      <c r="P250" s="47">
        <f t="shared" si="165"/>
        <v>-4.2497055942216884</v>
      </c>
      <c r="Q250" s="47">
        <f>SUM(Q235:Q249)</f>
        <v>7.7482140442429319</v>
      </c>
    </row>
    <row r="251" spans="6:17" x14ac:dyDescent="0.35">
      <c r="F251" s="45" t="s">
        <v>652</v>
      </c>
      <c r="G251" s="45"/>
      <c r="H251" s="45" t="str">
        <f>IF(H250&lt;0, "Punt", "")</f>
        <v/>
      </c>
      <c r="I251" s="45" t="str">
        <f t="shared" ref="I251" si="166">IF(I250&lt;0, "Punt", "")</f>
        <v>Punt</v>
      </c>
      <c r="J251" s="45" t="str">
        <f t="shared" ref="J251" si="167">IF(J250&lt;0, "Punt", "")</f>
        <v>Punt</v>
      </c>
      <c r="K251" s="45" t="str">
        <f t="shared" ref="K251" si="168">IF(K250&lt;0, "Punt", "")</f>
        <v/>
      </c>
      <c r="L251" s="45" t="str">
        <f t="shared" ref="L251" si="169">IF(L250&lt;0, "Punt", "")</f>
        <v/>
      </c>
      <c r="M251" s="45" t="str">
        <f t="shared" ref="M251" si="170">IF(M250&lt;0, "Punt", "")</f>
        <v>Punt</v>
      </c>
      <c r="N251" s="45" t="str">
        <f t="shared" ref="N251" si="171">IF(N250&lt;0, "Punt", "")</f>
        <v/>
      </c>
      <c r="O251" s="45" t="str">
        <f t="shared" ref="O251" si="172">IF(O250&lt;0, "Punt", "")</f>
        <v>Punt</v>
      </c>
      <c r="P251" s="45" t="str">
        <f t="shared" ref="P251" si="173">IF(P250&lt;0, "Punt", "")</f>
        <v>Punt</v>
      </c>
      <c r="Q251" s="45" t="str">
        <f t="shared" ref="Q251" si="174">IF(Q250&lt;0, "Punt", "")</f>
        <v/>
      </c>
    </row>
  </sheetData>
  <sortState xmlns:xlrd2="http://schemas.microsoft.com/office/spreadsheetml/2017/richdata2" ref="AD19:AF32">
    <sortCondition descending="1" ref="AE21:AE32"/>
  </sortState>
  <mergeCells count="2">
    <mergeCell ref="C3:D3"/>
    <mergeCell ref="C10:D10"/>
  </mergeCells>
  <phoneticPr fontId="6" type="noConversion"/>
  <conditionalFormatting sqref="A3:A4 A17 A6:A7 A9:A10 A12:A13 A15">
    <cfRule type="notContainsBlanks" dxfId="11" priority="123">
      <formula>LEN(TRIM(A3))&gt;0</formula>
    </cfRule>
  </conditionalFormatting>
  <conditionalFormatting sqref="D1">
    <cfRule type="containsBlanks" dxfId="10" priority="121">
      <formula>LEN(TRIM(D1))=0</formula>
    </cfRule>
    <cfRule type="notContainsBlanks" dxfId="9" priority="122">
      <formula>LEN(TRIM(D1))&gt;0</formula>
    </cfRule>
  </conditionalFormatting>
  <conditionalFormatting sqref="A2 A5 A8 A11 A14">
    <cfRule type="notContainsBlanks" dxfId="8" priority="118">
      <formula>LEN(TRIM(A2))&gt;0</formula>
    </cfRule>
  </conditionalFormatting>
  <conditionalFormatting sqref="T2:AB15">
    <cfRule type="colorScale" priority="116">
      <colorScale>
        <cfvo type="num" val="-6"/>
        <cfvo type="num" val="0"/>
        <cfvo type="num" val="6"/>
        <color rgb="FFFF0000"/>
        <color theme="0"/>
        <color rgb="FF00B050"/>
      </colorScale>
    </cfRule>
  </conditionalFormatting>
  <conditionalFormatting sqref="R57">
    <cfRule type="colorScale" priority="109">
      <colorScale>
        <cfvo type="num" val="-4"/>
        <cfvo type="num" val="0"/>
        <cfvo type="num" val="4"/>
        <color rgb="FFFF0000"/>
        <color rgb="FFFFFFFF"/>
        <color rgb="FF00B050"/>
      </colorScale>
    </cfRule>
  </conditionalFormatting>
  <conditionalFormatting sqref="AE16:AR16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03">
      <colorScale>
        <cfvo type="min"/>
        <cfvo type="max"/>
        <color rgb="FFFCFCFF"/>
        <color rgb="FF63BE7B"/>
      </colorScale>
    </cfRule>
  </conditionalFormatting>
  <conditionalFormatting sqref="AE2:AR1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3:D18">
    <cfRule type="colorScale" priority="100">
      <colorScale>
        <cfvo type="min"/>
        <cfvo type="max"/>
        <color rgb="FFF8696B"/>
        <color rgb="FFFCFCFF"/>
      </colorScale>
    </cfRule>
  </conditionalFormatting>
  <conditionalFormatting sqref="T18:AC18 T19:AB25 T26:AC26 T27:AB27 T28:AC28 T29:AB30 T31:AC31 AG31:AS31 AG28:AS28 AG26:AS26 AG18:AS18">
    <cfRule type="colorScale" priority="99">
      <colorScale>
        <cfvo type="num" val="-4"/>
        <cfvo type="num" val="0"/>
        <cfvo type="num" val="4"/>
        <color rgb="FFFF0000"/>
        <color theme="0"/>
        <color rgb="FF00B050"/>
      </colorScale>
    </cfRule>
  </conditionalFormatting>
  <conditionalFormatting sqref="H250:Q250 H196:Q236 H3:Q182">
    <cfRule type="colorScale" priority="12">
      <colorScale>
        <cfvo type="num" val="-3"/>
        <cfvo type="num" val="0"/>
        <cfvo type="num" val="3"/>
        <color rgb="FFFF0000"/>
        <color theme="0"/>
        <color rgb="FF00B050"/>
      </colorScale>
    </cfRule>
  </conditionalFormatting>
  <conditionalFormatting sqref="H183:Q195">
    <cfRule type="colorScale" priority="4">
      <colorScale>
        <cfvo type="num" val="-3"/>
        <cfvo type="num" val="0"/>
        <cfvo type="num" val="3"/>
        <color rgb="FFFF0000"/>
        <color theme="0"/>
        <color rgb="FF00B050"/>
      </colorScale>
    </cfRule>
  </conditionalFormatting>
  <conditionalFormatting sqref="H237:Q249">
    <cfRule type="colorScale" priority="3">
      <colorScale>
        <cfvo type="num" val="-3"/>
        <cfvo type="num" val="0"/>
        <cfvo type="num" val="3"/>
        <color rgb="FFFF0000"/>
        <color theme="0"/>
        <color rgb="FF00B050"/>
      </colorScale>
    </cfRule>
  </conditionalFormatting>
  <conditionalFormatting sqref="H251:Q251">
    <cfRule type="colorScale" priority="2">
      <colorScale>
        <cfvo type="num" val="-3"/>
        <cfvo type="num" val="0"/>
        <cfvo type="num" val="3"/>
        <color rgb="FFFF0000"/>
        <color theme="0"/>
        <color rgb="FF00B050"/>
      </colorScale>
    </cfRule>
  </conditionalFormatting>
  <conditionalFormatting sqref="AG19:AM19">
    <cfRule type="colorScale" priority="1">
      <colorScale>
        <cfvo type="num" val="-6"/>
        <cfvo type="num" val="0"/>
        <cfvo type="num" val="6"/>
        <color rgb="FFFF0000"/>
        <color theme="0"/>
        <color rgb="FF00B050"/>
      </colorScale>
    </cfRule>
  </conditionalFormatting>
  <dataValidations count="1">
    <dataValidation type="list" allowBlank="1" showInputMessage="1" showErrorMessage="1" sqref="D4" xr:uid="{4456AE83-7F6A-4EB0-96D3-53C55B81E324}">
      <formula1>$A$2:$A$15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6" r:id="rId4" name="AddPlayer">
          <controlPr defaultSize="0" autoLine="0" r:id="rId5">
            <anchor>
              <from>
                <xdr:col>1</xdr:col>
                <xdr:colOff>1200150</xdr:colOff>
                <xdr:row>5</xdr:row>
                <xdr:rowOff>50800</xdr:rowOff>
              </from>
              <to>
                <xdr:col>4</xdr:col>
                <xdr:colOff>44450</xdr:colOff>
                <xdr:row>7</xdr:row>
                <xdr:rowOff>82550</xdr:rowOff>
              </to>
            </anchor>
          </controlPr>
        </control>
      </mc:Choice>
      <mc:Fallback>
        <control shapeId="4106" r:id="rId4" name="AddPlay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0C9F669-3324-49E9-9BF5-961E4DEDDCAE}">
          <x14:formula1>
            <xm:f>_xlfn.ANCHORARRAY('Lookup Tables'!$H$2)</xm:f>
          </x14:formula1>
          <xm:sqref>D5:D6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8FE8A-9B41-4C24-8588-B3E32D468B38}">
  <sheetPr codeName="Sheet4"/>
  <dimension ref="A1:J500"/>
  <sheetViews>
    <sheetView topLeftCell="B1" zoomScale="57" workbookViewId="0">
      <selection activeCell="N20" sqref="N20"/>
    </sheetView>
  </sheetViews>
  <sheetFormatPr defaultRowHeight="14.5" x14ac:dyDescent="0.35"/>
  <cols>
    <col min="1" max="1" width="25.1796875" style="2" bestFit="1" customWidth="1"/>
    <col min="2" max="2" width="28.36328125" style="2" customWidth="1"/>
    <col min="3" max="3" width="8.7265625" style="2"/>
    <col min="4" max="4" width="23.7265625" style="6" bestFit="1" customWidth="1"/>
    <col min="5" max="5" width="23" style="6" bestFit="1" customWidth="1"/>
    <col min="6" max="6" width="23.1796875" style="6" bestFit="1" customWidth="1"/>
    <col min="7" max="7" width="23.1796875" style="2" bestFit="1" customWidth="1"/>
    <col min="8" max="8" width="23.36328125" style="2" bestFit="1" customWidth="1"/>
    <col min="9" max="16384" width="8.7265625" style="2"/>
  </cols>
  <sheetData>
    <row r="1" spans="1:10" x14ac:dyDescent="0.35">
      <c r="A1" s="74" t="s">
        <v>629</v>
      </c>
      <c r="B1" s="74"/>
      <c r="D1" s="74" t="s">
        <v>628</v>
      </c>
      <c r="E1" s="74"/>
      <c r="F1" s="74"/>
      <c r="H1" s="25" t="s">
        <v>659</v>
      </c>
      <c r="I1" s="25" t="s">
        <v>660</v>
      </c>
      <c r="J1" s="25"/>
    </row>
    <row r="2" spans="1:10" x14ac:dyDescent="0.35">
      <c r="A2" s="3" t="s">
        <v>534</v>
      </c>
      <c r="B2" s="4" t="s">
        <v>535</v>
      </c>
      <c r="C2" s="5"/>
      <c r="D2" s="5" t="s">
        <v>655</v>
      </c>
      <c r="E2" s="5" t="s">
        <v>654</v>
      </c>
      <c r="F2" s="5" t="s">
        <v>465</v>
      </c>
      <c r="H2" s="2" t="str" cm="1">
        <f t="array" ref="H2:H270">_xlfn._xlws.FILTER(Player_Names,ISNUMBER(SEARCH('Test Draft'!D5,Player_Names)),”Not Found”)</f>
        <v>Player</v>
      </c>
      <c r="I2" s="2">
        <f t="shared" ref="I2:I65" si="0">MATCH(H2,Player_Names,0)</f>
        <v>1</v>
      </c>
    </row>
    <row r="3" spans="1:10" x14ac:dyDescent="0.35">
      <c r="A3" s="2" t="s">
        <v>489</v>
      </c>
      <c r="B3" s="2" t="s">
        <v>70</v>
      </c>
      <c r="C3" s="6"/>
      <c r="D3" s="6" t="s">
        <v>598</v>
      </c>
      <c r="E3" s="6" t="s">
        <v>494</v>
      </c>
      <c r="F3" s="6" t="str">
        <f t="shared" ref="F3:F66" si="1">VLOOKUP(VLOOKUP(E3,Roster_Range,2,FALSE),Abbreviations, 2, FALSE)</f>
        <v>ATL</v>
      </c>
      <c r="H3" s="2" t="str">
        <v>CJ McCollum</v>
      </c>
      <c r="I3" s="7">
        <f t="shared" si="0"/>
        <v>2</v>
      </c>
    </row>
    <row r="4" spans="1:10" x14ac:dyDescent="0.35">
      <c r="A4" s="2" t="s">
        <v>499</v>
      </c>
      <c r="B4" s="2" t="s">
        <v>98</v>
      </c>
      <c r="C4" s="6"/>
      <c r="D4" s="6" t="s">
        <v>108</v>
      </c>
      <c r="E4" s="6" t="s">
        <v>108</v>
      </c>
      <c r="F4" s="6" t="str">
        <f t="shared" si="1"/>
        <v>ATL</v>
      </c>
      <c r="G4" s="7"/>
      <c r="H4" s="2" t="str">
        <v>Nikola Jokić</v>
      </c>
      <c r="I4" s="7">
        <f t="shared" si="0"/>
        <v>3</v>
      </c>
    </row>
    <row r="5" spans="1:10" x14ac:dyDescent="0.35">
      <c r="A5" s="2" t="s">
        <v>471</v>
      </c>
      <c r="B5" s="2" t="s">
        <v>30</v>
      </c>
      <c r="C5" s="6"/>
      <c r="D5" s="6" t="s">
        <v>122</v>
      </c>
      <c r="E5" s="6" t="s">
        <v>122</v>
      </c>
      <c r="F5" s="6" t="str">
        <f t="shared" si="1"/>
        <v>ATL</v>
      </c>
      <c r="G5" s="7"/>
      <c r="H5" s="2" t="str">
        <v>Karl-Anthony Towns</v>
      </c>
      <c r="I5" s="7">
        <f t="shared" si="0"/>
        <v>4</v>
      </c>
    </row>
    <row r="6" spans="1:10" x14ac:dyDescent="0.35">
      <c r="A6" s="2" t="s">
        <v>481</v>
      </c>
      <c r="B6" s="2" t="s">
        <v>54</v>
      </c>
      <c r="C6" s="6"/>
      <c r="D6" s="6" t="s">
        <v>146</v>
      </c>
      <c r="E6" s="6" t="s">
        <v>146</v>
      </c>
      <c r="F6" s="6" t="str">
        <f t="shared" si="1"/>
        <v>ATL</v>
      </c>
      <c r="G6" s="7"/>
      <c r="H6" s="2" t="str">
        <v>Kyrie Irving</v>
      </c>
      <c r="I6" s="7">
        <f t="shared" si="0"/>
        <v>5</v>
      </c>
    </row>
    <row r="7" spans="1:10" x14ac:dyDescent="0.35">
      <c r="A7" s="2" t="s">
        <v>479</v>
      </c>
      <c r="B7" s="2" t="s">
        <v>47</v>
      </c>
      <c r="C7" s="6"/>
      <c r="D7" s="6" t="s">
        <v>156</v>
      </c>
      <c r="E7" s="6" t="s">
        <v>156</v>
      </c>
      <c r="F7" s="6" t="str">
        <f t="shared" si="1"/>
        <v>ATL</v>
      </c>
      <c r="G7" s="7"/>
      <c r="H7" s="2" t="str">
        <v>Joel Embiid</v>
      </c>
      <c r="I7" s="7">
        <f t="shared" si="0"/>
        <v>6</v>
      </c>
    </row>
    <row r="8" spans="1:10" x14ac:dyDescent="0.35">
      <c r="A8" s="2" t="s">
        <v>504</v>
      </c>
      <c r="B8" s="2" t="s">
        <v>118</v>
      </c>
      <c r="C8" s="6"/>
      <c r="D8" s="6" t="s">
        <v>166</v>
      </c>
      <c r="E8" s="6" t="s">
        <v>166</v>
      </c>
      <c r="F8" s="6" t="str">
        <f t="shared" si="1"/>
        <v>ATL</v>
      </c>
      <c r="G8" s="7"/>
      <c r="H8" s="2" t="str">
        <v>Myles Turner</v>
      </c>
      <c r="I8" s="7">
        <f t="shared" si="0"/>
        <v>7</v>
      </c>
    </row>
    <row r="9" spans="1:10" x14ac:dyDescent="0.35">
      <c r="A9" s="2" t="s">
        <v>484</v>
      </c>
      <c r="B9" s="2" t="s">
        <v>56</v>
      </c>
      <c r="C9" s="6"/>
      <c r="D9" s="6" t="s">
        <v>176</v>
      </c>
      <c r="E9" s="6" t="s">
        <v>176</v>
      </c>
      <c r="F9" s="6" t="str">
        <f t="shared" si="1"/>
        <v>ATL</v>
      </c>
      <c r="G9" s="7"/>
      <c r="H9" s="2" t="str">
        <v>Michael Porter Jr.</v>
      </c>
      <c r="I9" s="7">
        <f t="shared" si="0"/>
        <v>8</v>
      </c>
    </row>
    <row r="10" spans="1:10" x14ac:dyDescent="0.35">
      <c r="A10" s="2" t="s">
        <v>486</v>
      </c>
      <c r="B10" s="2" t="s">
        <v>59</v>
      </c>
      <c r="C10" s="6"/>
      <c r="D10" s="6" t="s">
        <v>212</v>
      </c>
      <c r="E10" s="6" t="s">
        <v>212</v>
      </c>
      <c r="F10" s="6" t="str">
        <f t="shared" si="1"/>
        <v>ATL</v>
      </c>
      <c r="G10" s="7"/>
      <c r="H10" s="2" t="str">
        <v>Anthony Davis</v>
      </c>
      <c r="I10" s="7">
        <f t="shared" si="0"/>
        <v>9</v>
      </c>
    </row>
    <row r="11" spans="1:10" x14ac:dyDescent="0.35">
      <c r="A11" s="2" t="s">
        <v>498</v>
      </c>
      <c r="B11" s="2" t="s">
        <v>82</v>
      </c>
      <c r="C11" s="6"/>
      <c r="D11" s="6" t="s">
        <v>224</v>
      </c>
      <c r="E11" s="6" t="s">
        <v>224</v>
      </c>
      <c r="F11" s="6" t="str">
        <f t="shared" si="1"/>
        <v>ATL</v>
      </c>
      <c r="G11" s="7"/>
      <c r="H11" s="2" t="str">
        <v>Kawhi Leonard</v>
      </c>
      <c r="I11" s="7">
        <f t="shared" si="0"/>
        <v>10</v>
      </c>
    </row>
    <row r="12" spans="1:10" x14ac:dyDescent="0.35">
      <c r="A12" s="2" t="s">
        <v>490</v>
      </c>
      <c r="B12" s="2" t="s">
        <v>87</v>
      </c>
      <c r="C12" s="6"/>
      <c r="D12" s="6" t="s">
        <v>225</v>
      </c>
      <c r="E12" s="6" t="s">
        <v>225</v>
      </c>
      <c r="F12" s="6" t="str">
        <f t="shared" si="1"/>
        <v>ATL</v>
      </c>
      <c r="G12" s="7"/>
      <c r="H12" s="2" t="str">
        <v>Bradley Beal</v>
      </c>
      <c r="I12" s="7">
        <f t="shared" si="0"/>
        <v>11</v>
      </c>
    </row>
    <row r="13" spans="1:10" x14ac:dyDescent="0.35">
      <c r="A13" s="2" t="s">
        <v>501</v>
      </c>
      <c r="B13" s="2" t="s">
        <v>36</v>
      </c>
      <c r="C13" s="6"/>
      <c r="D13" s="6" t="s">
        <v>366</v>
      </c>
      <c r="E13" s="6" t="s">
        <v>366</v>
      </c>
      <c r="F13" s="6" t="str">
        <f t="shared" si="1"/>
        <v>ATL</v>
      </c>
      <c r="G13" s="7"/>
      <c r="H13" s="2" t="str">
        <v>Malcolm Brogdon</v>
      </c>
      <c r="I13" s="7">
        <f t="shared" si="0"/>
        <v>12</v>
      </c>
    </row>
    <row r="14" spans="1:10" x14ac:dyDescent="0.35">
      <c r="A14" s="2" t="s">
        <v>493</v>
      </c>
      <c r="B14" s="2" t="s">
        <v>75</v>
      </c>
      <c r="C14" s="6"/>
      <c r="D14" s="6" t="s">
        <v>375</v>
      </c>
      <c r="E14" s="6" t="s">
        <v>375</v>
      </c>
      <c r="F14" s="6" t="str">
        <f t="shared" si="1"/>
        <v>ATL</v>
      </c>
      <c r="G14" s="7"/>
      <c r="H14" s="2" t="str">
        <v>Nikola Vučević</v>
      </c>
      <c r="I14" s="7">
        <f t="shared" si="0"/>
        <v>13</v>
      </c>
    </row>
    <row r="15" spans="1:10" x14ac:dyDescent="0.35">
      <c r="A15" s="2" t="s">
        <v>492</v>
      </c>
      <c r="B15" s="2" t="s">
        <v>72</v>
      </c>
      <c r="C15" s="6"/>
      <c r="D15" s="6" t="s">
        <v>395</v>
      </c>
      <c r="E15" s="6" t="s">
        <v>395</v>
      </c>
      <c r="F15" s="6" t="str">
        <f t="shared" si="1"/>
        <v>ATL</v>
      </c>
      <c r="G15" s="7"/>
      <c r="H15" s="2" t="str">
        <v>Kevin Durant</v>
      </c>
      <c r="I15" s="7">
        <f t="shared" si="0"/>
        <v>14</v>
      </c>
    </row>
    <row r="16" spans="1:10" x14ac:dyDescent="0.35">
      <c r="A16" s="2" t="s">
        <v>475</v>
      </c>
      <c r="B16" s="2" t="s">
        <v>40</v>
      </c>
      <c r="C16" s="6"/>
      <c r="D16" s="6" t="s">
        <v>445</v>
      </c>
      <c r="E16" s="6" t="s">
        <v>445</v>
      </c>
      <c r="F16" s="6" t="str">
        <f t="shared" si="1"/>
        <v>ATL</v>
      </c>
      <c r="G16" s="7"/>
      <c r="H16" s="2" t="str">
        <v>Paul George</v>
      </c>
      <c r="I16" s="7">
        <f t="shared" si="0"/>
        <v>15</v>
      </c>
    </row>
    <row r="17" spans="1:9" x14ac:dyDescent="0.35">
      <c r="A17" s="2" t="s">
        <v>470</v>
      </c>
      <c r="B17" s="2" t="s">
        <v>28</v>
      </c>
      <c r="C17" s="6"/>
      <c r="D17" s="6" t="s">
        <v>701</v>
      </c>
      <c r="E17" s="7" t="s">
        <v>701</v>
      </c>
      <c r="F17" s="6" t="str">
        <f t="shared" si="1"/>
        <v>ATL</v>
      </c>
      <c r="G17" s="7"/>
      <c r="H17" s="2" t="str">
        <v>Jayson Tatum</v>
      </c>
      <c r="I17" s="7">
        <f t="shared" si="0"/>
        <v>16</v>
      </c>
    </row>
    <row r="18" spans="1:9" x14ac:dyDescent="0.35">
      <c r="A18" s="2" t="s">
        <v>467</v>
      </c>
      <c r="B18" s="2" t="s">
        <v>21</v>
      </c>
      <c r="C18" s="6"/>
      <c r="D18" s="6" t="s">
        <v>707</v>
      </c>
      <c r="E18" s="7" t="s">
        <v>707</v>
      </c>
      <c r="F18" s="6" t="str">
        <f t="shared" si="1"/>
        <v>ATL</v>
      </c>
      <c r="G18" s="7"/>
      <c r="H18" s="2" t="str">
        <v>Jaylen Brown</v>
      </c>
      <c r="I18" s="7">
        <f t="shared" si="0"/>
        <v>17</v>
      </c>
    </row>
    <row r="19" spans="1:9" x14ac:dyDescent="0.35">
      <c r="A19" s="2" t="s">
        <v>474</v>
      </c>
      <c r="B19" s="2" t="s">
        <v>38</v>
      </c>
      <c r="C19" s="6"/>
      <c r="D19" s="7" t="s">
        <v>751</v>
      </c>
      <c r="E19" s="7" t="s">
        <v>751</v>
      </c>
      <c r="F19" s="6" t="str">
        <f t="shared" si="1"/>
        <v>ATL</v>
      </c>
      <c r="G19" s="7"/>
      <c r="H19" s="2" t="str">
        <v>Stephen Curry</v>
      </c>
      <c r="I19" s="7">
        <f t="shared" si="0"/>
        <v>18</v>
      </c>
    </row>
    <row r="20" spans="1:9" x14ac:dyDescent="0.35">
      <c r="A20" s="2" t="s">
        <v>488</v>
      </c>
      <c r="B20" s="2" t="s">
        <v>61</v>
      </c>
      <c r="C20" s="6"/>
      <c r="D20" s="6" t="s">
        <v>97</v>
      </c>
      <c r="E20" s="6" t="s">
        <v>97</v>
      </c>
      <c r="F20" s="6" t="str">
        <f t="shared" si="1"/>
        <v>BOS</v>
      </c>
      <c r="G20" s="7"/>
      <c r="H20" s="2" t="str">
        <v>James Harden</v>
      </c>
      <c r="I20" s="7">
        <f t="shared" si="0"/>
        <v>19</v>
      </c>
    </row>
    <row r="21" spans="1:9" x14ac:dyDescent="0.35">
      <c r="A21" s="2" t="s">
        <v>469</v>
      </c>
      <c r="B21" s="2" t="s">
        <v>26</v>
      </c>
      <c r="C21" s="6"/>
      <c r="D21" s="6" t="s">
        <v>147</v>
      </c>
      <c r="E21" s="6" t="s">
        <v>147</v>
      </c>
      <c r="F21" s="6" t="str">
        <f t="shared" si="1"/>
        <v>BOS</v>
      </c>
      <c r="G21" s="7"/>
      <c r="H21" s="2" t="str">
        <v>Fred VanVleet</v>
      </c>
      <c r="I21" s="7">
        <f t="shared" si="0"/>
        <v>20</v>
      </c>
    </row>
    <row r="22" spans="1:9" x14ac:dyDescent="0.35">
      <c r="A22" s="2" t="s">
        <v>472</v>
      </c>
      <c r="B22" s="2" t="s">
        <v>31</v>
      </c>
      <c r="C22" s="6"/>
      <c r="D22" s="6" t="s">
        <v>153</v>
      </c>
      <c r="E22" s="6" t="s">
        <v>153</v>
      </c>
      <c r="F22" s="6" t="str">
        <f t="shared" si="1"/>
        <v>BOS</v>
      </c>
      <c r="G22" s="7"/>
      <c r="H22" s="2" t="str">
        <v>Jerami Grant</v>
      </c>
      <c r="I22" s="7">
        <f t="shared" si="0"/>
        <v>21</v>
      </c>
    </row>
    <row r="23" spans="1:9" x14ac:dyDescent="0.35">
      <c r="A23" s="2" t="s">
        <v>466</v>
      </c>
      <c r="B23" s="2" t="s">
        <v>19</v>
      </c>
      <c r="C23" s="6"/>
      <c r="D23" s="6" t="s">
        <v>185</v>
      </c>
      <c r="E23" s="6" t="s">
        <v>185</v>
      </c>
      <c r="F23" s="6" t="str">
        <f t="shared" si="1"/>
        <v>BOS</v>
      </c>
      <c r="G23" s="7"/>
      <c r="H23" s="2" t="str">
        <v>Christian Wood</v>
      </c>
      <c r="I23" s="7">
        <f t="shared" si="0"/>
        <v>22</v>
      </c>
    </row>
    <row r="24" spans="1:9" x14ac:dyDescent="0.35">
      <c r="A24" s="2" t="s">
        <v>473</v>
      </c>
      <c r="B24" s="2" t="s">
        <v>33</v>
      </c>
      <c r="C24" s="6"/>
      <c r="D24" s="63" t="s">
        <v>268</v>
      </c>
      <c r="E24" s="6" t="s">
        <v>268</v>
      </c>
      <c r="F24" s="6" t="str">
        <f t="shared" si="1"/>
        <v>BOS</v>
      </c>
      <c r="G24" s="7"/>
      <c r="H24" s="2" t="str">
        <v>Khris Middleton</v>
      </c>
      <c r="I24" s="7">
        <f t="shared" si="0"/>
        <v>23</v>
      </c>
    </row>
    <row r="25" spans="1:9" x14ac:dyDescent="0.35">
      <c r="A25" s="2" t="s">
        <v>500</v>
      </c>
      <c r="B25" s="2" t="s">
        <v>80</v>
      </c>
      <c r="C25" s="6"/>
      <c r="D25" s="6" t="s">
        <v>338</v>
      </c>
      <c r="E25" s="6" t="s">
        <v>338</v>
      </c>
      <c r="F25" s="6" t="str">
        <f t="shared" si="1"/>
        <v>BOS</v>
      </c>
      <c r="G25" s="7"/>
      <c r="H25" s="2" t="str">
        <v>Chris Boucher</v>
      </c>
      <c r="I25" s="7">
        <f t="shared" si="0"/>
        <v>24</v>
      </c>
    </row>
    <row r="26" spans="1:9" x14ac:dyDescent="0.35">
      <c r="A26" s="2" t="s">
        <v>480</v>
      </c>
      <c r="B26" s="2" t="s">
        <v>52</v>
      </c>
      <c r="C26" s="6"/>
      <c r="D26" s="6" t="s">
        <v>392</v>
      </c>
      <c r="E26" s="6" t="s">
        <v>392</v>
      </c>
      <c r="F26" s="6" t="str">
        <f t="shared" si="1"/>
        <v>BOS</v>
      </c>
      <c r="G26" s="7"/>
      <c r="H26" s="2" t="str">
        <v>DeMar DeRozan</v>
      </c>
      <c r="I26" s="7">
        <f t="shared" si="0"/>
        <v>25</v>
      </c>
    </row>
    <row r="27" spans="1:9" x14ac:dyDescent="0.35">
      <c r="A27" s="2" t="s">
        <v>476</v>
      </c>
      <c r="B27" s="2" t="s">
        <v>43</v>
      </c>
      <c r="C27" s="6"/>
      <c r="D27" s="6" t="s">
        <v>400</v>
      </c>
      <c r="E27" s="6" t="s">
        <v>400</v>
      </c>
      <c r="F27" s="6" t="str">
        <f t="shared" si="1"/>
        <v>BOS</v>
      </c>
      <c r="G27" s="7"/>
      <c r="H27" s="2" t="str">
        <v>Zach LaVine</v>
      </c>
      <c r="I27" s="7">
        <f t="shared" si="0"/>
        <v>26</v>
      </c>
    </row>
    <row r="28" spans="1:9" x14ac:dyDescent="0.35">
      <c r="A28" s="2" t="s">
        <v>482</v>
      </c>
      <c r="B28" s="2" t="s">
        <v>49</v>
      </c>
      <c r="C28" s="6"/>
      <c r="D28" s="6" t="s">
        <v>401</v>
      </c>
      <c r="E28" s="6" t="s">
        <v>401</v>
      </c>
      <c r="F28" s="6" t="str">
        <f t="shared" si="1"/>
        <v>BOS</v>
      </c>
      <c r="G28" s="7"/>
      <c r="H28" s="2" t="str">
        <v>Damian Lillard</v>
      </c>
      <c r="I28" s="7">
        <f t="shared" si="0"/>
        <v>27</v>
      </c>
    </row>
    <row r="29" spans="1:9" x14ac:dyDescent="0.35">
      <c r="A29" s="2" t="s">
        <v>468</v>
      </c>
      <c r="B29" s="2" t="s">
        <v>23</v>
      </c>
      <c r="C29" s="6"/>
      <c r="D29" s="6" t="s">
        <v>403</v>
      </c>
      <c r="E29" s="6" t="s">
        <v>403</v>
      </c>
      <c r="F29" s="6" t="str">
        <f t="shared" si="1"/>
        <v>BOS</v>
      </c>
      <c r="G29" s="7"/>
      <c r="H29" s="2" t="str">
        <v>Giannis Antetokounmpo</v>
      </c>
      <c r="I29" s="7">
        <f t="shared" si="0"/>
        <v>28</v>
      </c>
    </row>
    <row r="30" spans="1:9" x14ac:dyDescent="0.35">
      <c r="A30" s="2" t="s">
        <v>478</v>
      </c>
      <c r="B30" s="2" t="s">
        <v>44</v>
      </c>
      <c r="C30" s="6"/>
      <c r="D30" s="6" t="s">
        <v>406</v>
      </c>
      <c r="E30" s="6" t="s">
        <v>406</v>
      </c>
      <c r="F30" s="6" t="str">
        <f t="shared" si="1"/>
        <v>BOS</v>
      </c>
      <c r="G30" s="7"/>
      <c r="H30" s="2" t="str">
        <v>Tobias Harris</v>
      </c>
      <c r="I30" s="7">
        <f t="shared" si="0"/>
        <v>29</v>
      </c>
    </row>
    <row r="31" spans="1:9" x14ac:dyDescent="0.35">
      <c r="A31" s="2" t="s">
        <v>496</v>
      </c>
      <c r="B31" s="2" t="s">
        <v>79</v>
      </c>
      <c r="C31" s="6"/>
      <c r="D31" s="6" t="s">
        <v>420</v>
      </c>
      <c r="E31" s="6" t="s">
        <v>420</v>
      </c>
      <c r="F31" s="6" t="str">
        <f t="shared" si="1"/>
        <v>BOS</v>
      </c>
      <c r="G31" s="7"/>
      <c r="H31" s="2" t="str">
        <v>Alec Burks</v>
      </c>
      <c r="I31" s="7">
        <f t="shared" si="0"/>
        <v>30</v>
      </c>
    </row>
    <row r="32" spans="1:9" x14ac:dyDescent="0.35">
      <c r="A32" s="2" t="s">
        <v>487</v>
      </c>
      <c r="B32" s="2" t="s">
        <v>67</v>
      </c>
      <c r="C32" s="6"/>
      <c r="D32" s="6" t="s">
        <v>425</v>
      </c>
      <c r="E32" s="6" t="s">
        <v>425</v>
      </c>
      <c r="F32" s="6" t="str">
        <f t="shared" si="1"/>
        <v>BOS</v>
      </c>
      <c r="G32" s="7"/>
      <c r="H32" s="2" t="str">
        <v>Jrue Holiday</v>
      </c>
      <c r="I32" s="7">
        <f t="shared" si="0"/>
        <v>31</v>
      </c>
    </row>
    <row r="33" spans="3:9" x14ac:dyDescent="0.35">
      <c r="C33" s="6"/>
      <c r="D33" s="6" t="s">
        <v>432</v>
      </c>
      <c r="E33" s="6" t="s">
        <v>432</v>
      </c>
      <c r="F33" s="6" t="str">
        <f t="shared" si="1"/>
        <v>BOS</v>
      </c>
      <c r="G33" s="7"/>
      <c r="H33" s="2" t="str">
        <v>Gordon Hayward</v>
      </c>
      <c r="I33" s="7">
        <f t="shared" si="0"/>
        <v>32</v>
      </c>
    </row>
    <row r="34" spans="3:9" x14ac:dyDescent="0.35">
      <c r="C34" s="6"/>
      <c r="D34" s="6" t="s">
        <v>437</v>
      </c>
      <c r="E34" s="6" t="s">
        <v>437</v>
      </c>
      <c r="F34" s="6" t="str">
        <f t="shared" si="1"/>
        <v>BOS</v>
      </c>
      <c r="G34" s="7"/>
      <c r="H34" s="2" t="str">
        <v>Brandon Ingram</v>
      </c>
      <c r="I34" s="7">
        <f t="shared" si="0"/>
        <v>33</v>
      </c>
    </row>
    <row r="35" spans="3:9" x14ac:dyDescent="0.35">
      <c r="C35" s="6"/>
      <c r="D35" s="6" t="s">
        <v>711</v>
      </c>
      <c r="E35" s="7" t="s">
        <v>711</v>
      </c>
      <c r="F35" s="6" t="str">
        <f t="shared" si="1"/>
        <v>BOS</v>
      </c>
      <c r="G35" s="7"/>
      <c r="H35" s="2" t="str">
        <v>Luka Dončić</v>
      </c>
      <c r="I35" s="7">
        <f t="shared" si="0"/>
        <v>34</v>
      </c>
    </row>
    <row r="36" spans="3:9" x14ac:dyDescent="0.35">
      <c r="C36" s="6"/>
      <c r="D36" s="6" t="s">
        <v>718</v>
      </c>
      <c r="E36" s="7" t="s">
        <v>718</v>
      </c>
      <c r="F36" s="6" t="str">
        <f t="shared" si="1"/>
        <v>BOS</v>
      </c>
      <c r="G36" s="7"/>
      <c r="H36" s="2" t="str">
        <v>Jimmy Butler</v>
      </c>
      <c r="I36" s="7">
        <f t="shared" si="0"/>
        <v>35</v>
      </c>
    </row>
    <row r="37" spans="3:9" x14ac:dyDescent="0.35">
      <c r="C37" s="6"/>
      <c r="D37" s="6" t="s">
        <v>29</v>
      </c>
      <c r="E37" s="6" t="s">
        <v>29</v>
      </c>
      <c r="F37" s="6" t="str">
        <f t="shared" si="1"/>
        <v>BRK</v>
      </c>
      <c r="G37" s="7"/>
      <c r="H37" s="2" t="str">
        <v>LeBron James</v>
      </c>
      <c r="I37" s="7">
        <f t="shared" si="0"/>
        <v>36</v>
      </c>
    </row>
    <row r="38" spans="3:9" x14ac:dyDescent="0.35">
      <c r="C38" s="6"/>
      <c r="D38" s="6" t="s">
        <v>96</v>
      </c>
      <c r="E38" s="6" t="s">
        <v>580</v>
      </c>
      <c r="F38" s="6" t="str">
        <f t="shared" si="1"/>
        <v>BRK</v>
      </c>
      <c r="G38" s="7"/>
      <c r="H38" s="2" t="str">
        <v>Ja Morant</v>
      </c>
      <c r="I38" s="7">
        <f t="shared" si="0"/>
        <v>37</v>
      </c>
    </row>
    <row r="39" spans="3:9" x14ac:dyDescent="0.35">
      <c r="C39" s="6"/>
      <c r="D39" s="6" t="s">
        <v>113</v>
      </c>
      <c r="E39" s="6" t="s">
        <v>113</v>
      </c>
      <c r="F39" s="6" t="str">
        <f t="shared" si="1"/>
        <v>BRK</v>
      </c>
      <c r="G39" s="7"/>
      <c r="H39" s="2" t="str">
        <v>Richaun Holmes</v>
      </c>
      <c r="I39" s="7">
        <f t="shared" si="0"/>
        <v>38</v>
      </c>
    </row>
    <row r="40" spans="3:9" x14ac:dyDescent="0.35">
      <c r="C40" s="6"/>
      <c r="D40" s="6" t="s">
        <v>119</v>
      </c>
      <c r="E40" s="6" t="s">
        <v>119</v>
      </c>
      <c r="F40" s="6" t="str">
        <f t="shared" si="1"/>
        <v>BRK</v>
      </c>
      <c r="G40" s="7"/>
      <c r="H40" s="2" t="str">
        <v>Mitchell Robinson</v>
      </c>
      <c r="I40" s="7">
        <f t="shared" si="0"/>
        <v>39</v>
      </c>
    </row>
    <row r="41" spans="3:9" x14ac:dyDescent="0.35">
      <c r="C41" s="6"/>
      <c r="D41" s="6" t="s">
        <v>139</v>
      </c>
      <c r="E41" s="6" t="s">
        <v>139</v>
      </c>
      <c r="F41" s="6" t="str">
        <f t="shared" si="1"/>
        <v>BRK</v>
      </c>
      <c r="G41" s="7"/>
      <c r="H41" s="2" t="str">
        <v>Collin Sexton</v>
      </c>
      <c r="I41" s="7">
        <f t="shared" si="0"/>
        <v>40</v>
      </c>
    </row>
    <row r="42" spans="3:9" x14ac:dyDescent="0.35">
      <c r="C42" s="6"/>
      <c r="D42" s="6" t="s">
        <v>508</v>
      </c>
      <c r="E42" s="6" t="s">
        <v>508</v>
      </c>
      <c r="F42" s="6" t="str">
        <f t="shared" si="1"/>
        <v>BRK</v>
      </c>
      <c r="G42" s="7"/>
      <c r="H42" s="2" t="str">
        <v>Mikal Bridges</v>
      </c>
      <c r="I42" s="7">
        <f t="shared" si="0"/>
        <v>41</v>
      </c>
    </row>
    <row r="43" spans="3:9" x14ac:dyDescent="0.35">
      <c r="C43" s="6"/>
      <c r="D43" s="6" t="s">
        <v>186</v>
      </c>
      <c r="E43" s="6" t="s">
        <v>186</v>
      </c>
      <c r="F43" s="6" t="str">
        <f t="shared" si="1"/>
        <v>BRK</v>
      </c>
      <c r="G43" s="7"/>
      <c r="H43" s="2" t="str">
        <v>Terry Rozier</v>
      </c>
      <c r="I43" s="7">
        <f t="shared" si="0"/>
        <v>42</v>
      </c>
    </row>
    <row r="44" spans="3:9" x14ac:dyDescent="0.35">
      <c r="C44" s="6"/>
      <c r="D44" s="6" t="s">
        <v>197</v>
      </c>
      <c r="E44" s="6" t="s">
        <v>197</v>
      </c>
      <c r="F44" s="6" t="str">
        <f t="shared" si="1"/>
        <v>BRK</v>
      </c>
      <c r="G44" s="7"/>
      <c r="H44" s="2" t="str">
        <v>Victor Oladipo</v>
      </c>
      <c r="I44" s="7">
        <f t="shared" si="0"/>
        <v>43</v>
      </c>
    </row>
    <row r="45" spans="3:9" x14ac:dyDescent="0.35">
      <c r="C45" s="6"/>
      <c r="D45" s="6" t="s">
        <v>230</v>
      </c>
      <c r="E45" s="6" t="s">
        <v>230</v>
      </c>
      <c r="F45" s="6" t="str">
        <f t="shared" si="1"/>
        <v>BRK</v>
      </c>
      <c r="G45" s="7"/>
      <c r="H45" s="2" t="str">
        <v>Larry Nance Jr.</v>
      </c>
      <c r="I45" s="7">
        <f t="shared" si="0"/>
        <v>44</v>
      </c>
    </row>
    <row r="46" spans="3:9" x14ac:dyDescent="0.35">
      <c r="C46" s="6"/>
      <c r="D46" s="6" t="s">
        <v>551</v>
      </c>
      <c r="E46" s="6" t="s">
        <v>551</v>
      </c>
      <c r="F46" s="6" t="str">
        <f t="shared" si="1"/>
        <v>BRK</v>
      </c>
      <c r="G46" s="7"/>
      <c r="H46" s="2" t="str">
        <v>Seth Curry</v>
      </c>
      <c r="I46" s="7">
        <f t="shared" si="0"/>
        <v>45</v>
      </c>
    </row>
    <row r="47" spans="3:9" x14ac:dyDescent="0.35">
      <c r="C47" s="6"/>
      <c r="D47" s="6" t="s">
        <v>250</v>
      </c>
      <c r="E47" s="6" t="s">
        <v>250</v>
      </c>
      <c r="F47" s="6" t="str">
        <f t="shared" si="1"/>
        <v>BRK</v>
      </c>
      <c r="G47" s="7"/>
      <c r="H47" s="2" t="str">
        <v>Rudy Gobert</v>
      </c>
      <c r="I47" s="7">
        <f t="shared" si="0"/>
        <v>46</v>
      </c>
    </row>
    <row r="48" spans="3:9" x14ac:dyDescent="0.35">
      <c r="C48" s="6"/>
      <c r="D48" s="6" t="s">
        <v>265</v>
      </c>
      <c r="E48" s="6" t="s">
        <v>265</v>
      </c>
      <c r="F48" s="6" t="str">
        <f t="shared" si="1"/>
        <v>BRK</v>
      </c>
      <c r="G48" s="7"/>
      <c r="H48" s="2" t="str">
        <v>Domantas Sabonis</v>
      </c>
      <c r="I48" s="7">
        <f t="shared" si="0"/>
        <v>47</v>
      </c>
    </row>
    <row r="49" spans="3:9" x14ac:dyDescent="0.35">
      <c r="C49" s="6"/>
      <c r="D49" s="6" t="s">
        <v>278</v>
      </c>
      <c r="E49" s="6" t="s">
        <v>278</v>
      </c>
      <c r="F49" s="6" t="str">
        <f t="shared" si="1"/>
        <v>BRK</v>
      </c>
      <c r="G49" s="7"/>
      <c r="H49" s="2" t="str">
        <v>Bam Adebayo</v>
      </c>
      <c r="I49" s="7">
        <f t="shared" si="0"/>
        <v>48</v>
      </c>
    </row>
    <row r="50" spans="3:9" x14ac:dyDescent="0.35">
      <c r="C50" s="6"/>
      <c r="D50" s="6" t="s">
        <v>610</v>
      </c>
      <c r="E50" s="6" t="s">
        <v>513</v>
      </c>
      <c r="F50" s="6" t="str">
        <f t="shared" si="1"/>
        <v>BRK</v>
      </c>
      <c r="G50" s="7"/>
      <c r="H50" s="2" t="str">
        <v>Andre Drummond</v>
      </c>
      <c r="I50" s="7">
        <f t="shared" si="0"/>
        <v>49</v>
      </c>
    </row>
    <row r="51" spans="3:9" x14ac:dyDescent="0.35">
      <c r="C51" s="6"/>
      <c r="D51" s="6" t="s">
        <v>387</v>
      </c>
      <c r="E51" s="6" t="s">
        <v>387</v>
      </c>
      <c r="F51" s="6" t="str">
        <f t="shared" si="1"/>
        <v>BRK</v>
      </c>
      <c r="G51" s="7"/>
      <c r="H51" s="2" t="str">
        <v>Tyrese Haliburton</v>
      </c>
      <c r="I51" s="7">
        <f t="shared" si="0"/>
        <v>50</v>
      </c>
    </row>
    <row r="52" spans="3:9" x14ac:dyDescent="0.35">
      <c r="C52" s="6"/>
      <c r="D52" s="62" t="s">
        <v>522</v>
      </c>
      <c r="E52" s="6" t="s">
        <v>522</v>
      </c>
      <c r="F52" s="6" t="str">
        <f t="shared" si="1"/>
        <v>BRK</v>
      </c>
      <c r="G52" s="7"/>
      <c r="H52" s="2" t="str">
        <v>Shai Gilgeous-Alexander</v>
      </c>
      <c r="I52" s="7">
        <f t="shared" si="0"/>
        <v>51</v>
      </c>
    </row>
    <row r="53" spans="3:9" x14ac:dyDescent="0.35">
      <c r="C53" s="6"/>
      <c r="D53" s="6" t="s">
        <v>716</v>
      </c>
      <c r="E53" s="7" t="s">
        <v>716</v>
      </c>
      <c r="F53" s="6" t="str">
        <f t="shared" si="1"/>
        <v>BRK</v>
      </c>
      <c r="G53" s="7"/>
      <c r="H53" s="2" t="str">
        <v>LaMelo Ball</v>
      </c>
      <c r="I53" s="7">
        <f t="shared" si="0"/>
        <v>52</v>
      </c>
    </row>
    <row r="54" spans="3:9" x14ac:dyDescent="0.35">
      <c r="C54" s="6"/>
      <c r="D54" s="6" t="s">
        <v>45</v>
      </c>
      <c r="E54" s="6" t="s">
        <v>45</v>
      </c>
      <c r="F54" s="6" t="str">
        <f t="shared" si="1"/>
        <v>CHI</v>
      </c>
      <c r="G54" s="7"/>
      <c r="H54" s="2" t="str">
        <v>Kelly Olynyk</v>
      </c>
      <c r="I54" s="7">
        <f t="shared" si="0"/>
        <v>53</v>
      </c>
    </row>
    <row r="55" spans="3:9" x14ac:dyDescent="0.35">
      <c r="C55" s="6"/>
      <c r="D55" s="62" t="s">
        <v>637</v>
      </c>
      <c r="E55" s="6" t="s">
        <v>582</v>
      </c>
      <c r="F55" s="6" t="str">
        <f t="shared" si="1"/>
        <v>CHI</v>
      </c>
      <c r="G55" s="7"/>
      <c r="H55" s="2" t="str">
        <v>Pascal Siakam</v>
      </c>
      <c r="I55" s="7">
        <f t="shared" si="0"/>
        <v>54</v>
      </c>
    </row>
    <row r="56" spans="3:9" x14ac:dyDescent="0.35">
      <c r="C56" s="6"/>
      <c r="D56" s="6" t="s">
        <v>604</v>
      </c>
      <c r="E56" s="6" t="s">
        <v>509</v>
      </c>
      <c r="F56" s="6" t="str">
        <f t="shared" si="1"/>
        <v>CHI</v>
      </c>
      <c r="G56" s="7"/>
      <c r="H56" s="2" t="str">
        <v>De'Andre Hunter</v>
      </c>
      <c r="I56" s="7">
        <f t="shared" si="0"/>
        <v>55</v>
      </c>
    </row>
    <row r="57" spans="3:9" x14ac:dyDescent="0.35">
      <c r="C57" s="6"/>
      <c r="D57" s="6" t="s">
        <v>165</v>
      </c>
      <c r="E57" s="6" t="s">
        <v>165</v>
      </c>
      <c r="F57" s="6" t="str">
        <f t="shared" si="1"/>
        <v>CHI</v>
      </c>
      <c r="G57" s="7"/>
      <c r="H57" s="2" t="str">
        <v>Kyle Lowry</v>
      </c>
      <c r="I57" s="7">
        <f t="shared" si="0"/>
        <v>56</v>
      </c>
    </row>
    <row r="58" spans="3:9" x14ac:dyDescent="0.35">
      <c r="C58" s="6"/>
      <c r="D58" s="6" t="s">
        <v>226</v>
      </c>
      <c r="E58" s="6" t="s">
        <v>226</v>
      </c>
      <c r="F58" s="6" t="str">
        <f t="shared" si="1"/>
        <v>CHI</v>
      </c>
      <c r="G58" s="7"/>
      <c r="H58" s="2" t="str">
        <v>Mike Conley</v>
      </c>
      <c r="I58" s="7">
        <f t="shared" si="0"/>
        <v>57</v>
      </c>
    </row>
    <row r="59" spans="3:9" x14ac:dyDescent="0.35">
      <c r="C59" s="6"/>
      <c r="D59" s="6" t="s">
        <v>263</v>
      </c>
      <c r="E59" s="6" t="s">
        <v>263</v>
      </c>
      <c r="F59" s="6" t="str">
        <f t="shared" si="1"/>
        <v>CHI</v>
      </c>
      <c r="G59" s="7"/>
      <c r="H59" s="2" t="str">
        <v>John Collins</v>
      </c>
      <c r="I59" s="7">
        <f t="shared" si="0"/>
        <v>58</v>
      </c>
    </row>
    <row r="60" spans="3:9" x14ac:dyDescent="0.35">
      <c r="C60" s="6"/>
      <c r="D60" s="6" t="s">
        <v>269</v>
      </c>
      <c r="E60" s="6" t="s">
        <v>269</v>
      </c>
      <c r="F60" s="6" t="str">
        <f t="shared" si="1"/>
        <v>CHI</v>
      </c>
      <c r="G60" s="7"/>
      <c r="H60" s="2" t="str">
        <v>Julius Randle</v>
      </c>
      <c r="I60" s="7">
        <f t="shared" si="0"/>
        <v>59</v>
      </c>
    </row>
    <row r="61" spans="3:9" x14ac:dyDescent="0.35">
      <c r="C61" s="6"/>
      <c r="D61" s="6" t="s">
        <v>290</v>
      </c>
      <c r="E61" s="6" t="s">
        <v>290</v>
      </c>
      <c r="F61" s="6" t="str">
        <f t="shared" si="1"/>
        <v>CHI</v>
      </c>
      <c r="G61" s="7"/>
      <c r="H61" s="2" t="str">
        <v>Nicolas Batum</v>
      </c>
      <c r="I61" s="7">
        <f t="shared" si="0"/>
        <v>60</v>
      </c>
    </row>
    <row r="62" spans="3:9" x14ac:dyDescent="0.35">
      <c r="C62" s="6"/>
      <c r="D62" s="6" t="s">
        <v>314</v>
      </c>
      <c r="E62" s="6" t="s">
        <v>314</v>
      </c>
      <c r="F62" s="6" t="str">
        <f t="shared" si="1"/>
        <v>CHI</v>
      </c>
      <c r="G62" s="7"/>
      <c r="H62" s="2" t="str">
        <v>Harrison Barnes</v>
      </c>
      <c r="I62" s="7">
        <f t="shared" si="0"/>
        <v>61</v>
      </c>
    </row>
    <row r="63" spans="3:9" x14ac:dyDescent="0.35">
      <c r="C63" s="6"/>
      <c r="D63" s="6" t="s">
        <v>360</v>
      </c>
      <c r="E63" s="6" t="s">
        <v>360</v>
      </c>
      <c r="F63" s="6" t="str">
        <f t="shared" si="1"/>
        <v>CHI</v>
      </c>
      <c r="G63" s="7"/>
      <c r="H63" s="2" t="str">
        <v>Jarrett Allen</v>
      </c>
      <c r="I63" s="7">
        <f t="shared" si="0"/>
        <v>62</v>
      </c>
    </row>
    <row r="64" spans="3:9" x14ac:dyDescent="0.35">
      <c r="C64" s="6"/>
      <c r="D64" s="6" t="s">
        <v>620</v>
      </c>
      <c r="E64" s="6" t="s">
        <v>525</v>
      </c>
      <c r="F64" s="6" t="str">
        <f t="shared" si="1"/>
        <v>CHI</v>
      </c>
      <c r="G64" s="7"/>
      <c r="H64" s="2" t="str">
        <v>Ben Simmons</v>
      </c>
      <c r="I64" s="7">
        <f t="shared" si="0"/>
        <v>63</v>
      </c>
    </row>
    <row r="65" spans="3:9" x14ac:dyDescent="0.35">
      <c r="C65" s="6"/>
      <c r="D65" s="6" t="s">
        <v>402</v>
      </c>
      <c r="E65" s="6" t="s">
        <v>402</v>
      </c>
      <c r="F65" s="6" t="str">
        <f t="shared" si="1"/>
        <v>CHI</v>
      </c>
      <c r="G65" s="7"/>
      <c r="H65" s="2" t="str">
        <v>John Wall</v>
      </c>
      <c r="I65" s="7">
        <f t="shared" si="0"/>
        <v>64</v>
      </c>
    </row>
    <row r="66" spans="3:9" x14ac:dyDescent="0.35">
      <c r="C66" s="6"/>
      <c r="D66" s="6" t="s">
        <v>415</v>
      </c>
      <c r="E66" s="6" t="s">
        <v>415</v>
      </c>
      <c r="F66" s="6" t="str">
        <f t="shared" si="1"/>
        <v>CHI</v>
      </c>
      <c r="G66" s="7"/>
      <c r="H66" s="2" t="str">
        <v>Darius Garland</v>
      </c>
      <c r="I66" s="7">
        <f t="shared" ref="I66:I129" si="2">MATCH(H66,Player_Names,0)</f>
        <v>65</v>
      </c>
    </row>
    <row r="67" spans="3:9" x14ac:dyDescent="0.35">
      <c r="C67" s="6"/>
      <c r="D67" s="6" t="s">
        <v>428</v>
      </c>
      <c r="E67" s="6" t="s">
        <v>428</v>
      </c>
      <c r="F67" s="6" t="str">
        <f t="shared" ref="F67:F130" si="3">VLOOKUP(VLOOKUP(E67,Roster_Range,2,FALSE),Abbreviations, 2, FALSE)</f>
        <v>CHI</v>
      </c>
      <c r="G67" s="7"/>
      <c r="H67" s="2" t="str">
        <v>Caris LeVert</v>
      </c>
      <c r="I67" s="7">
        <f t="shared" si="2"/>
        <v>66</v>
      </c>
    </row>
    <row r="68" spans="3:9" x14ac:dyDescent="0.35">
      <c r="C68" s="6"/>
      <c r="D68" s="6" t="s">
        <v>444</v>
      </c>
      <c r="E68" s="6" t="s">
        <v>444</v>
      </c>
      <c r="F68" s="6" t="str">
        <f t="shared" si="3"/>
        <v>CHI</v>
      </c>
      <c r="G68" s="7"/>
      <c r="H68" s="2" t="str">
        <v>Marcus Smart</v>
      </c>
      <c r="I68" s="7">
        <f t="shared" si="2"/>
        <v>67</v>
      </c>
    </row>
    <row r="69" spans="3:9" x14ac:dyDescent="0.35">
      <c r="C69" s="6"/>
      <c r="D69" s="6" t="s">
        <v>690</v>
      </c>
      <c r="E69" s="7" t="s">
        <v>690</v>
      </c>
      <c r="F69" s="6" t="str">
        <f t="shared" si="3"/>
        <v>CHI</v>
      </c>
      <c r="G69" s="7"/>
      <c r="H69" s="2" t="str">
        <v>Keldon Johnson</v>
      </c>
      <c r="I69" s="7">
        <f t="shared" si="2"/>
        <v>68</v>
      </c>
    </row>
    <row r="70" spans="3:9" x14ac:dyDescent="0.35">
      <c r="C70" s="6"/>
      <c r="D70" s="6" t="s">
        <v>730</v>
      </c>
      <c r="E70" s="7" t="s">
        <v>730</v>
      </c>
      <c r="F70" s="6" t="str">
        <f t="shared" si="3"/>
        <v>CHI</v>
      </c>
      <c r="G70" s="7"/>
      <c r="H70" s="2" t="str">
        <v>OG Anunoby</v>
      </c>
      <c r="I70" s="7">
        <f t="shared" si="2"/>
        <v>69</v>
      </c>
    </row>
    <row r="71" spans="3:9" x14ac:dyDescent="0.35">
      <c r="C71" s="6"/>
      <c r="D71" s="6" t="s">
        <v>76</v>
      </c>
      <c r="E71" s="6" t="s">
        <v>76</v>
      </c>
      <c r="F71" s="6" t="str">
        <f t="shared" si="3"/>
        <v>CHO</v>
      </c>
      <c r="G71" s="7"/>
      <c r="H71" s="2" t="str">
        <v>Lauri Markkanen</v>
      </c>
      <c r="I71" s="7">
        <f t="shared" si="2"/>
        <v>70</v>
      </c>
    </row>
    <row r="72" spans="3:9" x14ac:dyDescent="0.35">
      <c r="C72" s="6"/>
      <c r="D72" s="6" t="s">
        <v>93</v>
      </c>
      <c r="E72" s="6" t="s">
        <v>93</v>
      </c>
      <c r="F72" s="6" t="str">
        <f t="shared" si="3"/>
        <v>CHO</v>
      </c>
      <c r="G72" s="7"/>
      <c r="H72" s="2" t="str">
        <v>Steven Adams</v>
      </c>
      <c r="I72" s="7">
        <f t="shared" si="2"/>
        <v>71</v>
      </c>
    </row>
    <row r="73" spans="3:9" x14ac:dyDescent="0.35">
      <c r="C73" s="6"/>
      <c r="D73" s="6" t="s">
        <v>179</v>
      </c>
      <c r="E73" s="6" t="s">
        <v>179</v>
      </c>
      <c r="F73" s="6" t="str">
        <f t="shared" si="3"/>
        <v>CHO</v>
      </c>
      <c r="G73" s="7"/>
      <c r="H73" s="2" t="str">
        <v>Mason Plumlee</v>
      </c>
      <c r="I73" s="7">
        <f t="shared" si="2"/>
        <v>72</v>
      </c>
    </row>
    <row r="74" spans="3:9" x14ac:dyDescent="0.35">
      <c r="C74" s="6"/>
      <c r="D74" s="6" t="s">
        <v>204</v>
      </c>
      <c r="E74" s="6" t="s">
        <v>204</v>
      </c>
      <c r="F74" s="6" t="str">
        <f t="shared" si="3"/>
        <v>CHO</v>
      </c>
      <c r="G74" s="7"/>
      <c r="H74" s="2" t="str">
        <v>Andrew Wiggins</v>
      </c>
      <c r="I74" s="7">
        <f t="shared" si="2"/>
        <v>73</v>
      </c>
    </row>
    <row r="75" spans="3:9" x14ac:dyDescent="0.35">
      <c r="C75" s="6"/>
      <c r="D75" s="63" t="s">
        <v>291</v>
      </c>
      <c r="E75" s="6" t="s">
        <v>291</v>
      </c>
      <c r="F75" s="6" t="str">
        <f t="shared" si="3"/>
        <v>CHO</v>
      </c>
      <c r="G75" s="7"/>
      <c r="H75" s="2" t="str">
        <v>Tim Hardaway Jr.</v>
      </c>
      <c r="I75" s="7">
        <f t="shared" si="2"/>
        <v>74</v>
      </c>
    </row>
    <row r="76" spans="3:9" x14ac:dyDescent="0.35">
      <c r="C76" s="6"/>
      <c r="D76" s="6" t="s">
        <v>292</v>
      </c>
      <c r="E76" s="6" t="s">
        <v>292</v>
      </c>
      <c r="F76" s="6" t="str">
        <f t="shared" si="3"/>
        <v>CHO</v>
      </c>
      <c r="G76" s="7"/>
      <c r="H76" s="2" t="str">
        <v>Chris Paul</v>
      </c>
      <c r="I76" s="7">
        <f t="shared" si="2"/>
        <v>75</v>
      </c>
    </row>
    <row r="77" spans="3:9" x14ac:dyDescent="0.35">
      <c r="C77" s="6"/>
      <c r="D77" s="6" t="s">
        <v>299</v>
      </c>
      <c r="E77" s="6" t="s">
        <v>299</v>
      </c>
      <c r="F77" s="6" t="str">
        <f t="shared" si="3"/>
        <v>CHO</v>
      </c>
      <c r="G77" s="7"/>
      <c r="H77" s="2" t="str">
        <v>Russell Westbrook</v>
      </c>
      <c r="I77" s="7">
        <f t="shared" si="2"/>
        <v>76</v>
      </c>
    </row>
    <row r="78" spans="3:9" x14ac:dyDescent="0.35">
      <c r="C78" s="6"/>
      <c r="D78" s="6" t="s">
        <v>315</v>
      </c>
      <c r="E78" s="6" t="s">
        <v>315</v>
      </c>
      <c r="F78" s="6" t="str">
        <f t="shared" si="3"/>
        <v>CHO</v>
      </c>
      <c r="G78" s="7"/>
      <c r="H78" s="2" t="str">
        <v>Joe Harris</v>
      </c>
      <c r="I78" s="7">
        <f t="shared" si="2"/>
        <v>77</v>
      </c>
    </row>
    <row r="79" spans="3:9" x14ac:dyDescent="0.35">
      <c r="C79" s="6"/>
      <c r="D79" s="6" t="s">
        <v>378</v>
      </c>
      <c r="E79" s="6" t="s">
        <v>378</v>
      </c>
      <c r="F79" s="6" t="str">
        <f t="shared" si="3"/>
        <v>CHO</v>
      </c>
      <c r="G79" s="7"/>
      <c r="H79" s="2" t="str">
        <v>Jordan Clarkson</v>
      </c>
      <c r="I79" s="7">
        <f t="shared" si="2"/>
        <v>78</v>
      </c>
    </row>
    <row r="80" spans="3:9" x14ac:dyDescent="0.35">
      <c r="C80" s="6"/>
      <c r="D80" s="6" t="s">
        <v>460</v>
      </c>
      <c r="E80" s="6" t="s">
        <v>460</v>
      </c>
      <c r="F80" s="6" t="str">
        <f t="shared" si="3"/>
        <v>CHO</v>
      </c>
      <c r="G80" s="7"/>
      <c r="H80" s="2" t="str">
        <v>Dejounte Murray</v>
      </c>
      <c r="I80" s="7">
        <f t="shared" si="2"/>
        <v>79</v>
      </c>
    </row>
    <row r="81" spans="3:9" x14ac:dyDescent="0.35">
      <c r="C81" s="6"/>
      <c r="D81" s="6" t="s">
        <v>446</v>
      </c>
      <c r="E81" s="6" t="s">
        <v>446</v>
      </c>
      <c r="F81" s="6" t="str">
        <f t="shared" si="3"/>
        <v>CHO</v>
      </c>
      <c r="G81" s="7"/>
      <c r="H81" s="2" t="str">
        <v>Donte DiVincenzo</v>
      </c>
      <c r="I81" s="7">
        <f t="shared" si="2"/>
        <v>80</v>
      </c>
    </row>
    <row r="82" spans="3:9" x14ac:dyDescent="0.35">
      <c r="C82" s="6"/>
      <c r="D82" s="30" t="s">
        <v>667</v>
      </c>
      <c r="E82" s="30" t="s">
        <v>667</v>
      </c>
      <c r="F82" s="6" t="str">
        <f t="shared" si="3"/>
        <v>CHO</v>
      </c>
      <c r="G82" s="7"/>
      <c r="H82" s="2" t="str">
        <v>P.J. Washington</v>
      </c>
      <c r="I82" s="7">
        <f t="shared" si="2"/>
        <v>81</v>
      </c>
    </row>
    <row r="83" spans="3:9" x14ac:dyDescent="0.35">
      <c r="C83" s="6"/>
      <c r="D83" s="7" t="s">
        <v>688</v>
      </c>
      <c r="E83" s="7" t="s">
        <v>734</v>
      </c>
      <c r="F83" s="6" t="str">
        <f t="shared" si="3"/>
        <v>CHO</v>
      </c>
      <c r="G83" s="7"/>
      <c r="H83" s="2" t="str">
        <v>Donovan Mitchell</v>
      </c>
      <c r="I83" s="7">
        <f t="shared" si="2"/>
        <v>82</v>
      </c>
    </row>
    <row r="84" spans="3:9" x14ac:dyDescent="0.35">
      <c r="C84" s="6"/>
      <c r="D84" s="7" t="s">
        <v>735</v>
      </c>
      <c r="E84" s="7" t="s">
        <v>735</v>
      </c>
      <c r="F84" s="6" t="str">
        <f t="shared" si="3"/>
        <v>CHO</v>
      </c>
      <c r="G84" s="7"/>
      <c r="H84" s="2" t="str">
        <v>Jonas Valančiūnas</v>
      </c>
      <c r="I84" s="7">
        <f t="shared" si="2"/>
        <v>83</v>
      </c>
    </row>
    <row r="85" spans="3:9" x14ac:dyDescent="0.35">
      <c r="C85" s="6"/>
      <c r="D85" s="6" t="s">
        <v>721</v>
      </c>
      <c r="E85" s="7" t="s">
        <v>721</v>
      </c>
      <c r="F85" s="6" t="str">
        <f t="shared" si="3"/>
        <v>CHO</v>
      </c>
      <c r="G85" s="7"/>
      <c r="H85" s="2" t="str">
        <v>D'Angelo Russell</v>
      </c>
      <c r="I85" s="7">
        <f t="shared" si="2"/>
        <v>84</v>
      </c>
    </row>
    <row r="86" spans="3:9" x14ac:dyDescent="0.35">
      <c r="C86" s="6"/>
      <c r="D86" s="7" t="s">
        <v>753</v>
      </c>
      <c r="E86" s="7" t="s">
        <v>753</v>
      </c>
      <c r="F86" s="6" t="str">
        <f t="shared" si="3"/>
        <v>CHO</v>
      </c>
      <c r="G86" s="7"/>
      <c r="H86" s="2" t="str">
        <v>Dorian Finney-Smith</v>
      </c>
      <c r="I86" s="7">
        <f t="shared" si="2"/>
        <v>85</v>
      </c>
    </row>
    <row r="87" spans="3:9" x14ac:dyDescent="0.35">
      <c r="C87" s="6"/>
      <c r="D87" s="6" t="s">
        <v>543</v>
      </c>
      <c r="E87" s="6" t="s">
        <v>543</v>
      </c>
      <c r="F87" s="6" t="str">
        <f t="shared" si="3"/>
        <v>CLE</v>
      </c>
      <c r="G87" s="7"/>
      <c r="H87" s="2" t="str">
        <v>Thomas Bryant</v>
      </c>
      <c r="I87" s="7">
        <f t="shared" si="2"/>
        <v>86</v>
      </c>
    </row>
    <row r="88" spans="3:9" x14ac:dyDescent="0.35">
      <c r="C88" s="6"/>
      <c r="D88" s="6" t="s">
        <v>545</v>
      </c>
      <c r="E88" s="6" t="s">
        <v>583</v>
      </c>
      <c r="F88" s="6" t="str">
        <f t="shared" si="3"/>
        <v>CLE</v>
      </c>
      <c r="G88" s="7"/>
      <c r="H88" s="2" t="str">
        <v>Dillon Brooks</v>
      </c>
      <c r="I88" s="7">
        <f t="shared" si="2"/>
        <v>87</v>
      </c>
    </row>
    <row r="89" spans="3:9" x14ac:dyDescent="0.35">
      <c r="C89" s="6"/>
      <c r="D89" s="63" t="s">
        <v>142</v>
      </c>
      <c r="E89" s="6" t="s">
        <v>142</v>
      </c>
      <c r="F89" s="6" t="str">
        <f t="shared" si="3"/>
        <v>CLE</v>
      </c>
      <c r="G89" s="7"/>
      <c r="H89" s="2" t="str">
        <v>Bobby Portis</v>
      </c>
      <c r="I89" s="7">
        <f t="shared" si="2"/>
        <v>88</v>
      </c>
    </row>
    <row r="90" spans="3:9" x14ac:dyDescent="0.35">
      <c r="C90" s="6"/>
      <c r="D90" s="6" t="s">
        <v>144</v>
      </c>
      <c r="E90" s="6" t="s">
        <v>144</v>
      </c>
      <c r="F90" s="6" t="str">
        <f t="shared" si="3"/>
        <v>CLE</v>
      </c>
      <c r="G90" s="7"/>
      <c r="H90" s="2" t="str">
        <v>Deandre Ayton</v>
      </c>
      <c r="I90" s="7">
        <f t="shared" si="2"/>
        <v>89</v>
      </c>
    </row>
    <row r="91" spans="3:9" x14ac:dyDescent="0.35">
      <c r="C91" s="6"/>
      <c r="D91" s="6" t="s">
        <v>152</v>
      </c>
      <c r="E91" s="6" t="s">
        <v>152</v>
      </c>
      <c r="F91" s="6" t="str">
        <f t="shared" si="3"/>
        <v>CLE</v>
      </c>
      <c r="G91" s="7"/>
      <c r="H91" s="2" t="str">
        <v>Tony Bradley</v>
      </c>
      <c r="I91" s="7">
        <f t="shared" si="2"/>
        <v>90</v>
      </c>
    </row>
    <row r="92" spans="3:9" x14ac:dyDescent="0.35">
      <c r="C92" s="6"/>
      <c r="D92" s="6" t="s">
        <v>168</v>
      </c>
      <c r="E92" s="6" t="s">
        <v>168</v>
      </c>
      <c r="F92" s="6" t="str">
        <f t="shared" si="3"/>
        <v>CLE</v>
      </c>
      <c r="G92" s="7"/>
      <c r="H92" s="2" t="str">
        <v>Jamal Murray</v>
      </c>
      <c r="I92" s="7">
        <f t="shared" si="2"/>
        <v>91</v>
      </c>
    </row>
    <row r="93" spans="3:9" x14ac:dyDescent="0.35">
      <c r="C93" s="6"/>
      <c r="D93" s="6" t="s">
        <v>284</v>
      </c>
      <c r="E93" s="6" t="s">
        <v>284</v>
      </c>
      <c r="F93" s="6" t="str">
        <f t="shared" si="3"/>
        <v>CLE</v>
      </c>
      <c r="G93" s="7"/>
      <c r="H93" s="2" t="str">
        <v>Devonte' Graham</v>
      </c>
      <c r="I93" s="7">
        <f t="shared" si="2"/>
        <v>92</v>
      </c>
    </row>
    <row r="94" spans="3:9" x14ac:dyDescent="0.35">
      <c r="C94" s="6"/>
      <c r="D94" s="6" t="s">
        <v>288</v>
      </c>
      <c r="E94" s="6" t="s">
        <v>288</v>
      </c>
      <c r="F94" s="6" t="str">
        <f t="shared" si="3"/>
        <v>CLE</v>
      </c>
      <c r="G94" s="7"/>
      <c r="H94" s="2" t="str">
        <v>Devin Booker</v>
      </c>
      <c r="I94" s="7">
        <f t="shared" si="2"/>
        <v>93</v>
      </c>
    </row>
    <row r="95" spans="3:9" x14ac:dyDescent="0.35">
      <c r="C95" s="6"/>
      <c r="D95" s="6" t="s">
        <v>301</v>
      </c>
      <c r="E95" s="6" t="s">
        <v>301</v>
      </c>
      <c r="F95" s="6" t="str">
        <f t="shared" si="3"/>
        <v>CLE</v>
      </c>
      <c r="G95" s="7"/>
      <c r="H95" s="2" t="str">
        <v>Brook Lopez</v>
      </c>
      <c r="I95" s="7">
        <f t="shared" si="2"/>
        <v>94</v>
      </c>
    </row>
    <row r="96" spans="3:9" x14ac:dyDescent="0.35">
      <c r="C96" s="6"/>
      <c r="D96" s="64" t="s">
        <v>640</v>
      </c>
      <c r="E96" s="6" t="s">
        <v>587</v>
      </c>
      <c r="F96" s="6" t="str">
        <f t="shared" si="3"/>
        <v>CLE</v>
      </c>
      <c r="G96" s="7"/>
      <c r="H96" s="2" t="str">
        <v>Cody Zeller</v>
      </c>
      <c r="I96" s="7">
        <f t="shared" si="2"/>
        <v>95</v>
      </c>
    </row>
    <row r="97" spans="3:9" x14ac:dyDescent="0.35">
      <c r="C97" s="6"/>
      <c r="D97" s="6" t="s">
        <v>345</v>
      </c>
      <c r="E97" s="6" t="s">
        <v>345</v>
      </c>
      <c r="F97" s="6" t="str">
        <f t="shared" si="3"/>
        <v>CLE</v>
      </c>
      <c r="G97" s="7"/>
      <c r="H97" s="2" t="str">
        <v>Malik Beasley</v>
      </c>
      <c r="I97" s="7">
        <f t="shared" si="2"/>
        <v>96</v>
      </c>
    </row>
    <row r="98" spans="3:9" x14ac:dyDescent="0.35">
      <c r="C98" s="6"/>
      <c r="D98" s="64" t="s">
        <v>642</v>
      </c>
      <c r="E98" s="6" t="s">
        <v>590</v>
      </c>
      <c r="F98" s="6" t="str">
        <f t="shared" si="3"/>
        <v>CLE</v>
      </c>
      <c r="G98" s="7"/>
      <c r="H98" s="2" t="str">
        <v>Aaron Gordon</v>
      </c>
      <c r="I98" s="7">
        <f t="shared" si="2"/>
        <v>97</v>
      </c>
    </row>
    <row r="99" spans="3:9" x14ac:dyDescent="0.35">
      <c r="C99" s="6"/>
      <c r="D99" s="6" t="s">
        <v>386</v>
      </c>
      <c r="E99" s="6" t="s">
        <v>386</v>
      </c>
      <c r="F99" s="6" t="str">
        <f t="shared" si="3"/>
        <v>CLE</v>
      </c>
      <c r="G99" s="7"/>
      <c r="H99" s="2" t="str">
        <v>LaMarcus Aldridge</v>
      </c>
      <c r="I99" s="7">
        <f t="shared" si="2"/>
        <v>98</v>
      </c>
    </row>
    <row r="100" spans="3:9" x14ac:dyDescent="0.35">
      <c r="C100" s="6"/>
      <c r="D100" s="6" t="s">
        <v>419</v>
      </c>
      <c r="E100" s="6" t="s">
        <v>419</v>
      </c>
      <c r="F100" s="6" t="str">
        <f t="shared" si="3"/>
        <v>CLE</v>
      </c>
      <c r="G100" s="7"/>
      <c r="H100" s="2" t="str">
        <v>Clint Capela</v>
      </c>
      <c r="I100" s="7">
        <f t="shared" si="2"/>
        <v>99</v>
      </c>
    </row>
    <row r="101" spans="3:9" x14ac:dyDescent="0.35">
      <c r="C101" s="6"/>
      <c r="D101" s="6" t="s">
        <v>533</v>
      </c>
      <c r="E101" s="6" t="s">
        <v>533</v>
      </c>
      <c r="F101" s="6" t="str">
        <f t="shared" si="3"/>
        <v>CLE</v>
      </c>
      <c r="G101" s="7"/>
      <c r="H101" s="2" t="str">
        <v>Trae Young</v>
      </c>
      <c r="I101" s="7">
        <f t="shared" si="2"/>
        <v>100</v>
      </c>
    </row>
    <row r="102" spans="3:9" x14ac:dyDescent="0.35">
      <c r="C102" s="6"/>
      <c r="D102" s="30" t="s">
        <v>672</v>
      </c>
      <c r="E102" s="30" t="s">
        <v>672</v>
      </c>
      <c r="F102" s="6" t="str">
        <f t="shared" si="3"/>
        <v>CLE</v>
      </c>
      <c r="G102" s="7"/>
      <c r="H102" s="2" t="str">
        <v>Eric Gordon</v>
      </c>
      <c r="I102" s="7">
        <f t="shared" si="2"/>
        <v>101</v>
      </c>
    </row>
    <row r="103" spans="3:9" x14ac:dyDescent="0.35">
      <c r="C103" s="6"/>
      <c r="D103" s="6" t="s">
        <v>724</v>
      </c>
      <c r="E103" s="7" t="s">
        <v>724</v>
      </c>
      <c r="F103" s="6" t="str">
        <f t="shared" si="3"/>
        <v>CLE</v>
      </c>
      <c r="G103" s="7"/>
      <c r="H103" s="2" t="str">
        <v>Will Barton</v>
      </c>
      <c r="I103" s="7">
        <f t="shared" si="2"/>
        <v>102</v>
      </c>
    </row>
    <row r="104" spans="3:9" x14ac:dyDescent="0.35">
      <c r="C104" s="6"/>
      <c r="D104" s="6" t="s">
        <v>101</v>
      </c>
      <c r="E104" s="6" t="s">
        <v>101</v>
      </c>
      <c r="F104" s="6" t="str">
        <f t="shared" si="3"/>
        <v>DAL</v>
      </c>
      <c r="G104" s="7"/>
      <c r="H104" s="2" t="str">
        <v>Patty Mills</v>
      </c>
      <c r="I104" s="7">
        <f t="shared" si="2"/>
        <v>103</v>
      </c>
    </row>
    <row r="105" spans="3:9" x14ac:dyDescent="0.35">
      <c r="C105" s="6"/>
      <c r="D105" s="6" t="s">
        <v>544</v>
      </c>
      <c r="E105" s="6" t="s">
        <v>544</v>
      </c>
      <c r="F105" s="6" t="str">
        <f t="shared" si="3"/>
        <v>DAL</v>
      </c>
      <c r="G105" s="7"/>
      <c r="H105" s="2" t="str">
        <v>De'Aaron Fox</v>
      </c>
      <c r="I105" s="7">
        <f t="shared" si="2"/>
        <v>104</v>
      </c>
    </row>
    <row r="106" spans="3:9" x14ac:dyDescent="0.35">
      <c r="C106" s="6"/>
      <c r="D106" s="6" t="s">
        <v>112</v>
      </c>
      <c r="E106" s="6" t="s">
        <v>112</v>
      </c>
      <c r="F106" s="6" t="str">
        <f t="shared" si="3"/>
        <v>DAL</v>
      </c>
      <c r="G106" s="7"/>
      <c r="H106" s="2" t="str">
        <v>John Konchar</v>
      </c>
      <c r="I106" s="7">
        <f t="shared" si="2"/>
        <v>105</v>
      </c>
    </row>
    <row r="107" spans="3:9" x14ac:dyDescent="0.35">
      <c r="C107" s="6"/>
      <c r="D107" s="6" t="s">
        <v>601</v>
      </c>
      <c r="E107" s="6" t="s">
        <v>505</v>
      </c>
      <c r="F107" s="6" t="str">
        <f t="shared" si="3"/>
        <v>DAL</v>
      </c>
      <c r="G107" s="7"/>
      <c r="H107" s="2" t="str">
        <v>Royce O'Neale</v>
      </c>
      <c r="I107" s="7">
        <f t="shared" si="2"/>
        <v>106</v>
      </c>
    </row>
    <row r="108" spans="3:9" x14ac:dyDescent="0.35">
      <c r="C108" s="6"/>
      <c r="D108" s="6" t="s">
        <v>157</v>
      </c>
      <c r="E108" s="6" t="s">
        <v>157</v>
      </c>
      <c r="F108" s="6" t="str">
        <f t="shared" si="3"/>
        <v>DAL</v>
      </c>
      <c r="G108" s="7"/>
      <c r="H108" s="2" t="str">
        <v>Zion Williamson</v>
      </c>
      <c r="I108" s="7">
        <f t="shared" si="2"/>
        <v>107</v>
      </c>
    </row>
    <row r="109" spans="3:9" x14ac:dyDescent="0.35">
      <c r="C109" s="6"/>
      <c r="D109" s="62" t="s">
        <v>584</v>
      </c>
      <c r="E109" s="6" t="s">
        <v>584</v>
      </c>
      <c r="F109" s="6" t="str">
        <f t="shared" si="3"/>
        <v>DAL</v>
      </c>
      <c r="G109" s="7"/>
      <c r="H109" s="2" t="str">
        <v>Terrence Ross</v>
      </c>
      <c r="I109" s="7">
        <f t="shared" si="2"/>
        <v>108</v>
      </c>
    </row>
    <row r="110" spans="3:9" x14ac:dyDescent="0.35">
      <c r="C110" s="6"/>
      <c r="D110" s="6" t="s">
        <v>232</v>
      </c>
      <c r="E110" s="6" t="s">
        <v>232</v>
      </c>
      <c r="F110" s="6" t="str">
        <f t="shared" si="3"/>
        <v>DAL</v>
      </c>
      <c r="G110" s="7"/>
      <c r="H110" s="2" t="str">
        <v>Kevin Huerter</v>
      </c>
      <c r="I110" s="7">
        <f t="shared" si="2"/>
        <v>109</v>
      </c>
    </row>
    <row r="111" spans="3:9" x14ac:dyDescent="0.35">
      <c r="C111" s="6"/>
      <c r="D111" s="6" t="s">
        <v>244</v>
      </c>
      <c r="E111" s="6" t="s">
        <v>244</v>
      </c>
      <c r="F111" s="6" t="str">
        <f t="shared" si="3"/>
        <v>DAL</v>
      </c>
      <c r="G111" s="7"/>
      <c r="H111" s="2" t="str">
        <v>Otto Porter</v>
      </c>
      <c r="I111" s="7">
        <f t="shared" si="2"/>
        <v>110</v>
      </c>
    </row>
    <row r="112" spans="3:9" x14ac:dyDescent="0.35">
      <c r="C112" s="6"/>
      <c r="D112" s="6" t="s">
        <v>258</v>
      </c>
      <c r="E112" s="6" t="s">
        <v>258</v>
      </c>
      <c r="F112" s="6" t="str">
        <f t="shared" si="3"/>
        <v>DAL</v>
      </c>
      <c r="G112" s="7"/>
      <c r="H112" s="2" t="str">
        <v>Tyus Jones</v>
      </c>
      <c r="I112" s="7">
        <f t="shared" si="2"/>
        <v>111</v>
      </c>
    </row>
    <row r="113" spans="3:9" x14ac:dyDescent="0.35">
      <c r="C113" s="6"/>
      <c r="D113" s="6" t="s">
        <v>611</v>
      </c>
      <c r="E113" s="6" t="s">
        <v>514</v>
      </c>
      <c r="F113" s="6" t="str">
        <f t="shared" si="3"/>
        <v>DAL</v>
      </c>
      <c r="G113" s="7"/>
      <c r="H113" s="2" t="str">
        <v>Robert Covington</v>
      </c>
      <c r="I113" s="7">
        <f t="shared" si="2"/>
        <v>112</v>
      </c>
    </row>
    <row r="114" spans="3:9" x14ac:dyDescent="0.35">
      <c r="C114" s="6"/>
      <c r="D114" s="6" t="s">
        <v>617</v>
      </c>
      <c r="E114" s="6" t="s">
        <v>521</v>
      </c>
      <c r="F114" s="6" t="str">
        <f t="shared" si="3"/>
        <v>DAL</v>
      </c>
      <c r="G114" s="7"/>
      <c r="H114" s="2" t="str">
        <v>Kentavious Caldwell-Pope</v>
      </c>
      <c r="I114" s="7">
        <f t="shared" si="2"/>
        <v>113</v>
      </c>
    </row>
    <row r="115" spans="3:9" x14ac:dyDescent="0.35">
      <c r="C115" s="6"/>
      <c r="D115" s="6" t="s">
        <v>362</v>
      </c>
      <c r="E115" s="6" t="s">
        <v>362</v>
      </c>
      <c r="F115" s="6" t="str">
        <f t="shared" si="3"/>
        <v>DAL</v>
      </c>
      <c r="G115" s="7"/>
      <c r="H115" s="2" t="str">
        <v>Cameron Johnson</v>
      </c>
      <c r="I115" s="7">
        <f t="shared" si="2"/>
        <v>114</v>
      </c>
    </row>
    <row r="116" spans="3:9" x14ac:dyDescent="0.35">
      <c r="C116" s="6"/>
      <c r="D116" s="6" t="s">
        <v>369</v>
      </c>
      <c r="E116" s="6" t="s">
        <v>369</v>
      </c>
      <c r="F116" s="6" t="str">
        <f t="shared" si="3"/>
        <v>DAL</v>
      </c>
      <c r="G116" s="7"/>
      <c r="H116" s="2" t="str">
        <v>Duncan Robinson</v>
      </c>
      <c r="I116" s="7">
        <f t="shared" si="2"/>
        <v>115</v>
      </c>
    </row>
    <row r="117" spans="3:9" x14ac:dyDescent="0.35">
      <c r="C117" s="6"/>
      <c r="D117" s="7" t="s">
        <v>733</v>
      </c>
      <c r="E117" s="7" t="s">
        <v>733</v>
      </c>
      <c r="F117" s="6" t="str">
        <f t="shared" si="3"/>
        <v>DAL</v>
      </c>
      <c r="G117" s="7"/>
      <c r="H117" s="2" t="str">
        <v>George Hill</v>
      </c>
      <c r="I117" s="7">
        <f t="shared" si="2"/>
        <v>116</v>
      </c>
    </row>
    <row r="118" spans="3:9" x14ac:dyDescent="0.35">
      <c r="C118" s="6"/>
      <c r="D118" s="6" t="s">
        <v>694</v>
      </c>
      <c r="E118" s="7" t="s">
        <v>694</v>
      </c>
      <c r="F118" s="6" t="str">
        <f t="shared" si="3"/>
        <v>DAL</v>
      </c>
      <c r="G118" s="7"/>
      <c r="H118" s="2" t="str">
        <v>Serge Ibaka</v>
      </c>
      <c r="I118" s="7">
        <f t="shared" si="2"/>
        <v>117</v>
      </c>
    </row>
    <row r="119" spans="3:9" x14ac:dyDescent="0.35">
      <c r="C119" s="6"/>
      <c r="D119" s="7" t="s">
        <v>741</v>
      </c>
      <c r="E119" s="7" t="s">
        <v>741</v>
      </c>
      <c r="F119" s="6" t="str">
        <f t="shared" si="3"/>
        <v>DAL</v>
      </c>
      <c r="G119" s="7"/>
      <c r="H119" s="2" t="str">
        <v>Al Horford</v>
      </c>
      <c r="I119" s="7">
        <f t="shared" si="2"/>
        <v>118</v>
      </c>
    </row>
    <row r="120" spans="3:9" x14ac:dyDescent="0.35">
      <c r="C120" s="6"/>
      <c r="D120" s="6" t="s">
        <v>727</v>
      </c>
      <c r="E120" s="7" t="s">
        <v>727</v>
      </c>
      <c r="F120" s="6" t="str">
        <f t="shared" si="3"/>
        <v>DAL</v>
      </c>
      <c r="G120" s="7"/>
      <c r="H120" s="2" t="str">
        <v>Rudy Gay</v>
      </c>
      <c r="I120" s="7">
        <f t="shared" si="2"/>
        <v>119</v>
      </c>
    </row>
    <row r="121" spans="3:9" x14ac:dyDescent="0.35">
      <c r="C121" s="6"/>
      <c r="D121" s="6" t="s">
        <v>58</v>
      </c>
      <c r="E121" s="6" t="s">
        <v>58</v>
      </c>
      <c r="F121" s="6" t="str">
        <f t="shared" si="3"/>
        <v>DEN</v>
      </c>
      <c r="G121" s="7"/>
      <c r="H121" s="2" t="str">
        <v>Gabe Vincent</v>
      </c>
      <c r="I121" s="7">
        <f t="shared" si="2"/>
        <v>120</v>
      </c>
    </row>
    <row r="122" spans="3:9" x14ac:dyDescent="0.35">
      <c r="C122" s="6"/>
      <c r="D122" s="6" t="s">
        <v>497</v>
      </c>
      <c r="E122" s="6" t="s">
        <v>497</v>
      </c>
      <c r="F122" s="6" t="str">
        <f t="shared" si="3"/>
        <v>DEN</v>
      </c>
      <c r="G122" s="7"/>
      <c r="H122" s="2" t="str">
        <v>Miles Bridges</v>
      </c>
      <c r="I122" s="7">
        <f t="shared" si="2"/>
        <v>121</v>
      </c>
    </row>
    <row r="123" spans="3:9" x14ac:dyDescent="0.35">
      <c r="C123" s="6"/>
      <c r="D123" s="6" t="s">
        <v>600</v>
      </c>
      <c r="E123" s="6" t="s">
        <v>503</v>
      </c>
      <c r="F123" s="6" t="str">
        <f t="shared" si="3"/>
        <v>DEN</v>
      </c>
      <c r="G123" s="7"/>
      <c r="H123" s="2" t="str">
        <v>Monte Morris</v>
      </c>
      <c r="I123" s="7">
        <f t="shared" si="2"/>
        <v>122</v>
      </c>
    </row>
    <row r="124" spans="3:9" x14ac:dyDescent="0.35">
      <c r="C124" s="6"/>
      <c r="D124" s="6" t="s">
        <v>602</v>
      </c>
      <c r="E124" s="6" t="s">
        <v>506</v>
      </c>
      <c r="F124" s="6" t="str">
        <f t="shared" si="3"/>
        <v>DEN</v>
      </c>
      <c r="G124" s="7"/>
      <c r="H124" s="2" t="str">
        <v>Blake Griffin</v>
      </c>
      <c r="I124" s="7">
        <f t="shared" si="2"/>
        <v>123</v>
      </c>
    </row>
    <row r="125" spans="3:9" x14ac:dyDescent="0.35">
      <c r="C125" s="6"/>
      <c r="D125" s="6" t="s">
        <v>184</v>
      </c>
      <c r="E125" s="6" t="s">
        <v>184</v>
      </c>
      <c r="F125" s="6" t="str">
        <f t="shared" si="3"/>
        <v>DEN</v>
      </c>
      <c r="G125" s="7"/>
      <c r="H125" s="2" t="str">
        <v>Kyle Anderson</v>
      </c>
      <c r="I125" s="7">
        <f t="shared" si="2"/>
        <v>124</v>
      </c>
    </row>
    <row r="126" spans="3:9" x14ac:dyDescent="0.35">
      <c r="C126" s="6"/>
      <c r="D126" s="6" t="s">
        <v>196</v>
      </c>
      <c r="E126" s="6" t="s">
        <v>196</v>
      </c>
      <c r="F126" s="6" t="str">
        <f t="shared" si="3"/>
        <v>DEN</v>
      </c>
      <c r="G126" s="7"/>
      <c r="H126" s="2" t="str">
        <v>Danny Green</v>
      </c>
      <c r="I126" s="7">
        <f t="shared" si="2"/>
        <v>125</v>
      </c>
    </row>
    <row r="127" spans="3:9" x14ac:dyDescent="0.35">
      <c r="C127" s="6"/>
      <c r="D127" s="6" t="s">
        <v>201</v>
      </c>
      <c r="E127" s="6" t="s">
        <v>201</v>
      </c>
      <c r="F127" s="6" t="str">
        <f t="shared" si="3"/>
        <v>DEN</v>
      </c>
      <c r="G127" s="7"/>
      <c r="H127" s="2" t="str">
        <v>Darius Bazley</v>
      </c>
      <c r="I127" s="7">
        <f t="shared" si="2"/>
        <v>126</v>
      </c>
    </row>
    <row r="128" spans="3:9" x14ac:dyDescent="0.35">
      <c r="C128" s="6"/>
      <c r="D128" s="6" t="s">
        <v>608</v>
      </c>
      <c r="E128" s="6" t="s">
        <v>512</v>
      </c>
      <c r="F128" s="6" t="str">
        <f t="shared" si="3"/>
        <v>DEN</v>
      </c>
      <c r="G128" s="7"/>
      <c r="H128" s="2" t="str">
        <v>Enes Kanter</v>
      </c>
      <c r="I128" s="7">
        <f t="shared" si="2"/>
        <v>127</v>
      </c>
    </row>
    <row r="129" spans="3:9" x14ac:dyDescent="0.35">
      <c r="C129" s="6"/>
      <c r="D129" s="6" t="s">
        <v>311</v>
      </c>
      <c r="E129" s="6" t="s">
        <v>311</v>
      </c>
      <c r="F129" s="6" t="str">
        <f t="shared" si="3"/>
        <v>DEN</v>
      </c>
      <c r="G129" s="7"/>
      <c r="H129" s="2" t="str">
        <v>Justin Holiday</v>
      </c>
      <c r="I129" s="7">
        <f t="shared" si="2"/>
        <v>128</v>
      </c>
    </row>
    <row r="130" spans="3:9" x14ac:dyDescent="0.35">
      <c r="C130" s="6"/>
      <c r="D130" s="6" t="s">
        <v>322</v>
      </c>
      <c r="E130" s="6" t="s">
        <v>322</v>
      </c>
      <c r="F130" s="6" t="str">
        <f t="shared" si="3"/>
        <v>DEN</v>
      </c>
      <c r="G130" s="7"/>
      <c r="H130" s="2" t="str">
        <v>Buddy Hield</v>
      </c>
      <c r="I130" s="7">
        <f t="shared" ref="I130:I193" si="4">MATCH(H130,Player_Names,0)</f>
        <v>129</v>
      </c>
    </row>
    <row r="131" spans="3:9" x14ac:dyDescent="0.35">
      <c r="C131" s="6"/>
      <c r="D131" s="6" t="s">
        <v>326</v>
      </c>
      <c r="E131" s="6" t="s">
        <v>326</v>
      </c>
      <c r="F131" s="6" t="str">
        <f t="shared" ref="F131:F194" si="5">VLOOKUP(VLOOKUP(E131,Roster_Range,2,FALSE),Abbreviations, 2, FALSE)</f>
        <v>DEN</v>
      </c>
      <c r="G131" s="7"/>
      <c r="H131" s="2" t="str">
        <v>Lonzo Ball</v>
      </c>
      <c r="I131" s="7">
        <f t="shared" si="4"/>
        <v>130</v>
      </c>
    </row>
    <row r="132" spans="3:9" x14ac:dyDescent="0.35">
      <c r="C132" s="6"/>
      <c r="D132" s="62" t="s">
        <v>643</v>
      </c>
      <c r="E132" s="6" t="s">
        <v>591</v>
      </c>
      <c r="F132" s="6" t="str">
        <f t="shared" si="5"/>
        <v>DEN</v>
      </c>
      <c r="G132" s="7"/>
      <c r="H132" s="2" t="str">
        <v>Eric Bledsoe</v>
      </c>
      <c r="I132" s="7">
        <f t="shared" si="4"/>
        <v>131</v>
      </c>
    </row>
    <row r="133" spans="3:9" x14ac:dyDescent="0.35">
      <c r="C133" s="6"/>
      <c r="D133" s="6" t="s">
        <v>687</v>
      </c>
      <c r="E133" s="7" t="s">
        <v>687</v>
      </c>
      <c r="F133" s="6" t="str">
        <f t="shared" si="5"/>
        <v>DEN</v>
      </c>
      <c r="G133" s="7"/>
      <c r="H133" s="2" t="str">
        <v>Coby White</v>
      </c>
      <c r="I133" s="7">
        <f t="shared" si="4"/>
        <v>132</v>
      </c>
    </row>
    <row r="134" spans="3:9" x14ac:dyDescent="0.35">
      <c r="C134" s="6"/>
      <c r="D134" s="6" t="s">
        <v>696</v>
      </c>
      <c r="E134" s="7" t="s">
        <v>696</v>
      </c>
      <c r="F134" s="6" t="str">
        <f t="shared" si="5"/>
        <v>DEN</v>
      </c>
      <c r="G134" s="7"/>
      <c r="H134" s="2" t="str">
        <v>Evan Fournier</v>
      </c>
      <c r="I134" s="7">
        <f t="shared" si="4"/>
        <v>133</v>
      </c>
    </row>
    <row r="135" spans="3:9" x14ac:dyDescent="0.35">
      <c r="C135" s="6"/>
      <c r="D135" s="6" t="s">
        <v>697</v>
      </c>
      <c r="E135" s="7" t="s">
        <v>697</v>
      </c>
      <c r="F135" s="6" t="str">
        <f t="shared" si="5"/>
        <v>DEN</v>
      </c>
      <c r="G135" s="7"/>
      <c r="H135" s="2" t="str">
        <v>Josh Hart</v>
      </c>
      <c r="I135" s="7">
        <f t="shared" si="4"/>
        <v>134</v>
      </c>
    </row>
    <row r="136" spans="3:9" x14ac:dyDescent="0.35">
      <c r="C136" s="6"/>
      <c r="D136" s="6" t="s">
        <v>712</v>
      </c>
      <c r="E136" s="7" t="s">
        <v>712</v>
      </c>
      <c r="F136" s="6" t="str">
        <f t="shared" si="5"/>
        <v>DEN</v>
      </c>
      <c r="G136" s="7"/>
      <c r="H136" s="2" t="str">
        <v>Hamidou Diallo</v>
      </c>
      <c r="I136" s="7">
        <f t="shared" si="4"/>
        <v>135</v>
      </c>
    </row>
    <row r="137" spans="3:9" x14ac:dyDescent="0.35">
      <c r="C137" s="6"/>
      <c r="D137" s="7" t="s">
        <v>760</v>
      </c>
      <c r="E137" s="7" t="s">
        <v>760</v>
      </c>
      <c r="F137" s="6" t="str">
        <f t="shared" si="5"/>
        <v>DEN</v>
      </c>
      <c r="G137" s="7"/>
      <c r="H137" s="2" t="str">
        <v>Gorgui Dieng</v>
      </c>
      <c r="I137" s="7">
        <f t="shared" si="4"/>
        <v>136</v>
      </c>
    </row>
    <row r="138" spans="3:9" x14ac:dyDescent="0.35">
      <c r="C138" s="6"/>
      <c r="D138" s="6" t="s">
        <v>143</v>
      </c>
      <c r="E138" s="6" t="s">
        <v>143</v>
      </c>
      <c r="F138" s="6" t="str">
        <f t="shared" si="5"/>
        <v>DET</v>
      </c>
      <c r="G138" s="7"/>
      <c r="H138" s="2" t="str">
        <v>Montrezl Harrell</v>
      </c>
      <c r="I138" s="7">
        <f t="shared" si="4"/>
        <v>137</v>
      </c>
    </row>
    <row r="139" spans="3:9" x14ac:dyDescent="0.35">
      <c r="C139" s="6"/>
      <c r="D139" s="6" t="s">
        <v>148</v>
      </c>
      <c r="E139" s="6" t="s">
        <v>148</v>
      </c>
      <c r="F139" s="6" t="str">
        <f t="shared" si="5"/>
        <v>DET</v>
      </c>
      <c r="G139" s="7"/>
      <c r="H139" s="2" t="str">
        <v>P.J. Tucker</v>
      </c>
      <c r="I139" s="7">
        <f t="shared" si="4"/>
        <v>138</v>
      </c>
    </row>
    <row r="140" spans="3:9" x14ac:dyDescent="0.35">
      <c r="C140" s="6"/>
      <c r="D140" s="6" t="s">
        <v>181</v>
      </c>
      <c r="E140" s="6" t="s">
        <v>181</v>
      </c>
      <c r="F140" s="6" t="str">
        <f t="shared" si="5"/>
        <v>DET</v>
      </c>
      <c r="G140" s="7"/>
      <c r="H140" s="2" t="str">
        <v>Maxi Kleber</v>
      </c>
      <c r="I140" s="7">
        <f t="shared" si="4"/>
        <v>139</v>
      </c>
    </row>
    <row r="141" spans="3:9" x14ac:dyDescent="0.35">
      <c r="C141" s="6"/>
      <c r="D141" s="6" t="s">
        <v>187</v>
      </c>
      <c r="E141" s="6" t="s">
        <v>187</v>
      </c>
      <c r="F141" s="6" t="str">
        <f t="shared" si="5"/>
        <v>DET</v>
      </c>
      <c r="G141" s="7"/>
      <c r="H141" s="2" t="str">
        <v>Patrick Beverley</v>
      </c>
      <c r="I141" s="7">
        <f t="shared" si="4"/>
        <v>140</v>
      </c>
    </row>
    <row r="142" spans="3:9" x14ac:dyDescent="0.35">
      <c r="C142" s="6"/>
      <c r="D142" s="6" t="s">
        <v>233</v>
      </c>
      <c r="E142" s="6" t="s">
        <v>233</v>
      </c>
      <c r="F142" s="6" t="str">
        <f t="shared" si="5"/>
        <v>DET</v>
      </c>
      <c r="G142" s="7"/>
      <c r="H142" s="2" t="str">
        <v>Jae Crowder</v>
      </c>
      <c r="I142" s="7">
        <f t="shared" si="4"/>
        <v>141</v>
      </c>
    </row>
    <row r="143" spans="3:9" x14ac:dyDescent="0.35">
      <c r="C143" s="6"/>
      <c r="D143" s="6" t="s">
        <v>452</v>
      </c>
      <c r="E143" s="6" t="s">
        <v>452</v>
      </c>
      <c r="F143" s="6" t="str">
        <f t="shared" si="5"/>
        <v>DET</v>
      </c>
      <c r="G143" s="7"/>
      <c r="H143" s="2" t="str">
        <v>Lonnie Walker</v>
      </c>
      <c r="I143" s="7">
        <f t="shared" si="4"/>
        <v>142</v>
      </c>
    </row>
    <row r="144" spans="3:9" x14ac:dyDescent="0.35">
      <c r="C144" s="6"/>
      <c r="D144" s="6" t="s">
        <v>302</v>
      </c>
      <c r="E144" s="6" t="s">
        <v>302</v>
      </c>
      <c r="F144" s="6" t="str">
        <f t="shared" si="5"/>
        <v>DET</v>
      </c>
      <c r="G144" s="7"/>
      <c r="H144" s="2" t="str">
        <v>Carmelo Anthony</v>
      </c>
      <c r="I144" s="7">
        <f t="shared" si="4"/>
        <v>143</v>
      </c>
    </row>
    <row r="145" spans="3:9" x14ac:dyDescent="0.35">
      <c r="C145" s="6"/>
      <c r="D145" s="6" t="s">
        <v>560</v>
      </c>
      <c r="E145" s="6" t="s">
        <v>586</v>
      </c>
      <c r="F145" s="6" t="str">
        <f t="shared" si="5"/>
        <v>DET</v>
      </c>
      <c r="G145" s="7"/>
      <c r="H145" s="2" t="str">
        <v>Obi Toppin</v>
      </c>
      <c r="I145" s="7">
        <f t="shared" si="4"/>
        <v>144</v>
      </c>
    </row>
    <row r="146" spans="3:9" x14ac:dyDescent="0.35">
      <c r="C146" s="6"/>
      <c r="D146" s="6" t="s">
        <v>339</v>
      </c>
      <c r="E146" s="6" t="s">
        <v>339</v>
      </c>
      <c r="F146" s="6" t="str">
        <f t="shared" si="5"/>
        <v>DET</v>
      </c>
      <c r="G146" s="7"/>
      <c r="H146" s="2" t="str">
        <v>Tyler Herro</v>
      </c>
      <c r="I146" s="7">
        <f t="shared" si="4"/>
        <v>145</v>
      </c>
    </row>
    <row r="147" spans="3:9" x14ac:dyDescent="0.35">
      <c r="C147" s="6"/>
      <c r="D147" s="6" t="s">
        <v>355</v>
      </c>
      <c r="E147" s="6" t="s">
        <v>355</v>
      </c>
      <c r="F147" s="6" t="str">
        <f t="shared" si="5"/>
        <v>DET</v>
      </c>
      <c r="G147" s="7"/>
      <c r="H147" s="2" t="str">
        <v>Deni Avdija</v>
      </c>
      <c r="I147" s="7">
        <f t="shared" si="4"/>
        <v>146</v>
      </c>
    </row>
    <row r="148" spans="3:9" x14ac:dyDescent="0.35">
      <c r="C148" s="6"/>
      <c r="D148" s="6" t="s">
        <v>376</v>
      </c>
      <c r="E148" s="6" t="s">
        <v>376</v>
      </c>
      <c r="F148" s="6" t="str">
        <f t="shared" si="5"/>
        <v>DET</v>
      </c>
      <c r="G148" s="7"/>
      <c r="H148" s="2" t="str">
        <v>Denzel Valentine</v>
      </c>
      <c r="I148" s="7">
        <f t="shared" si="4"/>
        <v>147</v>
      </c>
    </row>
    <row r="149" spans="3:9" x14ac:dyDescent="0.35">
      <c r="C149" s="6"/>
      <c r="D149" s="6" t="s">
        <v>443</v>
      </c>
      <c r="E149" s="6" t="s">
        <v>443</v>
      </c>
      <c r="F149" s="6" t="str">
        <f t="shared" si="5"/>
        <v>DET</v>
      </c>
      <c r="G149" s="7"/>
      <c r="H149" s="2" t="str">
        <v>Naz Reid</v>
      </c>
      <c r="I149" s="7">
        <f t="shared" si="4"/>
        <v>148</v>
      </c>
    </row>
    <row r="150" spans="3:9" x14ac:dyDescent="0.35">
      <c r="C150" s="6"/>
      <c r="D150" s="30" t="s">
        <v>668</v>
      </c>
      <c r="E150" s="30" t="s">
        <v>668</v>
      </c>
      <c r="F150" s="6" t="str">
        <f t="shared" si="5"/>
        <v>DET</v>
      </c>
      <c r="G150" s="7"/>
      <c r="H150" s="2" t="str">
        <v>Luguentz Dort</v>
      </c>
      <c r="I150" s="7">
        <f t="shared" si="4"/>
        <v>149</v>
      </c>
    </row>
    <row r="151" spans="3:9" x14ac:dyDescent="0.35">
      <c r="C151" s="6"/>
      <c r="D151" s="6" t="s">
        <v>685</v>
      </c>
      <c r="E151" s="7" t="s">
        <v>685</v>
      </c>
      <c r="F151" s="6" t="str">
        <f t="shared" si="5"/>
        <v>DET</v>
      </c>
      <c r="G151" s="7"/>
      <c r="H151" s="2" t="str">
        <v>Jusuf Nurkić</v>
      </c>
      <c r="I151" s="7">
        <f t="shared" si="4"/>
        <v>150</v>
      </c>
    </row>
    <row r="152" spans="3:9" x14ac:dyDescent="0.35">
      <c r="C152" s="6"/>
      <c r="D152" s="7" t="s">
        <v>743</v>
      </c>
      <c r="E152" s="7" t="s">
        <v>743</v>
      </c>
      <c r="F152" s="6" t="str">
        <f t="shared" si="5"/>
        <v>DET</v>
      </c>
      <c r="G152" s="7"/>
      <c r="H152" s="2" t="str">
        <v>Dāvis Bertāns</v>
      </c>
      <c r="I152" s="7">
        <f t="shared" si="4"/>
        <v>151</v>
      </c>
    </row>
    <row r="153" spans="3:9" x14ac:dyDescent="0.35">
      <c r="C153" s="6"/>
      <c r="D153" s="7" t="s">
        <v>755</v>
      </c>
      <c r="E153" s="7" t="s">
        <v>755</v>
      </c>
      <c r="F153" s="6" t="str">
        <f t="shared" si="5"/>
        <v>DET</v>
      </c>
      <c r="G153" s="7"/>
      <c r="H153" s="2" t="str">
        <v>Josh Richardson</v>
      </c>
      <c r="I153" s="7">
        <f t="shared" si="4"/>
        <v>152</v>
      </c>
    </row>
    <row r="154" spans="3:9" x14ac:dyDescent="0.35">
      <c r="C154" s="6"/>
      <c r="D154" s="7" t="s">
        <v>725</v>
      </c>
      <c r="E154" s="7" t="s">
        <v>756</v>
      </c>
      <c r="F154" s="6" t="str">
        <f t="shared" si="5"/>
        <v>DET</v>
      </c>
      <c r="G154" s="7"/>
      <c r="H154" s="2" t="str">
        <v>Austin Rivers</v>
      </c>
      <c r="I154" s="7">
        <f t="shared" si="4"/>
        <v>153</v>
      </c>
    </row>
    <row r="155" spans="3:9" x14ac:dyDescent="0.35">
      <c r="C155" s="6"/>
      <c r="D155" s="6" t="s">
        <v>64</v>
      </c>
      <c r="E155" s="6" t="s">
        <v>64</v>
      </c>
      <c r="F155" s="6" t="str">
        <f t="shared" si="5"/>
        <v>GSW</v>
      </c>
      <c r="G155" s="7"/>
      <c r="H155" s="2" t="str">
        <v>Brandon Clarke</v>
      </c>
      <c r="I155" s="7">
        <f t="shared" si="4"/>
        <v>154</v>
      </c>
    </row>
    <row r="156" spans="3:9" x14ac:dyDescent="0.35">
      <c r="C156" s="6"/>
      <c r="D156" s="6" t="s">
        <v>114</v>
      </c>
      <c r="E156" s="6" t="s">
        <v>114</v>
      </c>
      <c r="F156" s="6" t="str">
        <f t="shared" si="5"/>
        <v>GSW</v>
      </c>
      <c r="G156" s="7"/>
      <c r="H156" s="2" t="str">
        <v>De'Anthony Melton</v>
      </c>
      <c r="I156" s="7">
        <f t="shared" si="4"/>
        <v>155</v>
      </c>
    </row>
    <row r="157" spans="3:9" x14ac:dyDescent="0.35">
      <c r="C157" s="6"/>
      <c r="D157" s="6" t="s">
        <v>132</v>
      </c>
      <c r="E157" s="6" t="s">
        <v>132</v>
      </c>
      <c r="F157" s="6" t="str">
        <f t="shared" si="5"/>
        <v>GSW</v>
      </c>
      <c r="G157" s="7"/>
      <c r="H157" s="2" t="str">
        <v>Shake Milton</v>
      </c>
      <c r="I157" s="7">
        <f t="shared" si="4"/>
        <v>156</v>
      </c>
    </row>
    <row r="158" spans="3:9" x14ac:dyDescent="0.35">
      <c r="C158" s="6"/>
      <c r="D158" s="6" t="s">
        <v>183</v>
      </c>
      <c r="E158" s="6" t="s">
        <v>183</v>
      </c>
      <c r="F158" s="6" t="str">
        <f t="shared" si="5"/>
        <v>GSW</v>
      </c>
      <c r="G158" s="7"/>
      <c r="H158" s="2" t="str">
        <v>Josh Jackson</v>
      </c>
      <c r="I158" s="7">
        <f t="shared" si="4"/>
        <v>157</v>
      </c>
    </row>
    <row r="159" spans="3:9" x14ac:dyDescent="0.35">
      <c r="C159" s="6"/>
      <c r="D159" s="6" t="s">
        <v>274</v>
      </c>
      <c r="E159" s="6" t="s">
        <v>274</v>
      </c>
      <c r="F159" s="6" t="str">
        <f t="shared" si="5"/>
        <v>GSW</v>
      </c>
      <c r="G159" s="7"/>
      <c r="H159" s="2" t="str">
        <v>Draymond Green</v>
      </c>
      <c r="I159" s="7">
        <f t="shared" si="4"/>
        <v>158</v>
      </c>
    </row>
    <row r="160" spans="3:9" x14ac:dyDescent="0.35">
      <c r="C160" s="6"/>
      <c r="D160" s="6" t="s">
        <v>281</v>
      </c>
      <c r="E160" s="6" t="s">
        <v>281</v>
      </c>
      <c r="F160" s="6" t="str">
        <f t="shared" si="5"/>
        <v>GSW</v>
      </c>
      <c r="G160" s="7"/>
      <c r="H160" s="2" t="str">
        <v>Cedi Osman</v>
      </c>
      <c r="I160" s="7">
        <f t="shared" si="4"/>
        <v>159</v>
      </c>
    </row>
    <row r="161" spans="3:9" x14ac:dyDescent="0.35">
      <c r="C161" s="6"/>
      <c r="D161" s="6" t="s">
        <v>464</v>
      </c>
      <c r="E161" s="6" t="s">
        <v>464</v>
      </c>
      <c r="F161" s="6" t="str">
        <f t="shared" si="5"/>
        <v>GSW</v>
      </c>
      <c r="G161" s="7"/>
      <c r="H161" s="2" t="str">
        <v>Khem Birch</v>
      </c>
      <c r="I161" s="7">
        <f t="shared" si="4"/>
        <v>160</v>
      </c>
    </row>
    <row r="162" spans="3:9" x14ac:dyDescent="0.35">
      <c r="C162" s="6"/>
      <c r="D162" s="64" t="s">
        <v>641</v>
      </c>
      <c r="E162" s="6" t="s">
        <v>589</v>
      </c>
      <c r="F162" s="6" t="str">
        <f t="shared" si="5"/>
        <v>GSW</v>
      </c>
      <c r="G162" s="7"/>
      <c r="H162" s="2" t="str">
        <v>Dennis Schröder</v>
      </c>
      <c r="I162" s="7">
        <f t="shared" si="4"/>
        <v>161</v>
      </c>
    </row>
    <row r="163" spans="3:9" x14ac:dyDescent="0.35">
      <c r="C163" s="6"/>
      <c r="D163" s="6" t="s">
        <v>348</v>
      </c>
      <c r="E163" s="6" t="s">
        <v>348</v>
      </c>
      <c r="F163" s="6" t="str">
        <f t="shared" si="5"/>
        <v>GSW</v>
      </c>
      <c r="G163" s="7"/>
      <c r="H163" s="2" t="str">
        <v>Wendell Carter Jr.</v>
      </c>
      <c r="I163" s="7">
        <f t="shared" si="4"/>
        <v>162</v>
      </c>
    </row>
    <row r="164" spans="3:9" x14ac:dyDescent="0.35">
      <c r="C164" s="6"/>
      <c r="D164" s="6" t="s">
        <v>357</v>
      </c>
      <c r="E164" s="6" t="s">
        <v>357</v>
      </c>
      <c r="F164" s="6" t="str">
        <f t="shared" si="5"/>
        <v>GSW</v>
      </c>
      <c r="G164" s="7"/>
      <c r="H164" s="2" t="str">
        <v>Payton Pritchard</v>
      </c>
      <c r="I164" s="7">
        <f t="shared" si="4"/>
        <v>163</v>
      </c>
    </row>
    <row r="165" spans="3:9" x14ac:dyDescent="0.35">
      <c r="C165" s="6"/>
      <c r="D165" s="6" t="s">
        <v>622</v>
      </c>
      <c r="E165" s="6" t="s">
        <v>527</v>
      </c>
      <c r="F165" s="6" t="str">
        <f t="shared" si="5"/>
        <v>GSW</v>
      </c>
      <c r="G165" s="7"/>
      <c r="H165" s="2" t="str">
        <v>Rui Hachimura</v>
      </c>
      <c r="I165" s="7">
        <f t="shared" si="4"/>
        <v>164</v>
      </c>
    </row>
    <row r="166" spans="3:9" x14ac:dyDescent="0.35">
      <c r="C166" s="6"/>
      <c r="D166" s="6" t="s">
        <v>528</v>
      </c>
      <c r="E166" s="6" t="s">
        <v>528</v>
      </c>
      <c r="F166" s="6" t="str">
        <f t="shared" si="5"/>
        <v>GSW</v>
      </c>
      <c r="G166" s="7"/>
      <c r="H166" s="2" t="str">
        <v>RJ Barrett</v>
      </c>
      <c r="I166" s="7">
        <f t="shared" si="4"/>
        <v>165</v>
      </c>
    </row>
    <row r="167" spans="3:9" x14ac:dyDescent="0.35">
      <c r="C167" s="6"/>
      <c r="D167" s="6" t="s">
        <v>458</v>
      </c>
      <c r="E167" s="6" t="s">
        <v>458</v>
      </c>
      <c r="F167" s="6" t="str">
        <f t="shared" si="5"/>
        <v>GSW</v>
      </c>
      <c r="G167" s="7"/>
      <c r="H167" s="2" t="str">
        <v>Avery Bradley</v>
      </c>
      <c r="I167" s="7">
        <f t="shared" si="4"/>
        <v>166</v>
      </c>
    </row>
    <row r="168" spans="3:9" x14ac:dyDescent="0.35">
      <c r="C168" s="6"/>
      <c r="D168" s="6" t="s">
        <v>422</v>
      </c>
      <c r="E168" s="6" t="s">
        <v>422</v>
      </c>
      <c r="F168" s="6" t="str">
        <f t="shared" si="5"/>
        <v>GSW</v>
      </c>
      <c r="G168" s="7"/>
      <c r="H168" s="2" t="str">
        <v>Ricky Rubio</v>
      </c>
      <c r="I168" s="7">
        <f t="shared" si="4"/>
        <v>167</v>
      </c>
    </row>
    <row r="169" spans="3:9" x14ac:dyDescent="0.35">
      <c r="C169" s="6"/>
      <c r="D169" s="6" t="s">
        <v>431</v>
      </c>
      <c r="E169" s="6" t="s">
        <v>431</v>
      </c>
      <c r="F169" s="6" t="str">
        <f t="shared" si="5"/>
        <v>GSW</v>
      </c>
      <c r="G169" s="7"/>
      <c r="H169" s="2" t="str">
        <v>Goran Dragić</v>
      </c>
      <c r="I169" s="7">
        <f t="shared" si="4"/>
        <v>168</v>
      </c>
    </row>
    <row r="170" spans="3:9" x14ac:dyDescent="0.35">
      <c r="C170" s="6"/>
      <c r="D170" s="30" t="s">
        <v>666</v>
      </c>
      <c r="E170" s="30" t="s">
        <v>666</v>
      </c>
      <c r="F170" s="6" t="str">
        <f t="shared" si="5"/>
        <v>GSW</v>
      </c>
      <c r="G170" s="7"/>
      <c r="H170" s="2" t="str">
        <v>JaMychal Green</v>
      </c>
      <c r="I170" s="7">
        <f t="shared" si="4"/>
        <v>169</v>
      </c>
    </row>
    <row r="171" spans="3:9" x14ac:dyDescent="0.35">
      <c r="C171" s="6"/>
      <c r="D171" s="7" t="s">
        <v>748</v>
      </c>
      <c r="E171" s="7" t="s">
        <v>748</v>
      </c>
      <c r="F171" s="6" t="str">
        <f t="shared" si="5"/>
        <v>GSW</v>
      </c>
      <c r="G171" s="7"/>
      <c r="H171" s="2" t="str">
        <v>JaVale McGee</v>
      </c>
      <c r="I171" s="7">
        <f t="shared" si="4"/>
        <v>170</v>
      </c>
    </row>
    <row r="172" spans="3:9" x14ac:dyDescent="0.35">
      <c r="C172" s="6"/>
      <c r="D172" s="6" t="s">
        <v>100</v>
      </c>
      <c r="E172" s="6" t="s">
        <v>100</v>
      </c>
      <c r="F172" s="6" t="str">
        <f t="shared" si="5"/>
        <v>HOU</v>
      </c>
      <c r="G172" s="7"/>
      <c r="H172" s="2" t="str">
        <v>Cam Reddish</v>
      </c>
      <c r="I172" s="7">
        <f t="shared" si="4"/>
        <v>171</v>
      </c>
    </row>
    <row r="173" spans="3:9" x14ac:dyDescent="0.35">
      <c r="C173" s="6"/>
      <c r="D173" s="6" t="s">
        <v>106</v>
      </c>
      <c r="E173" s="6" t="s">
        <v>106</v>
      </c>
      <c r="F173" s="6" t="str">
        <f t="shared" si="5"/>
        <v>HOU</v>
      </c>
      <c r="G173" s="7"/>
      <c r="H173" s="2" t="str">
        <v>Patrick Williams</v>
      </c>
      <c r="I173" s="7">
        <f t="shared" si="4"/>
        <v>172</v>
      </c>
    </row>
    <row r="174" spans="3:9" x14ac:dyDescent="0.35">
      <c r="C174" s="6"/>
      <c r="D174" s="6" t="s">
        <v>120</v>
      </c>
      <c r="E174" s="6" t="s">
        <v>120</v>
      </c>
      <c r="F174" s="6" t="str">
        <f t="shared" si="5"/>
        <v>HOU</v>
      </c>
      <c r="G174" s="7"/>
      <c r="H174" s="2" t="str">
        <v>Saddiq Bey</v>
      </c>
      <c r="I174" s="7">
        <f t="shared" si="4"/>
        <v>173</v>
      </c>
    </row>
    <row r="175" spans="3:9" x14ac:dyDescent="0.35">
      <c r="C175" s="6"/>
      <c r="D175" s="6" t="s">
        <v>178</v>
      </c>
      <c r="E175" s="6" t="s">
        <v>178</v>
      </c>
      <c r="F175" s="6" t="str">
        <f t="shared" si="5"/>
        <v>HOU</v>
      </c>
      <c r="G175" s="7"/>
      <c r="H175" s="2" t="str">
        <v>Kelly Oubre Jr.</v>
      </c>
      <c r="I175" s="7">
        <f t="shared" si="4"/>
        <v>174</v>
      </c>
    </row>
    <row r="176" spans="3:9" x14ac:dyDescent="0.35">
      <c r="C176" s="6"/>
      <c r="D176" s="6" t="s">
        <v>192</v>
      </c>
      <c r="E176" s="6" t="s">
        <v>192</v>
      </c>
      <c r="F176" s="6" t="str">
        <f t="shared" si="5"/>
        <v>HOU</v>
      </c>
      <c r="G176" s="7"/>
      <c r="H176" s="2" t="str">
        <v>Marc Gasol</v>
      </c>
      <c r="I176" s="7">
        <f t="shared" si="4"/>
        <v>175</v>
      </c>
    </row>
    <row r="177" spans="3:9" x14ac:dyDescent="0.35">
      <c r="C177" s="6"/>
      <c r="D177" s="6" t="s">
        <v>222</v>
      </c>
      <c r="E177" s="6" t="s">
        <v>222</v>
      </c>
      <c r="F177" s="6" t="str">
        <f t="shared" si="5"/>
        <v>HOU</v>
      </c>
      <c r="G177" s="7"/>
      <c r="H177" s="2" t="str">
        <v>James Wiseman</v>
      </c>
      <c r="I177" s="7">
        <f t="shared" si="4"/>
        <v>176</v>
      </c>
    </row>
    <row r="178" spans="3:9" x14ac:dyDescent="0.35">
      <c r="C178" s="6"/>
      <c r="D178" s="6" t="s">
        <v>305</v>
      </c>
      <c r="E178" s="6" t="s">
        <v>305</v>
      </c>
      <c r="F178" s="6" t="str">
        <f t="shared" si="5"/>
        <v>HOU</v>
      </c>
      <c r="G178" s="7"/>
      <c r="H178" s="2" t="str">
        <v>Damion Lee</v>
      </c>
      <c r="I178" s="7">
        <f t="shared" si="4"/>
        <v>177</v>
      </c>
    </row>
    <row r="179" spans="3:9" x14ac:dyDescent="0.35">
      <c r="C179" s="6"/>
      <c r="D179" s="6" t="s">
        <v>564</v>
      </c>
      <c r="E179" s="6" t="s">
        <v>564</v>
      </c>
      <c r="F179" s="6" t="str">
        <f t="shared" si="5"/>
        <v>HOU</v>
      </c>
      <c r="G179" s="7"/>
      <c r="H179" s="2" t="str">
        <v>Tomáš Satoranský</v>
      </c>
      <c r="I179" s="7">
        <f t="shared" si="4"/>
        <v>178</v>
      </c>
    </row>
    <row r="180" spans="3:9" x14ac:dyDescent="0.35">
      <c r="C180" s="6"/>
      <c r="D180" s="6" t="s">
        <v>411</v>
      </c>
      <c r="E180" s="6" t="s">
        <v>411</v>
      </c>
      <c r="F180" s="6" t="str">
        <f t="shared" si="5"/>
        <v>HOU</v>
      </c>
      <c r="G180" s="7"/>
      <c r="H180" s="2" t="str">
        <v>Garrett Temple</v>
      </c>
      <c r="I180" s="7">
        <f t="shared" si="4"/>
        <v>179</v>
      </c>
    </row>
    <row r="181" spans="3:9" x14ac:dyDescent="0.35">
      <c r="C181" s="6"/>
      <c r="D181" s="6" t="s">
        <v>532</v>
      </c>
      <c r="E181" s="6" t="s">
        <v>532</v>
      </c>
      <c r="F181" s="6" t="str">
        <f t="shared" si="5"/>
        <v>HOU</v>
      </c>
      <c r="G181" s="7"/>
      <c r="H181" s="2" t="str">
        <v>Derrick Rose</v>
      </c>
      <c r="I181" s="7">
        <f t="shared" si="4"/>
        <v>180</v>
      </c>
    </row>
    <row r="182" spans="3:9" x14ac:dyDescent="0.35">
      <c r="C182" s="6"/>
      <c r="D182" s="6" t="s">
        <v>442</v>
      </c>
      <c r="E182" s="6" t="s">
        <v>442</v>
      </c>
      <c r="F182" s="6" t="str">
        <f t="shared" si="5"/>
        <v>HOU</v>
      </c>
      <c r="G182" s="7"/>
      <c r="H182" s="2" t="str">
        <v>Jeff Teague</v>
      </c>
      <c r="I182" s="7">
        <f t="shared" si="4"/>
        <v>181</v>
      </c>
    </row>
    <row r="183" spans="3:9" x14ac:dyDescent="0.35">
      <c r="C183" s="6"/>
      <c r="D183" s="30" t="s">
        <v>665</v>
      </c>
      <c r="E183" s="30" t="s">
        <v>665</v>
      </c>
      <c r="F183" s="6" t="str">
        <f t="shared" si="5"/>
        <v>HOU</v>
      </c>
      <c r="G183" s="7"/>
      <c r="H183" s="2" t="str">
        <v>Delon Wright</v>
      </c>
      <c r="I183" s="7">
        <f t="shared" si="4"/>
        <v>182</v>
      </c>
    </row>
    <row r="184" spans="3:9" x14ac:dyDescent="0.35">
      <c r="C184" s="6"/>
      <c r="D184" s="7" t="s">
        <v>742</v>
      </c>
      <c r="E184" s="7" t="s">
        <v>742</v>
      </c>
      <c r="F184" s="6" t="str">
        <f t="shared" si="5"/>
        <v>HOU</v>
      </c>
      <c r="G184" s="7"/>
      <c r="H184" s="2" t="str">
        <v>Gary Harris</v>
      </c>
      <c r="I184" s="7">
        <f t="shared" si="4"/>
        <v>183</v>
      </c>
    </row>
    <row r="185" spans="3:9" x14ac:dyDescent="0.35">
      <c r="C185" s="6"/>
      <c r="D185" s="7" t="s">
        <v>750</v>
      </c>
      <c r="E185" s="7" t="s">
        <v>750</v>
      </c>
      <c r="F185" s="6" t="str">
        <f t="shared" si="5"/>
        <v>HOU</v>
      </c>
      <c r="G185" s="7"/>
      <c r="H185" s="2" t="str">
        <v>Tyrese Maxey</v>
      </c>
      <c r="I185" s="7">
        <f t="shared" si="4"/>
        <v>184</v>
      </c>
    </row>
    <row r="186" spans="3:9" x14ac:dyDescent="0.35">
      <c r="C186" s="6"/>
      <c r="D186" s="6" t="s">
        <v>726</v>
      </c>
      <c r="E186" s="7" t="s">
        <v>757</v>
      </c>
      <c r="F186" s="6" t="str">
        <f t="shared" si="5"/>
        <v>HOU</v>
      </c>
      <c r="G186" s="7"/>
      <c r="H186" s="2" t="str">
        <v>Mike Muscala</v>
      </c>
      <c r="I186" s="7">
        <f t="shared" si="4"/>
        <v>185</v>
      </c>
    </row>
    <row r="187" spans="3:9" x14ac:dyDescent="0.35">
      <c r="C187" s="6"/>
      <c r="D187" s="6" t="s">
        <v>728</v>
      </c>
      <c r="E187" s="7" t="s">
        <v>728</v>
      </c>
      <c r="F187" s="6" t="str">
        <f t="shared" si="5"/>
        <v>HOU</v>
      </c>
      <c r="G187" s="7"/>
      <c r="H187" s="2" t="str">
        <v>Markelle Fultz</v>
      </c>
      <c r="I187" s="7">
        <f t="shared" si="4"/>
        <v>186</v>
      </c>
    </row>
    <row r="188" spans="3:9" x14ac:dyDescent="0.35">
      <c r="C188" s="6"/>
      <c r="D188" s="6" t="s">
        <v>74</v>
      </c>
      <c r="E188" s="6" t="s">
        <v>74</v>
      </c>
      <c r="F188" s="6" t="str">
        <f t="shared" si="5"/>
        <v>IND</v>
      </c>
      <c r="G188" s="7"/>
      <c r="H188" s="2" t="str">
        <v>Sterling Brown</v>
      </c>
      <c r="I188" s="7">
        <f t="shared" si="4"/>
        <v>187</v>
      </c>
    </row>
    <row r="189" spans="3:9" x14ac:dyDescent="0.35">
      <c r="C189" s="6"/>
      <c r="D189" s="6" t="s">
        <v>86</v>
      </c>
      <c r="E189" s="6" t="s">
        <v>579</v>
      </c>
      <c r="F189" s="6" t="str">
        <f t="shared" si="5"/>
        <v>IND</v>
      </c>
      <c r="G189" s="7"/>
      <c r="H189" s="2" t="str">
        <v>Derrick Jones Jr.</v>
      </c>
      <c r="I189" s="7">
        <f t="shared" si="4"/>
        <v>188</v>
      </c>
    </row>
    <row r="190" spans="3:9" x14ac:dyDescent="0.35">
      <c r="C190" s="6"/>
      <c r="D190" s="6" t="s">
        <v>94</v>
      </c>
      <c r="E190" s="6" t="s">
        <v>94</v>
      </c>
      <c r="F190" s="6" t="str">
        <f t="shared" si="5"/>
        <v>IND</v>
      </c>
      <c r="G190" s="7"/>
      <c r="H190" s="2" t="str">
        <v>Paul Millsap</v>
      </c>
      <c r="I190" s="7">
        <f t="shared" si="4"/>
        <v>189</v>
      </c>
    </row>
    <row r="191" spans="3:9" x14ac:dyDescent="0.35">
      <c r="C191" s="6"/>
      <c r="D191" s="6" t="s">
        <v>214</v>
      </c>
      <c r="E191" s="6" t="s">
        <v>214</v>
      </c>
      <c r="F191" s="6" t="str">
        <f t="shared" si="5"/>
        <v>IND</v>
      </c>
      <c r="G191" s="7"/>
      <c r="H191" s="2" t="str">
        <v>Eric Paschall</v>
      </c>
      <c r="I191" s="7">
        <f t="shared" si="4"/>
        <v>190</v>
      </c>
    </row>
    <row r="192" spans="3:9" x14ac:dyDescent="0.35">
      <c r="C192" s="6"/>
      <c r="D192" s="6" t="s">
        <v>216</v>
      </c>
      <c r="E192" s="6" t="s">
        <v>216</v>
      </c>
      <c r="F192" s="6" t="str">
        <f t="shared" si="5"/>
        <v>IND</v>
      </c>
      <c r="G192" s="7"/>
      <c r="H192" s="2" t="str">
        <v>Tristan Thompson</v>
      </c>
      <c r="I192" s="7">
        <f t="shared" si="4"/>
        <v>191</v>
      </c>
    </row>
    <row r="193" spans="3:9" x14ac:dyDescent="0.35">
      <c r="C193" s="6"/>
      <c r="D193" s="6" t="s">
        <v>267</v>
      </c>
      <c r="E193" s="6" t="s">
        <v>267</v>
      </c>
      <c r="F193" s="6" t="str">
        <f t="shared" si="5"/>
        <v>IND</v>
      </c>
      <c r="G193" s="7"/>
      <c r="H193" s="2" t="str">
        <v>Cameron Payne</v>
      </c>
      <c r="I193" s="7">
        <f t="shared" si="4"/>
        <v>192</v>
      </c>
    </row>
    <row r="194" spans="3:9" x14ac:dyDescent="0.35">
      <c r="C194" s="6"/>
      <c r="D194" s="6" t="s">
        <v>272</v>
      </c>
      <c r="E194" s="6" t="s">
        <v>272</v>
      </c>
      <c r="F194" s="6" t="str">
        <f t="shared" si="5"/>
        <v>IND</v>
      </c>
      <c r="G194" s="7"/>
      <c r="H194" s="2" t="str">
        <v>Thaddeus Young</v>
      </c>
      <c r="I194" s="7">
        <f t="shared" ref="I194:I201" si="6">MATCH(H194,Player_Names,0)</f>
        <v>193</v>
      </c>
    </row>
    <row r="195" spans="3:9" x14ac:dyDescent="0.35">
      <c r="C195" s="6"/>
      <c r="D195" s="63" t="s">
        <v>293</v>
      </c>
      <c r="E195" s="6" t="s">
        <v>293</v>
      </c>
      <c r="F195" s="6" t="str">
        <f t="shared" ref="F195:F258" si="7">VLOOKUP(VLOOKUP(E195,Roster_Range,2,FALSE),Abbreviations, 2, FALSE)</f>
        <v>IND</v>
      </c>
      <c r="G195" s="7"/>
      <c r="H195" s="2" t="str">
        <v>Bismack Biyombo</v>
      </c>
      <c r="I195" s="7">
        <f t="shared" si="6"/>
        <v>194</v>
      </c>
    </row>
    <row r="196" spans="3:9" x14ac:dyDescent="0.35">
      <c r="C196" s="6"/>
      <c r="D196" s="6" t="s">
        <v>298</v>
      </c>
      <c r="E196" s="6" t="s">
        <v>298</v>
      </c>
      <c r="F196" s="6" t="str">
        <f t="shared" si="7"/>
        <v>IND</v>
      </c>
      <c r="G196" s="7"/>
      <c r="H196" s="2" t="str">
        <v>Daniel Theis</v>
      </c>
      <c r="I196" s="7">
        <f t="shared" si="6"/>
        <v>195</v>
      </c>
    </row>
    <row r="197" spans="3:9" x14ac:dyDescent="0.35">
      <c r="C197" s="6"/>
      <c r="D197" s="6" t="s">
        <v>300</v>
      </c>
      <c r="E197" s="6" t="s">
        <v>300</v>
      </c>
      <c r="F197" s="6" t="str">
        <f t="shared" si="7"/>
        <v>IND</v>
      </c>
      <c r="G197" s="7"/>
      <c r="H197" s="2" t="str">
        <v>Kyle Kuzma</v>
      </c>
      <c r="I197" s="7">
        <f t="shared" si="6"/>
        <v>196</v>
      </c>
    </row>
    <row r="198" spans="3:9" x14ac:dyDescent="0.35">
      <c r="C198" s="6"/>
      <c r="D198" s="6" t="s">
        <v>454</v>
      </c>
      <c r="E198" s="6" t="s">
        <v>454</v>
      </c>
      <c r="F198" s="6" t="str">
        <f t="shared" si="7"/>
        <v>IND</v>
      </c>
      <c r="G198" s="7"/>
      <c r="H198" s="2" t="str">
        <v>Trey Burke</v>
      </c>
      <c r="I198" s="7">
        <f t="shared" si="6"/>
        <v>197</v>
      </c>
    </row>
    <row r="199" spans="3:9" x14ac:dyDescent="0.35">
      <c r="C199" s="6"/>
      <c r="D199" s="6" t="s">
        <v>381</v>
      </c>
      <c r="E199" s="6" t="s">
        <v>381</v>
      </c>
      <c r="F199" s="6" t="str">
        <f t="shared" si="7"/>
        <v>IND</v>
      </c>
      <c r="G199" s="7"/>
      <c r="H199" s="2" t="str">
        <v>Ivica Zubac</v>
      </c>
      <c r="I199" s="7">
        <f t="shared" si="6"/>
        <v>198</v>
      </c>
    </row>
    <row r="200" spans="3:9" x14ac:dyDescent="0.35">
      <c r="C200" s="6"/>
      <c r="D200" s="6" t="s">
        <v>382</v>
      </c>
      <c r="E200" s="6" t="s">
        <v>382</v>
      </c>
      <c r="F200" s="6" t="str">
        <f t="shared" si="7"/>
        <v>IND</v>
      </c>
      <c r="G200" s="7"/>
      <c r="H200" s="2" t="str">
        <v>T.J. McConnell</v>
      </c>
      <c r="I200" s="7">
        <f t="shared" si="6"/>
        <v>199</v>
      </c>
    </row>
    <row r="201" spans="3:9" x14ac:dyDescent="0.35">
      <c r="C201" s="6"/>
      <c r="D201" s="6" t="s">
        <v>398</v>
      </c>
      <c r="E201" s="6" t="s">
        <v>398</v>
      </c>
      <c r="F201" s="6" t="str">
        <f t="shared" si="7"/>
        <v>IND</v>
      </c>
      <c r="G201" s="7"/>
      <c r="H201" s="2" t="str">
        <v>Joe Ingles</v>
      </c>
      <c r="I201" s="7">
        <f t="shared" si="6"/>
        <v>200</v>
      </c>
    </row>
    <row r="202" spans="3:9" x14ac:dyDescent="0.35">
      <c r="C202" s="6"/>
      <c r="D202" s="6" t="s">
        <v>414</v>
      </c>
      <c r="E202" s="6" t="s">
        <v>414</v>
      </c>
      <c r="F202" s="6" t="str">
        <f t="shared" si="7"/>
        <v>IND</v>
      </c>
      <c r="G202" s="7"/>
      <c r="H202" s="2" t="str">
        <v>Bogdan Bogdanović</v>
      </c>
      <c r="I202" s="7"/>
    </row>
    <row r="203" spans="3:9" x14ac:dyDescent="0.35">
      <c r="C203" s="6"/>
      <c r="D203" s="6" t="s">
        <v>423</v>
      </c>
      <c r="E203" s="6" t="s">
        <v>423</v>
      </c>
      <c r="F203" s="6" t="str">
        <f t="shared" si="7"/>
        <v>IND</v>
      </c>
      <c r="G203" s="7"/>
      <c r="H203" s="2" t="str">
        <v>Elfrid Payton</v>
      </c>
      <c r="I203" s="7"/>
    </row>
    <row r="204" spans="3:9" x14ac:dyDescent="0.35">
      <c r="C204" s="6"/>
      <c r="D204" s="6" t="s">
        <v>723</v>
      </c>
      <c r="E204" s="7" t="s">
        <v>723</v>
      </c>
      <c r="F204" s="6" t="str">
        <f t="shared" si="7"/>
        <v>IND</v>
      </c>
      <c r="G204" s="7"/>
      <c r="H204" s="2" t="str">
        <v>Desmond Bane</v>
      </c>
      <c r="I204" s="7"/>
    </row>
    <row r="205" spans="3:9" x14ac:dyDescent="0.35">
      <c r="C205" s="6"/>
      <c r="D205" s="6" t="s">
        <v>62</v>
      </c>
      <c r="E205" s="6" t="s">
        <v>62</v>
      </c>
      <c r="F205" s="6" t="str">
        <f t="shared" si="7"/>
        <v>LAC</v>
      </c>
      <c r="G205" s="7"/>
      <c r="H205" s="2" t="str">
        <v>Norman Powell</v>
      </c>
      <c r="I205" s="7"/>
    </row>
    <row r="206" spans="3:9" x14ac:dyDescent="0.35">
      <c r="C206" s="6"/>
      <c r="D206" s="6" t="s">
        <v>71</v>
      </c>
      <c r="E206" s="6" t="s">
        <v>71</v>
      </c>
      <c r="F206" s="6" t="str">
        <f t="shared" si="7"/>
        <v>LAC</v>
      </c>
      <c r="G206" s="7"/>
      <c r="H206" s="2" t="str">
        <v>Taurean Prince</v>
      </c>
      <c r="I206" s="7"/>
    </row>
    <row r="207" spans="3:9" x14ac:dyDescent="0.35">
      <c r="C207" s="6"/>
      <c r="D207" s="6" t="s">
        <v>121</v>
      </c>
      <c r="E207" s="6" t="s">
        <v>121</v>
      </c>
      <c r="F207" s="6" t="str">
        <f t="shared" si="7"/>
        <v>LAC</v>
      </c>
      <c r="G207" s="7"/>
      <c r="H207" s="2" t="str">
        <v>Dwight Powell</v>
      </c>
      <c r="I207" s="7"/>
    </row>
    <row r="208" spans="3:9" x14ac:dyDescent="0.35">
      <c r="C208" s="6"/>
      <c r="D208" s="6" t="s">
        <v>171</v>
      </c>
      <c r="E208" s="6" t="s">
        <v>171</v>
      </c>
      <c r="F208" s="6" t="str">
        <f t="shared" si="7"/>
        <v>LAC</v>
      </c>
      <c r="G208" s="7"/>
      <c r="H208" s="2" t="str">
        <v>Jae'Sean Tate</v>
      </c>
      <c r="I208" s="7"/>
    </row>
    <row r="209" spans="3:9" x14ac:dyDescent="0.35">
      <c r="C209" s="6"/>
      <c r="D209" s="6" t="s">
        <v>227</v>
      </c>
      <c r="E209" s="6" t="s">
        <v>227</v>
      </c>
      <c r="F209" s="6" t="str">
        <f t="shared" si="7"/>
        <v>LAC</v>
      </c>
      <c r="G209" s="7"/>
      <c r="H209" s="2" t="str">
        <v>Doug McDermott</v>
      </c>
      <c r="I209" s="7"/>
    </row>
    <row r="210" spans="3:9" x14ac:dyDescent="0.35">
      <c r="C210" s="6"/>
      <c r="D210" s="6" t="s">
        <v>236</v>
      </c>
      <c r="E210" s="6" t="s">
        <v>236</v>
      </c>
      <c r="F210" s="6" t="str">
        <f t="shared" si="7"/>
        <v>LAC</v>
      </c>
      <c r="G210" s="7"/>
      <c r="H210" s="2" t="str">
        <v>T.J. Warren</v>
      </c>
      <c r="I210" s="7"/>
    </row>
    <row r="211" spans="3:9" x14ac:dyDescent="0.35">
      <c r="C211" s="6"/>
      <c r="D211" s="6" t="s">
        <v>252</v>
      </c>
      <c r="E211" s="6" t="s">
        <v>252</v>
      </c>
      <c r="F211" s="6" t="str">
        <f t="shared" si="7"/>
        <v>LAC</v>
      </c>
      <c r="G211" s="7"/>
      <c r="H211" s="2" t="str">
        <v>Timothé Luwawu-Cabarrot</v>
      </c>
      <c r="I211" s="7"/>
    </row>
    <row r="212" spans="3:9" x14ac:dyDescent="0.35">
      <c r="C212" s="6"/>
      <c r="D212" s="6" t="s">
        <v>255</v>
      </c>
      <c r="E212" s="6" t="s">
        <v>255</v>
      </c>
      <c r="F212" s="6" t="str">
        <f t="shared" si="7"/>
        <v>LAC</v>
      </c>
      <c r="G212" s="7"/>
      <c r="H212" s="2" t="str">
        <v>Dario Šarić</v>
      </c>
      <c r="I212" s="7"/>
    </row>
    <row r="213" spans="3:9" x14ac:dyDescent="0.35">
      <c r="C213" s="6"/>
      <c r="D213" s="6" t="s">
        <v>276</v>
      </c>
      <c r="E213" s="6" t="s">
        <v>276</v>
      </c>
      <c r="F213" s="6" t="str">
        <f t="shared" si="7"/>
        <v>LAC</v>
      </c>
      <c r="G213" s="7"/>
      <c r="H213" s="2" t="str">
        <v>Isaiah Joe</v>
      </c>
      <c r="I213" s="7"/>
    </row>
    <row r="214" spans="3:9" x14ac:dyDescent="0.35">
      <c r="C214" s="6"/>
      <c r="D214" s="6" t="s">
        <v>289</v>
      </c>
      <c r="E214" s="6" t="s">
        <v>289</v>
      </c>
      <c r="F214" s="6" t="str">
        <f t="shared" si="7"/>
        <v>LAC</v>
      </c>
      <c r="G214" s="7"/>
      <c r="H214" s="2" t="str">
        <v>Sviatoslav Mykhailiuk</v>
      </c>
      <c r="I214" s="7"/>
    </row>
    <row r="215" spans="3:9" x14ac:dyDescent="0.35">
      <c r="C215" s="6"/>
      <c r="D215" s="6" t="s">
        <v>320</v>
      </c>
      <c r="E215" s="6" t="s">
        <v>320</v>
      </c>
      <c r="F215" s="6" t="str">
        <f t="shared" si="7"/>
        <v>LAC</v>
      </c>
      <c r="G215" s="7"/>
      <c r="H215" s="2" t="str">
        <v>Drew Eubanks</v>
      </c>
      <c r="I215" s="7"/>
    </row>
    <row r="216" spans="3:9" x14ac:dyDescent="0.35">
      <c r="C216" s="6"/>
      <c r="D216" s="6" t="s">
        <v>349</v>
      </c>
      <c r="E216" s="6" t="s">
        <v>349</v>
      </c>
      <c r="F216" s="6" t="str">
        <f t="shared" si="7"/>
        <v>LAC</v>
      </c>
      <c r="G216" s="7"/>
      <c r="H216" s="2" t="str">
        <v>Lou Williams</v>
      </c>
      <c r="I216" s="7"/>
    </row>
    <row r="217" spans="3:9" x14ac:dyDescent="0.35">
      <c r="C217" s="6"/>
      <c r="D217" s="6" t="s">
        <v>435</v>
      </c>
      <c r="E217" s="6" t="s">
        <v>435</v>
      </c>
      <c r="F217" s="6" t="str">
        <f t="shared" si="7"/>
        <v>LAC</v>
      </c>
      <c r="G217" s="7"/>
      <c r="H217" s="2" t="str">
        <v>Reggie Bullock</v>
      </c>
      <c r="I217" s="7"/>
    </row>
    <row r="218" spans="3:9" x14ac:dyDescent="0.35">
      <c r="C218" s="6"/>
      <c r="D218" s="6" t="s">
        <v>447</v>
      </c>
      <c r="E218" s="6" t="s">
        <v>447</v>
      </c>
      <c r="F218" s="6" t="str">
        <f t="shared" si="7"/>
        <v>LAC</v>
      </c>
      <c r="G218" s="7"/>
      <c r="H218" s="2" t="str">
        <v>Spencer Dinwiddie</v>
      </c>
      <c r="I218" s="7"/>
    </row>
    <row r="219" spans="3:9" x14ac:dyDescent="0.35">
      <c r="C219" s="6"/>
      <c r="D219" s="6" t="s">
        <v>715</v>
      </c>
      <c r="E219" s="7" t="s">
        <v>715</v>
      </c>
      <c r="F219" s="6" t="str">
        <f t="shared" si="7"/>
        <v>LAC</v>
      </c>
      <c r="G219" s="7"/>
      <c r="H219" s="2" t="str">
        <v>Wesley Matthews</v>
      </c>
      <c r="I219" s="7"/>
    </row>
    <row r="220" spans="3:9" x14ac:dyDescent="0.35">
      <c r="C220" s="6"/>
      <c r="D220" s="7" t="s">
        <v>754</v>
      </c>
      <c r="E220" s="7" t="s">
        <v>754</v>
      </c>
      <c r="F220" s="6" t="str">
        <f t="shared" si="7"/>
        <v>LAC</v>
      </c>
      <c r="G220" s="7"/>
      <c r="H220" s="2" t="str">
        <v>Jalen Brunson</v>
      </c>
      <c r="I220" s="7"/>
    </row>
    <row r="221" spans="3:9" x14ac:dyDescent="0.35">
      <c r="C221" s="6"/>
      <c r="D221" s="6" t="s">
        <v>39</v>
      </c>
      <c r="E221" s="6" t="s">
        <v>39</v>
      </c>
      <c r="F221" s="6" t="str">
        <f t="shared" si="7"/>
        <v>LAL</v>
      </c>
      <c r="G221" s="7"/>
      <c r="H221" s="2" t="str">
        <v>Marvin Bagley III</v>
      </c>
      <c r="I221" s="7"/>
    </row>
    <row r="222" spans="3:9" x14ac:dyDescent="0.35">
      <c r="C222" s="6"/>
      <c r="D222" s="6" t="s">
        <v>107</v>
      </c>
      <c r="E222" s="6" t="s">
        <v>107</v>
      </c>
      <c r="F222" s="6" t="str">
        <f t="shared" si="7"/>
        <v>LAL</v>
      </c>
      <c r="G222" s="7"/>
      <c r="H222" s="2" t="str">
        <v>Juan Hernangómez</v>
      </c>
      <c r="I222" s="7"/>
    </row>
    <row r="223" spans="3:9" x14ac:dyDescent="0.35">
      <c r="C223" s="6"/>
      <c r="D223" s="6" t="s">
        <v>111</v>
      </c>
      <c r="E223" s="6" t="s">
        <v>111</v>
      </c>
      <c r="F223" s="6" t="str">
        <f t="shared" si="7"/>
        <v>LAL</v>
      </c>
      <c r="G223" s="7"/>
      <c r="H223" s="2" t="str">
        <v>Damyean Dotson</v>
      </c>
      <c r="I223" s="7"/>
    </row>
    <row r="224" spans="3:9" x14ac:dyDescent="0.35">
      <c r="C224" s="6"/>
      <c r="D224" s="6" t="s">
        <v>126</v>
      </c>
      <c r="E224" s="6" t="s">
        <v>126</v>
      </c>
      <c r="F224" s="6" t="str">
        <f t="shared" si="7"/>
        <v>LAL</v>
      </c>
      <c r="G224" s="7"/>
      <c r="H224" s="2" t="str">
        <v>Kevin Love</v>
      </c>
      <c r="I224" s="7"/>
    </row>
    <row r="225" spans="3:9" x14ac:dyDescent="0.35">
      <c r="C225" s="6"/>
      <c r="D225" s="6" t="s">
        <v>133</v>
      </c>
      <c r="E225" s="6" t="s">
        <v>133</v>
      </c>
      <c r="F225" s="6" t="str">
        <f t="shared" si="7"/>
        <v>LAL</v>
      </c>
      <c r="G225" s="7"/>
      <c r="H225" s="2" t="str">
        <v>Gary Trent Jr.</v>
      </c>
      <c r="I225" s="7"/>
    </row>
    <row r="226" spans="3:9" x14ac:dyDescent="0.35">
      <c r="C226" s="6"/>
      <c r="D226" s="6" t="s">
        <v>145</v>
      </c>
      <c r="E226" s="6" t="s">
        <v>145</v>
      </c>
      <c r="F226" s="6" t="str">
        <f t="shared" si="7"/>
        <v>LAL</v>
      </c>
      <c r="G226" s="7"/>
      <c r="H226" s="2" t="str">
        <v>Bojan Bogdanović</v>
      </c>
      <c r="I226" s="7"/>
    </row>
    <row r="227" spans="3:9" x14ac:dyDescent="0.35">
      <c r="C227" s="6"/>
      <c r="D227" s="6" t="s">
        <v>169</v>
      </c>
      <c r="E227" s="6" t="s">
        <v>169</v>
      </c>
      <c r="F227" s="6" t="str">
        <f t="shared" si="7"/>
        <v>LAL</v>
      </c>
      <c r="G227" s="7"/>
      <c r="H227" s="2" t="str">
        <v>Aaron Holiday</v>
      </c>
      <c r="I227" s="7"/>
    </row>
    <row r="228" spans="3:9" x14ac:dyDescent="0.35">
      <c r="C228" s="6"/>
      <c r="D228" s="6" t="s">
        <v>195</v>
      </c>
      <c r="E228" s="6" t="s">
        <v>195</v>
      </c>
      <c r="F228" s="6" t="str">
        <f t="shared" si="7"/>
        <v>LAL</v>
      </c>
      <c r="G228" s="7"/>
      <c r="H228" s="2" t="str">
        <v>Cory Joseph</v>
      </c>
      <c r="I228" s="7"/>
    </row>
    <row r="229" spans="3:9" x14ac:dyDescent="0.35">
      <c r="C229" s="6"/>
      <c r="D229" s="6" t="s">
        <v>221</v>
      </c>
      <c r="E229" s="6" t="s">
        <v>221</v>
      </c>
      <c r="F229" s="6" t="str">
        <f t="shared" si="7"/>
        <v>LAL</v>
      </c>
      <c r="G229" s="7"/>
      <c r="H229" s="2" t="str">
        <v>David Nwaba</v>
      </c>
      <c r="I229" s="7"/>
    </row>
    <row r="230" spans="3:9" x14ac:dyDescent="0.35">
      <c r="C230" s="6"/>
      <c r="D230" s="6" t="s">
        <v>238</v>
      </c>
      <c r="E230" s="6" t="s">
        <v>238</v>
      </c>
      <c r="F230" s="6" t="str">
        <f t="shared" si="7"/>
        <v>LAL</v>
      </c>
      <c r="G230" s="7"/>
      <c r="H230" s="2" t="str">
        <v>Danuel House</v>
      </c>
      <c r="I230" s="7"/>
    </row>
    <row r="231" spans="3:9" x14ac:dyDescent="0.35">
      <c r="C231" s="6"/>
      <c r="D231" s="6" t="s">
        <v>266</v>
      </c>
      <c r="E231" s="6" t="s">
        <v>266</v>
      </c>
      <c r="F231" s="6" t="str">
        <f t="shared" si="7"/>
        <v>LAL</v>
      </c>
      <c r="G231" s="7"/>
      <c r="H231" s="2" t="str">
        <v>Solomon Hill</v>
      </c>
      <c r="I231" s="7"/>
    </row>
    <row r="232" spans="3:9" x14ac:dyDescent="0.35">
      <c r="C232" s="6"/>
      <c r="D232" s="6" t="s">
        <v>296</v>
      </c>
      <c r="E232" s="6" t="s">
        <v>296</v>
      </c>
      <c r="F232" s="6" t="str">
        <f t="shared" si="7"/>
        <v>LAL</v>
      </c>
      <c r="G232" s="7"/>
      <c r="H232" s="2" t="str">
        <v>DeAndre Jordan</v>
      </c>
      <c r="I232" s="7"/>
    </row>
    <row r="233" spans="3:9" x14ac:dyDescent="0.35">
      <c r="C233" s="6"/>
      <c r="D233" s="6" t="s">
        <v>303</v>
      </c>
      <c r="E233" s="6" t="s">
        <v>303</v>
      </c>
      <c r="F233" s="6" t="str">
        <f t="shared" si="7"/>
        <v>LAL</v>
      </c>
      <c r="G233" s="7"/>
      <c r="H233" s="2" t="str">
        <v>PJ Dozier</v>
      </c>
      <c r="I233" s="7"/>
    </row>
    <row r="234" spans="3:9" x14ac:dyDescent="0.35">
      <c r="C234" s="6"/>
      <c r="D234" s="6" t="s">
        <v>321</v>
      </c>
      <c r="E234" s="6" t="s">
        <v>321</v>
      </c>
      <c r="F234" s="6" t="str">
        <f t="shared" si="7"/>
        <v>LAL</v>
      </c>
      <c r="G234" s="7"/>
      <c r="H234" s="2" t="str">
        <v>Grant Williams</v>
      </c>
      <c r="I234" s="7"/>
    </row>
    <row r="235" spans="3:9" x14ac:dyDescent="0.35">
      <c r="C235" s="6"/>
      <c r="D235" s="6" t="s">
        <v>621</v>
      </c>
      <c r="E235" s="6" t="s">
        <v>526</v>
      </c>
      <c r="F235" s="6" t="str">
        <f t="shared" si="7"/>
        <v>LAL</v>
      </c>
      <c r="G235" s="7"/>
      <c r="H235" s="2" t="str">
        <v>Andre Iguodala</v>
      </c>
      <c r="I235" s="7"/>
    </row>
    <row r="236" spans="3:9" x14ac:dyDescent="0.35">
      <c r="C236" s="6"/>
      <c r="D236" s="8" t="s">
        <v>502</v>
      </c>
      <c r="E236" s="8" t="s">
        <v>502</v>
      </c>
      <c r="F236" s="6" t="str">
        <f t="shared" si="7"/>
        <v>LAL</v>
      </c>
      <c r="G236" s="7"/>
      <c r="H236" s="2" t="str">
        <v>Kevin Knox</v>
      </c>
      <c r="I236" s="7"/>
    </row>
    <row r="237" spans="3:9" x14ac:dyDescent="0.35">
      <c r="C237" s="6"/>
      <c r="D237" s="6" t="s">
        <v>27</v>
      </c>
      <c r="E237" s="6" t="s">
        <v>27</v>
      </c>
      <c r="F237" s="6" t="str">
        <f t="shared" si="7"/>
        <v>MEM</v>
      </c>
      <c r="G237" s="7"/>
      <c r="H237" s="2" t="str">
        <v>Grayson Allen</v>
      </c>
      <c r="I237" s="7"/>
    </row>
    <row r="238" spans="3:9" x14ac:dyDescent="0.35">
      <c r="C238" s="6"/>
      <c r="D238" s="6" t="s">
        <v>35</v>
      </c>
      <c r="E238" s="6" t="s">
        <v>35</v>
      </c>
      <c r="F238" s="6" t="str">
        <f t="shared" si="7"/>
        <v>MEM</v>
      </c>
      <c r="G238" s="7"/>
      <c r="H238" s="2" t="str">
        <v>Ish Smith</v>
      </c>
      <c r="I238" s="7"/>
    </row>
    <row r="239" spans="3:9" x14ac:dyDescent="0.35">
      <c r="C239" s="6"/>
      <c r="D239" s="6" t="s">
        <v>95</v>
      </c>
      <c r="E239" s="6" t="s">
        <v>95</v>
      </c>
      <c r="F239" s="6" t="str">
        <f t="shared" si="7"/>
        <v>MEM</v>
      </c>
      <c r="G239" s="7"/>
      <c r="H239" s="2" t="str">
        <v>Jakob Poeltl</v>
      </c>
      <c r="I239" s="7"/>
    </row>
    <row r="240" spans="3:9" x14ac:dyDescent="0.35">
      <c r="C240" s="6"/>
      <c r="D240" s="6" t="s">
        <v>116</v>
      </c>
      <c r="E240" s="6" t="s">
        <v>116</v>
      </c>
      <c r="F240" s="6" t="str">
        <f t="shared" si="7"/>
        <v>MEM</v>
      </c>
      <c r="G240" s="7"/>
      <c r="H240" s="2" t="str">
        <v>Anthony Edwards</v>
      </c>
      <c r="I240" s="7"/>
    </row>
    <row r="241" spans="3:9" x14ac:dyDescent="0.35">
      <c r="C241" s="6"/>
      <c r="D241" s="6" t="s">
        <v>138</v>
      </c>
      <c r="E241" s="6" t="s">
        <v>138</v>
      </c>
      <c r="F241" s="6" t="str">
        <f t="shared" si="7"/>
        <v>MEM</v>
      </c>
      <c r="G241" s="7"/>
      <c r="H241" s="2" t="str">
        <v>Jarrett Culver</v>
      </c>
      <c r="I241" s="7"/>
    </row>
    <row r="242" spans="3:9" x14ac:dyDescent="0.35">
      <c r="C242" s="6"/>
      <c r="D242" s="62" t="s">
        <v>638</v>
      </c>
      <c r="E242" s="6" t="s">
        <v>585</v>
      </c>
      <c r="F242" s="6" t="str">
        <f t="shared" si="7"/>
        <v>MEM</v>
      </c>
      <c r="G242" s="7"/>
      <c r="H242" s="2" t="str">
        <v>Luke Kennard</v>
      </c>
      <c r="I242" s="7"/>
    </row>
    <row r="243" spans="3:9" x14ac:dyDescent="0.35">
      <c r="C243" s="6"/>
      <c r="D243" s="63" t="s">
        <v>249</v>
      </c>
      <c r="E243" s="6" t="s">
        <v>249</v>
      </c>
      <c r="F243" s="6" t="str">
        <f t="shared" si="7"/>
        <v>MEM</v>
      </c>
      <c r="G243" s="7"/>
      <c r="H243" s="2" t="str">
        <v>Derrick White</v>
      </c>
      <c r="I243" s="7"/>
    </row>
    <row r="244" spans="3:9" x14ac:dyDescent="0.35">
      <c r="C244" s="6"/>
      <c r="D244" s="6" t="s">
        <v>261</v>
      </c>
      <c r="E244" s="6" t="s">
        <v>261</v>
      </c>
      <c r="F244" s="6" t="str">
        <f t="shared" si="7"/>
        <v>MEM</v>
      </c>
      <c r="G244" s="7"/>
      <c r="H244" s="2" t="str">
        <v>Jeff Green</v>
      </c>
      <c r="I244" s="7"/>
    </row>
    <row r="245" spans="3:9" x14ac:dyDescent="0.35">
      <c r="C245" s="6"/>
      <c r="D245" s="6" t="s">
        <v>306</v>
      </c>
      <c r="E245" s="6" t="s">
        <v>306</v>
      </c>
      <c r="F245" s="6" t="str">
        <f t="shared" si="7"/>
        <v>MEM</v>
      </c>
      <c r="G245" s="7"/>
      <c r="H245" s="2" t="str">
        <v>Michael Carter-Williams</v>
      </c>
      <c r="I245" s="7"/>
    </row>
    <row r="246" spans="3:9" x14ac:dyDescent="0.35">
      <c r="C246" s="6"/>
      <c r="D246" s="6" t="s">
        <v>318</v>
      </c>
      <c r="E246" s="6" t="s">
        <v>318</v>
      </c>
      <c r="F246" s="6" t="str">
        <f t="shared" si="7"/>
        <v>MEM</v>
      </c>
      <c r="G246" s="7"/>
      <c r="H246" s="2" t="str">
        <v>Glenn Robinson III</v>
      </c>
      <c r="I246" s="7"/>
    </row>
    <row r="247" spans="3:9" x14ac:dyDescent="0.35">
      <c r="C247" s="6"/>
      <c r="D247" s="6" t="s">
        <v>623</v>
      </c>
      <c r="E247" s="6" t="s">
        <v>530</v>
      </c>
      <c r="F247" s="6" t="str">
        <f t="shared" si="7"/>
        <v>MEM</v>
      </c>
      <c r="G247" s="7"/>
      <c r="H247" s="2" t="str">
        <v>Cole Anthony</v>
      </c>
      <c r="I247" s="7"/>
    </row>
    <row r="248" spans="3:9" x14ac:dyDescent="0.35">
      <c r="C248" s="6"/>
      <c r="D248" s="6" t="s">
        <v>441</v>
      </c>
      <c r="E248" s="6" t="s">
        <v>441</v>
      </c>
      <c r="F248" s="6" t="str">
        <f t="shared" si="7"/>
        <v>MEM</v>
      </c>
      <c r="G248" s="7"/>
      <c r="H248" s="2" t="str">
        <v>James Ennis</v>
      </c>
      <c r="I248" s="7"/>
    </row>
    <row r="249" spans="3:9" x14ac:dyDescent="0.35">
      <c r="C249" s="6"/>
      <c r="D249" s="8" t="s">
        <v>630</v>
      </c>
      <c r="E249" s="8" t="s">
        <v>630</v>
      </c>
      <c r="F249" s="6" t="str">
        <f t="shared" si="7"/>
        <v>MEM</v>
      </c>
      <c r="G249" s="7"/>
      <c r="H249" s="2" t="str">
        <v>Isaac Okoro</v>
      </c>
      <c r="I249" s="7"/>
    </row>
    <row r="250" spans="3:9" x14ac:dyDescent="0.35">
      <c r="C250" s="6"/>
      <c r="D250" s="6" t="s">
        <v>684</v>
      </c>
      <c r="E250" s="7" t="s">
        <v>684</v>
      </c>
      <c r="F250" s="6" t="str">
        <f t="shared" si="7"/>
        <v>MEM</v>
      </c>
      <c r="G250" s="7"/>
      <c r="H250" s="2" t="str">
        <v>D.J. Augustin</v>
      </c>
      <c r="I250" s="7"/>
    </row>
    <row r="251" spans="3:9" x14ac:dyDescent="0.35">
      <c r="C251" s="6"/>
      <c r="D251" s="6" t="s">
        <v>709</v>
      </c>
      <c r="E251" s="7" t="s">
        <v>709</v>
      </c>
      <c r="F251" s="6" t="str">
        <f t="shared" si="7"/>
        <v>MEM</v>
      </c>
      <c r="G251" s="7"/>
      <c r="H251" s="2" t="str">
        <v>Dwayne Bacon</v>
      </c>
      <c r="I251" s="7"/>
    </row>
    <row r="252" spans="3:9" x14ac:dyDescent="0.35">
      <c r="C252" s="6"/>
      <c r="D252" s="7" t="s">
        <v>758</v>
      </c>
      <c r="E252" s="7" t="s">
        <v>758</v>
      </c>
      <c r="F252" s="6" t="str">
        <f t="shared" si="7"/>
        <v>MEM</v>
      </c>
      <c r="G252" s="7"/>
      <c r="H252" s="2" t="str">
        <v>Max Strus</v>
      </c>
      <c r="I252" s="7"/>
    </row>
    <row r="253" spans="3:9" x14ac:dyDescent="0.35">
      <c r="C253" s="6"/>
      <c r="D253" s="7" t="s">
        <v>759</v>
      </c>
      <c r="E253" s="7" t="s">
        <v>759</v>
      </c>
      <c r="F253" s="6" t="str">
        <f t="shared" si="7"/>
        <v>MEM</v>
      </c>
      <c r="G253" s="7"/>
      <c r="H253" s="2" t="str">
        <v>Precious Achiuwa</v>
      </c>
      <c r="I253" s="7"/>
    </row>
    <row r="254" spans="3:9" x14ac:dyDescent="0.35">
      <c r="C254" s="6"/>
      <c r="D254" s="6" t="s">
        <v>20</v>
      </c>
      <c r="E254" s="6" t="s">
        <v>20</v>
      </c>
      <c r="F254" s="6" t="str">
        <f t="shared" si="7"/>
        <v>MIA</v>
      </c>
      <c r="G254" s="7"/>
      <c r="H254" s="2" t="str">
        <v>Dakota Mathias</v>
      </c>
      <c r="I254" s="7"/>
    </row>
    <row r="255" spans="3:9" x14ac:dyDescent="0.35">
      <c r="C255" s="6"/>
      <c r="D255" s="6" t="s">
        <v>88</v>
      </c>
      <c r="E255" s="6" t="s">
        <v>88</v>
      </c>
      <c r="F255" s="6" t="str">
        <f t="shared" si="7"/>
        <v>MIA</v>
      </c>
      <c r="G255" s="7"/>
      <c r="H255" s="2" t="str">
        <v>Dante Exum</v>
      </c>
      <c r="I255" s="7"/>
    </row>
    <row r="256" spans="3:9" x14ac:dyDescent="0.35">
      <c r="C256" s="6"/>
      <c r="D256" s="6" t="s">
        <v>105</v>
      </c>
      <c r="E256" s="6" t="s">
        <v>105</v>
      </c>
      <c r="F256" s="6" t="str">
        <f t="shared" si="7"/>
        <v>MIA</v>
      </c>
      <c r="G256" s="7"/>
      <c r="H256" s="2" t="str">
        <v>Josh Okogie</v>
      </c>
      <c r="I256" s="7"/>
    </row>
    <row r="257" spans="3:9" x14ac:dyDescent="0.35">
      <c r="C257" s="6"/>
      <c r="D257" s="6" t="s">
        <v>603</v>
      </c>
      <c r="E257" s="6" t="s">
        <v>507</v>
      </c>
      <c r="F257" s="6" t="str">
        <f t="shared" si="7"/>
        <v>MIA</v>
      </c>
      <c r="G257" s="7"/>
      <c r="H257" s="2" t="str">
        <v>Landry Shamet</v>
      </c>
      <c r="I257" s="7"/>
    </row>
    <row r="258" spans="3:9" x14ac:dyDescent="0.35">
      <c r="C258" s="6"/>
      <c r="D258" s="6" t="s">
        <v>193</v>
      </c>
      <c r="E258" s="6" t="s">
        <v>193</v>
      </c>
      <c r="F258" s="6" t="str">
        <f t="shared" si="7"/>
        <v>MIA</v>
      </c>
      <c r="G258" s="7"/>
      <c r="H258" s="2" t="str">
        <v>Mike Scott</v>
      </c>
      <c r="I258" s="7"/>
    </row>
    <row r="259" spans="3:9" x14ac:dyDescent="0.35">
      <c r="C259" s="6"/>
      <c r="D259" s="6" t="s">
        <v>202</v>
      </c>
      <c r="E259" s="6" t="s">
        <v>202</v>
      </c>
      <c r="F259" s="6" t="str">
        <f t="shared" ref="F259:F322" si="8">VLOOKUP(VLOOKUP(E259,Roster_Range,2,FALSE),Abbreviations, 2, FALSE)</f>
        <v>MIA</v>
      </c>
      <c r="G259" s="7"/>
      <c r="H259" s="2" t="str">
        <v>Chuma Okeke</v>
      </c>
      <c r="I259" s="7"/>
    </row>
    <row r="260" spans="3:9" x14ac:dyDescent="0.35">
      <c r="C260" s="6"/>
      <c r="D260" s="6" t="s">
        <v>207</v>
      </c>
      <c r="E260" s="6" t="s">
        <v>207</v>
      </c>
      <c r="F260" s="6" t="str">
        <f t="shared" si="8"/>
        <v>MIA</v>
      </c>
      <c r="G260" s="7"/>
      <c r="H260" s="2" t="str">
        <v>Troy Brown Jr.</v>
      </c>
      <c r="I260" s="7"/>
    </row>
    <row r="261" spans="3:9" x14ac:dyDescent="0.35">
      <c r="C261" s="6"/>
      <c r="D261" s="63" t="s">
        <v>451</v>
      </c>
      <c r="E261" s="6" t="s">
        <v>451</v>
      </c>
      <c r="F261" s="6" t="str">
        <f t="shared" si="8"/>
        <v>MIA</v>
      </c>
      <c r="G261" s="7"/>
      <c r="H261" s="2" t="str">
        <v>Bryn Forbes</v>
      </c>
      <c r="I261" s="7"/>
    </row>
    <row r="262" spans="3:9" x14ac:dyDescent="0.35">
      <c r="C262" s="6"/>
      <c r="D262" s="6" t="s">
        <v>277</v>
      </c>
      <c r="E262" s="6" t="s">
        <v>277</v>
      </c>
      <c r="F262" s="6" t="str">
        <f t="shared" si="8"/>
        <v>MIA</v>
      </c>
      <c r="G262" s="7"/>
      <c r="H262" s="2" t="str">
        <v>J.J. Redick</v>
      </c>
      <c r="I262" s="7"/>
    </row>
    <row r="263" spans="3:9" x14ac:dyDescent="0.35">
      <c r="C263" s="6"/>
      <c r="D263" s="6" t="s">
        <v>335</v>
      </c>
      <c r="E263" s="6" t="s">
        <v>335</v>
      </c>
      <c r="F263" s="6" t="str">
        <f t="shared" si="8"/>
        <v>MIA</v>
      </c>
      <c r="G263" s="7"/>
      <c r="H263" s="2" t="str">
        <v>Semi Ojeleye</v>
      </c>
      <c r="I263" s="7"/>
    </row>
    <row r="264" spans="3:9" x14ac:dyDescent="0.35">
      <c r="C264" s="6"/>
      <c r="D264" s="6" t="s">
        <v>342</v>
      </c>
      <c r="E264" s="6" t="s">
        <v>342</v>
      </c>
      <c r="F264" s="6" t="str">
        <f t="shared" si="8"/>
        <v>MIA</v>
      </c>
      <c r="G264" s="7"/>
      <c r="H264" s="2" t="str">
        <v>Furkan Korkmaz</v>
      </c>
      <c r="I264" s="7"/>
    </row>
    <row r="265" spans="3:9" x14ac:dyDescent="0.35">
      <c r="C265" s="6"/>
      <c r="D265" s="6" t="s">
        <v>343</v>
      </c>
      <c r="E265" s="6" t="s">
        <v>343</v>
      </c>
      <c r="F265" s="6" t="str">
        <f t="shared" si="8"/>
        <v>MIA</v>
      </c>
      <c r="G265" s="7"/>
      <c r="H265" s="2" t="str">
        <v>Théo Maledon</v>
      </c>
      <c r="I265" s="7"/>
    </row>
    <row r="266" spans="3:9" x14ac:dyDescent="0.35">
      <c r="C266" s="6"/>
      <c r="D266" s="6" t="s">
        <v>371</v>
      </c>
      <c r="E266" s="6" t="s">
        <v>371</v>
      </c>
      <c r="F266" s="6" t="str">
        <f t="shared" si="8"/>
        <v>MIA</v>
      </c>
      <c r="G266" s="7"/>
      <c r="H266" s="2" t="str">
        <v>Aron Baynes</v>
      </c>
      <c r="I266" s="7"/>
    </row>
    <row r="267" spans="3:9" x14ac:dyDescent="0.35">
      <c r="C267" s="6"/>
      <c r="D267" s="6" t="s">
        <v>389</v>
      </c>
      <c r="E267" s="6" t="s">
        <v>389</v>
      </c>
      <c r="F267" s="6" t="str">
        <f t="shared" si="8"/>
        <v>MIA</v>
      </c>
      <c r="G267" s="7"/>
      <c r="H267" s="2" t="str">
        <v>Marcus Morris</v>
      </c>
      <c r="I267" s="7"/>
    </row>
    <row r="268" spans="3:9" x14ac:dyDescent="0.35">
      <c r="C268" s="6"/>
      <c r="D268" s="6" t="s">
        <v>397</v>
      </c>
      <c r="E268" s="6" t="s">
        <v>397</v>
      </c>
      <c r="F268" s="6" t="str">
        <f t="shared" si="8"/>
        <v>MIA</v>
      </c>
      <c r="G268" s="7"/>
      <c r="H268" s="2" t="str">
        <v>Gary Clark</v>
      </c>
      <c r="I268" s="7"/>
    </row>
    <row r="269" spans="3:9" x14ac:dyDescent="0.35">
      <c r="C269" s="6"/>
      <c r="D269" s="6" t="s">
        <v>459</v>
      </c>
      <c r="E269" s="6" t="s">
        <v>459</v>
      </c>
      <c r="F269" s="6" t="str">
        <f t="shared" si="8"/>
        <v>MIA</v>
      </c>
      <c r="G269" s="7"/>
      <c r="H269" s="2" t="str">
        <v>Justin Jackson</v>
      </c>
      <c r="I269" s="7"/>
    </row>
    <row r="270" spans="3:9" x14ac:dyDescent="0.35">
      <c r="C270" s="6"/>
      <c r="D270" s="6" t="s">
        <v>680</v>
      </c>
      <c r="E270" s="7" t="s">
        <v>680</v>
      </c>
      <c r="F270" s="6" t="str">
        <f t="shared" si="8"/>
        <v>MIA</v>
      </c>
      <c r="G270" s="7"/>
      <c r="H270" s="2" t="str">
        <v>Killian Hayes</v>
      </c>
      <c r="I270" s="7"/>
    </row>
    <row r="271" spans="3:9" x14ac:dyDescent="0.35">
      <c r="C271" s="6"/>
      <c r="D271" s="6" t="s">
        <v>37</v>
      </c>
      <c r="E271" s="6" t="s">
        <v>37</v>
      </c>
      <c r="F271" s="6" t="str">
        <f t="shared" si="8"/>
        <v>MIL</v>
      </c>
      <c r="G271" s="7"/>
      <c r="I271" s="7"/>
    </row>
    <row r="272" spans="3:9" x14ac:dyDescent="0.35">
      <c r="C272" s="6"/>
      <c r="D272" s="6" t="s">
        <v>41</v>
      </c>
      <c r="E272" s="6" t="s">
        <v>41</v>
      </c>
      <c r="F272" s="6" t="str">
        <f t="shared" si="8"/>
        <v>MIL</v>
      </c>
      <c r="G272" s="7"/>
      <c r="I272" s="7"/>
    </row>
    <row r="273" spans="3:9" x14ac:dyDescent="0.35">
      <c r="C273" s="6"/>
      <c r="D273" s="6" t="s">
        <v>50</v>
      </c>
      <c r="E273" s="6" t="s">
        <v>50</v>
      </c>
      <c r="F273" s="6" t="str">
        <f t="shared" si="8"/>
        <v>MIL</v>
      </c>
      <c r="G273" s="7"/>
      <c r="I273" s="7"/>
    </row>
    <row r="274" spans="3:9" x14ac:dyDescent="0.35">
      <c r="C274" s="6"/>
      <c r="D274" s="6" t="s">
        <v>125</v>
      </c>
      <c r="E274" s="6" t="s">
        <v>125</v>
      </c>
      <c r="F274" s="6" t="str">
        <f t="shared" si="8"/>
        <v>MIL</v>
      </c>
      <c r="G274" s="7"/>
      <c r="I274" s="7"/>
    </row>
    <row r="275" spans="3:9" x14ac:dyDescent="0.35">
      <c r="C275" s="6"/>
      <c r="D275" s="6" t="s">
        <v>128</v>
      </c>
      <c r="E275" s="6" t="s">
        <v>128</v>
      </c>
      <c r="F275" s="6" t="str">
        <f t="shared" si="8"/>
        <v>MIL</v>
      </c>
      <c r="G275" s="7"/>
      <c r="I275" s="7"/>
    </row>
    <row r="276" spans="3:9" x14ac:dyDescent="0.35">
      <c r="C276" s="6"/>
      <c r="D276" s="6" t="s">
        <v>140</v>
      </c>
      <c r="E276" s="6" t="s">
        <v>140</v>
      </c>
      <c r="F276" s="6" t="str">
        <f t="shared" si="8"/>
        <v>MIL</v>
      </c>
      <c r="G276" s="7"/>
      <c r="I276" s="7"/>
    </row>
    <row r="277" spans="3:9" x14ac:dyDescent="0.35">
      <c r="C277" s="6"/>
      <c r="D277" s="6" t="s">
        <v>158</v>
      </c>
      <c r="E277" s="6" t="s">
        <v>158</v>
      </c>
      <c r="F277" s="6" t="str">
        <f t="shared" si="8"/>
        <v>MIL</v>
      </c>
      <c r="G277" s="7"/>
      <c r="I277" s="7"/>
    </row>
    <row r="278" spans="3:9" x14ac:dyDescent="0.35">
      <c r="C278" s="6"/>
      <c r="D278" s="6" t="s">
        <v>215</v>
      </c>
      <c r="E278" s="6" t="s">
        <v>215</v>
      </c>
      <c r="F278" s="6" t="str">
        <f t="shared" si="8"/>
        <v>MIL</v>
      </c>
      <c r="G278" s="7"/>
      <c r="I278" s="7"/>
    </row>
    <row r="279" spans="3:9" x14ac:dyDescent="0.35">
      <c r="C279" s="6"/>
      <c r="D279" s="6" t="s">
        <v>282</v>
      </c>
      <c r="E279" s="6" t="s">
        <v>282</v>
      </c>
      <c r="F279" s="6" t="str">
        <f t="shared" si="8"/>
        <v>MIL</v>
      </c>
      <c r="G279" s="7"/>
      <c r="I279" s="7"/>
    </row>
    <row r="280" spans="3:9" x14ac:dyDescent="0.35">
      <c r="C280" s="6"/>
      <c r="D280" s="6" t="s">
        <v>308</v>
      </c>
      <c r="E280" s="6" t="s">
        <v>308</v>
      </c>
      <c r="F280" s="6" t="str">
        <f t="shared" si="8"/>
        <v>MIL</v>
      </c>
      <c r="G280" s="7"/>
      <c r="I280" s="7"/>
    </row>
    <row r="281" spans="3:9" x14ac:dyDescent="0.35">
      <c r="C281" s="6"/>
      <c r="D281" s="6" t="s">
        <v>361</v>
      </c>
      <c r="E281" s="6" t="s">
        <v>361</v>
      </c>
      <c r="F281" s="6" t="str">
        <f t="shared" si="8"/>
        <v>MIL</v>
      </c>
      <c r="G281" s="7"/>
      <c r="I281" s="7"/>
    </row>
    <row r="282" spans="3:9" x14ac:dyDescent="0.35">
      <c r="C282" s="6"/>
      <c r="D282" s="6" t="s">
        <v>440</v>
      </c>
      <c r="E282" s="6" t="s">
        <v>440</v>
      </c>
      <c r="F282" s="6" t="str">
        <f t="shared" si="8"/>
        <v>MIL</v>
      </c>
      <c r="G282" s="7"/>
      <c r="I282" s="7"/>
    </row>
    <row r="283" spans="3:9" x14ac:dyDescent="0.35">
      <c r="C283" s="6"/>
      <c r="D283" s="7" t="s">
        <v>732</v>
      </c>
      <c r="E283" s="7" t="s">
        <v>732</v>
      </c>
      <c r="F283" s="6" t="str">
        <f t="shared" si="8"/>
        <v>MIL</v>
      </c>
      <c r="G283" s="7"/>
      <c r="I283" s="7"/>
    </row>
    <row r="284" spans="3:9" x14ac:dyDescent="0.35">
      <c r="C284" s="6"/>
      <c r="D284" s="7" t="s">
        <v>736</v>
      </c>
      <c r="E284" s="7" t="s">
        <v>736</v>
      </c>
      <c r="F284" s="6" t="str">
        <f t="shared" si="8"/>
        <v>MIL</v>
      </c>
      <c r="G284" s="7"/>
      <c r="I284" s="7"/>
    </row>
    <row r="285" spans="3:9" x14ac:dyDescent="0.35">
      <c r="C285" s="6"/>
      <c r="D285" s="6" t="s">
        <v>710</v>
      </c>
      <c r="E285" s="7" t="s">
        <v>710</v>
      </c>
      <c r="F285" s="6" t="str">
        <f t="shared" si="8"/>
        <v>MIL</v>
      </c>
      <c r="G285" s="7"/>
      <c r="I285" s="7"/>
    </row>
    <row r="286" spans="3:9" x14ac:dyDescent="0.35">
      <c r="C286" s="6"/>
      <c r="D286" s="6" t="s">
        <v>713</v>
      </c>
      <c r="E286" s="7" t="s">
        <v>713</v>
      </c>
      <c r="F286" s="6" t="str">
        <f t="shared" si="8"/>
        <v>MIL</v>
      </c>
      <c r="G286" s="7"/>
      <c r="I286" s="7"/>
    </row>
    <row r="287" spans="3:9" x14ac:dyDescent="0.35">
      <c r="C287" s="6"/>
      <c r="D287" s="6" t="s">
        <v>68</v>
      </c>
      <c r="E287" s="6" t="s">
        <v>68</v>
      </c>
      <c r="F287" s="6" t="str">
        <f t="shared" si="8"/>
        <v>MIN</v>
      </c>
      <c r="G287" s="7"/>
      <c r="I287" s="7"/>
    </row>
    <row r="288" spans="3:9" x14ac:dyDescent="0.35">
      <c r="C288" s="6"/>
      <c r="D288" s="6" t="s">
        <v>130</v>
      </c>
      <c r="E288" s="6" t="s">
        <v>130</v>
      </c>
      <c r="F288" s="6" t="str">
        <f t="shared" si="8"/>
        <v>MIN</v>
      </c>
      <c r="G288" s="7"/>
      <c r="I288" s="7"/>
    </row>
    <row r="289" spans="3:9" x14ac:dyDescent="0.35">
      <c r="C289" s="6"/>
      <c r="D289" s="6" t="s">
        <v>134</v>
      </c>
      <c r="E289" s="6" t="s">
        <v>134</v>
      </c>
      <c r="F289" s="6" t="str">
        <f t="shared" si="8"/>
        <v>MIN</v>
      </c>
      <c r="G289" s="7"/>
      <c r="I289" s="7"/>
    </row>
    <row r="290" spans="3:9" x14ac:dyDescent="0.35">
      <c r="C290" s="6"/>
      <c r="D290" s="6" t="s">
        <v>605</v>
      </c>
      <c r="E290" s="6" t="s">
        <v>510</v>
      </c>
      <c r="F290" s="6" t="str">
        <f t="shared" si="8"/>
        <v>MIN</v>
      </c>
      <c r="G290" s="7"/>
      <c r="I290" s="7"/>
    </row>
    <row r="291" spans="3:9" x14ac:dyDescent="0.35">
      <c r="C291" s="6"/>
      <c r="D291" s="6" t="s">
        <v>270</v>
      </c>
      <c r="E291" s="6" t="s">
        <v>270</v>
      </c>
      <c r="F291" s="6" t="str">
        <f t="shared" si="8"/>
        <v>MIN</v>
      </c>
      <c r="G291" s="7"/>
      <c r="I291" s="7"/>
    </row>
    <row r="292" spans="3:9" x14ac:dyDescent="0.35">
      <c r="C292" s="6"/>
      <c r="D292" s="6" t="s">
        <v>304</v>
      </c>
      <c r="E292" s="6" t="s">
        <v>304</v>
      </c>
      <c r="F292" s="6" t="str">
        <f t="shared" si="8"/>
        <v>MIN</v>
      </c>
      <c r="G292" s="7"/>
      <c r="I292" s="7"/>
    </row>
    <row r="293" spans="3:9" x14ac:dyDescent="0.35">
      <c r="C293" s="6"/>
      <c r="D293" s="6" t="s">
        <v>333</v>
      </c>
      <c r="E293" s="6" t="s">
        <v>333</v>
      </c>
      <c r="F293" s="6" t="str">
        <f t="shared" si="8"/>
        <v>MIN</v>
      </c>
      <c r="G293" s="7"/>
      <c r="I293" s="7"/>
    </row>
    <row r="294" spans="3:9" x14ac:dyDescent="0.35">
      <c r="C294" s="6"/>
      <c r="D294" s="6" t="s">
        <v>341</v>
      </c>
      <c r="E294" s="6" t="s">
        <v>341</v>
      </c>
      <c r="F294" s="6" t="str">
        <f t="shared" si="8"/>
        <v>MIN</v>
      </c>
      <c r="G294" s="7"/>
      <c r="I294" s="7"/>
    </row>
    <row r="295" spans="3:9" x14ac:dyDescent="0.35">
      <c r="C295" s="6"/>
      <c r="D295" s="6" t="s">
        <v>368</v>
      </c>
      <c r="E295" s="6" t="s">
        <v>368</v>
      </c>
      <c r="F295" s="6" t="str">
        <f t="shared" si="8"/>
        <v>MIN</v>
      </c>
      <c r="G295" s="7"/>
      <c r="I295" s="7"/>
    </row>
    <row r="296" spans="3:9" x14ac:dyDescent="0.35">
      <c r="C296" s="6"/>
      <c r="D296" s="6" t="s">
        <v>379</v>
      </c>
      <c r="E296" s="6" t="s">
        <v>379</v>
      </c>
      <c r="F296" s="6" t="str">
        <f t="shared" si="8"/>
        <v>MIN</v>
      </c>
      <c r="G296" s="7"/>
      <c r="I296" s="7"/>
    </row>
    <row r="297" spans="3:9" x14ac:dyDescent="0.35">
      <c r="C297" s="6"/>
      <c r="D297" s="6" t="s">
        <v>380</v>
      </c>
      <c r="E297" s="6" t="s">
        <v>380</v>
      </c>
      <c r="F297" s="6" t="str">
        <f t="shared" si="8"/>
        <v>MIN</v>
      </c>
      <c r="G297" s="7"/>
      <c r="I297" s="7"/>
    </row>
    <row r="298" spans="3:9" x14ac:dyDescent="0.35">
      <c r="C298" s="6"/>
      <c r="D298" s="6" t="s">
        <v>408</v>
      </c>
      <c r="E298" s="6" t="s">
        <v>408</v>
      </c>
      <c r="F298" s="6" t="str">
        <f t="shared" si="8"/>
        <v>MIN</v>
      </c>
      <c r="G298" s="7"/>
      <c r="I298" s="7"/>
    </row>
    <row r="299" spans="3:9" x14ac:dyDescent="0.35">
      <c r="C299" s="6"/>
      <c r="D299" s="6" t="s">
        <v>416</v>
      </c>
      <c r="E299" s="6" t="s">
        <v>416</v>
      </c>
      <c r="F299" s="6" t="str">
        <f t="shared" si="8"/>
        <v>MIN</v>
      </c>
      <c r="G299" s="7"/>
      <c r="I299" s="7"/>
    </row>
    <row r="300" spans="3:9" x14ac:dyDescent="0.35">
      <c r="C300" s="6"/>
      <c r="D300" s="30" t="s">
        <v>669</v>
      </c>
      <c r="E300" s="30" t="s">
        <v>669</v>
      </c>
      <c r="F300" s="6" t="str">
        <f t="shared" si="8"/>
        <v>MIN</v>
      </c>
      <c r="G300" s="7"/>
      <c r="I300" s="7"/>
    </row>
    <row r="301" spans="3:9" x14ac:dyDescent="0.35">
      <c r="C301" s="6"/>
      <c r="D301" s="7" t="s">
        <v>739</v>
      </c>
      <c r="E301" s="7" t="s">
        <v>739</v>
      </c>
      <c r="F301" s="6" t="str">
        <f t="shared" si="8"/>
        <v>MIN</v>
      </c>
      <c r="G301" s="7"/>
      <c r="I301" s="7"/>
    </row>
    <row r="302" spans="3:9" x14ac:dyDescent="0.35">
      <c r="C302" s="6"/>
      <c r="D302" s="6" t="s">
        <v>708</v>
      </c>
      <c r="E302" s="7" t="s">
        <v>708</v>
      </c>
      <c r="F302" s="6" t="str">
        <f t="shared" si="8"/>
        <v>MIN</v>
      </c>
      <c r="G302" s="7"/>
      <c r="I302" s="7"/>
    </row>
    <row r="303" spans="3:9" x14ac:dyDescent="0.35">
      <c r="C303" s="6"/>
      <c r="D303" s="6" t="s">
        <v>17</v>
      </c>
      <c r="E303" s="6" t="s">
        <v>17</v>
      </c>
      <c r="F303" s="6" t="str">
        <f t="shared" si="8"/>
        <v>NOP</v>
      </c>
      <c r="G303" s="7"/>
      <c r="I303" s="7"/>
    </row>
    <row r="304" spans="3:9" x14ac:dyDescent="0.35">
      <c r="C304" s="6"/>
      <c r="D304" s="6" t="s">
        <v>24</v>
      </c>
      <c r="E304" s="6" t="s">
        <v>24</v>
      </c>
      <c r="F304" s="6" t="str">
        <f t="shared" si="8"/>
        <v>NOP</v>
      </c>
      <c r="G304" s="7"/>
      <c r="I304" s="7"/>
    </row>
    <row r="305" spans="3:9" x14ac:dyDescent="0.35">
      <c r="C305" s="6"/>
      <c r="D305" s="6" t="s">
        <v>55</v>
      </c>
      <c r="E305" s="6" t="s">
        <v>55</v>
      </c>
      <c r="F305" s="6" t="str">
        <f t="shared" si="8"/>
        <v>NOP</v>
      </c>
      <c r="G305" s="7"/>
      <c r="I305" s="7"/>
    </row>
    <row r="306" spans="3:9" x14ac:dyDescent="0.35">
      <c r="C306" s="6"/>
      <c r="D306" s="6" t="s">
        <v>78</v>
      </c>
      <c r="E306" s="6" t="s">
        <v>78</v>
      </c>
      <c r="F306" s="6" t="str">
        <f t="shared" si="8"/>
        <v>NOP</v>
      </c>
      <c r="G306" s="7"/>
      <c r="I306" s="7"/>
    </row>
    <row r="307" spans="3:9" x14ac:dyDescent="0.35">
      <c r="C307" s="6"/>
      <c r="D307" s="6" t="s">
        <v>164</v>
      </c>
      <c r="E307" s="6" t="s">
        <v>164</v>
      </c>
      <c r="F307" s="6" t="str">
        <f t="shared" si="8"/>
        <v>NOP</v>
      </c>
      <c r="G307" s="7"/>
      <c r="I307" s="7"/>
    </row>
    <row r="308" spans="3:9" x14ac:dyDescent="0.35">
      <c r="C308" s="6"/>
      <c r="D308" s="6" t="s">
        <v>200</v>
      </c>
      <c r="E308" s="6" t="s">
        <v>200</v>
      </c>
      <c r="F308" s="6" t="str">
        <f t="shared" si="8"/>
        <v>NOP</v>
      </c>
      <c r="G308" s="7"/>
      <c r="I308" s="7"/>
    </row>
    <row r="309" spans="3:9" x14ac:dyDescent="0.35">
      <c r="C309" s="6"/>
      <c r="D309" s="6" t="s">
        <v>203</v>
      </c>
      <c r="E309" s="6" t="s">
        <v>203</v>
      </c>
      <c r="F309" s="6" t="str">
        <f t="shared" si="8"/>
        <v>NOP</v>
      </c>
      <c r="G309" s="7"/>
      <c r="I309" s="7"/>
    </row>
    <row r="310" spans="3:9" x14ac:dyDescent="0.35">
      <c r="C310" s="6"/>
      <c r="D310" s="6" t="s">
        <v>606</v>
      </c>
      <c r="E310" s="6" t="s">
        <v>511</v>
      </c>
      <c r="F310" s="6" t="str">
        <f t="shared" si="8"/>
        <v>NOP</v>
      </c>
      <c r="G310" s="7"/>
      <c r="I310" s="7"/>
    </row>
    <row r="311" spans="3:9" x14ac:dyDescent="0.35">
      <c r="C311" s="6"/>
      <c r="D311" s="6" t="s">
        <v>229</v>
      </c>
      <c r="E311" s="6" t="s">
        <v>229</v>
      </c>
      <c r="F311" s="6" t="str">
        <f t="shared" si="8"/>
        <v>NOP</v>
      </c>
      <c r="G311" s="7"/>
      <c r="I311" s="7"/>
    </row>
    <row r="312" spans="3:9" x14ac:dyDescent="0.35">
      <c r="C312" s="6"/>
      <c r="D312" s="6" t="s">
        <v>613</v>
      </c>
      <c r="E312" s="6" t="s">
        <v>516</v>
      </c>
      <c r="F312" s="6" t="str">
        <f t="shared" si="8"/>
        <v>NOP</v>
      </c>
      <c r="G312" s="7"/>
      <c r="I312" s="7"/>
    </row>
    <row r="313" spans="3:9" x14ac:dyDescent="0.35">
      <c r="C313" s="6"/>
      <c r="D313" s="6" t="s">
        <v>367</v>
      </c>
      <c r="E313" s="6" t="s">
        <v>367</v>
      </c>
      <c r="F313" s="6" t="str">
        <f t="shared" si="8"/>
        <v>NOP</v>
      </c>
      <c r="G313" s="7"/>
      <c r="I313" s="7"/>
    </row>
    <row r="314" spans="3:9" x14ac:dyDescent="0.35">
      <c r="C314" s="6"/>
      <c r="D314" s="6" t="s">
        <v>439</v>
      </c>
      <c r="E314" s="6" t="s">
        <v>439</v>
      </c>
      <c r="F314" s="6" t="str">
        <f t="shared" si="8"/>
        <v>NOP</v>
      </c>
      <c r="G314" s="7"/>
      <c r="I314" s="7"/>
    </row>
    <row r="315" spans="3:9" x14ac:dyDescent="0.35">
      <c r="C315" s="6"/>
      <c r="D315" s="7" t="s">
        <v>702</v>
      </c>
      <c r="E315" s="7" t="s">
        <v>744</v>
      </c>
      <c r="F315" s="6" t="str">
        <f t="shared" si="8"/>
        <v>NOP</v>
      </c>
      <c r="G315" s="7"/>
      <c r="I315" s="7"/>
    </row>
    <row r="316" spans="3:9" x14ac:dyDescent="0.35">
      <c r="C316" s="6"/>
      <c r="D316" s="65" t="s">
        <v>745</v>
      </c>
      <c r="E316" s="7" t="s">
        <v>745</v>
      </c>
      <c r="F316" s="6" t="str">
        <f t="shared" si="8"/>
        <v>NOP</v>
      </c>
      <c r="G316" s="7"/>
      <c r="I316" s="7"/>
    </row>
    <row r="317" spans="3:9" x14ac:dyDescent="0.35">
      <c r="C317" s="6"/>
      <c r="D317" s="7" t="s">
        <v>749</v>
      </c>
      <c r="E317" s="7" t="s">
        <v>749</v>
      </c>
      <c r="F317" s="6" t="str">
        <f t="shared" si="8"/>
        <v>NOP</v>
      </c>
      <c r="G317" s="7"/>
      <c r="I317" s="7"/>
    </row>
    <row r="318" spans="3:9" x14ac:dyDescent="0.35">
      <c r="C318" s="6"/>
      <c r="D318" s="7" t="s">
        <v>648</v>
      </c>
      <c r="E318" s="7" t="s">
        <v>648</v>
      </c>
      <c r="F318" s="6" t="str">
        <f t="shared" si="8"/>
        <v>NOP</v>
      </c>
      <c r="G318" s="7"/>
      <c r="I318" s="7"/>
    </row>
    <row r="319" spans="3:9" x14ac:dyDescent="0.35">
      <c r="C319" s="6"/>
      <c r="D319" s="6" t="s">
        <v>596</v>
      </c>
      <c r="E319" s="6" t="s">
        <v>485</v>
      </c>
      <c r="F319" s="6" t="str">
        <f t="shared" si="8"/>
        <v>NYK</v>
      </c>
      <c r="G319" s="7"/>
      <c r="I319" s="7"/>
    </row>
    <row r="320" spans="3:9" x14ac:dyDescent="0.35">
      <c r="C320" s="6"/>
      <c r="D320" s="6" t="s">
        <v>91</v>
      </c>
      <c r="E320" s="6" t="s">
        <v>91</v>
      </c>
      <c r="F320" s="6" t="str">
        <f t="shared" si="8"/>
        <v>NYK</v>
      </c>
      <c r="G320" s="7"/>
      <c r="I320" s="7"/>
    </row>
    <row r="321" spans="3:9" x14ac:dyDescent="0.35">
      <c r="C321" s="6"/>
      <c r="D321" s="6" t="s">
        <v>103</v>
      </c>
      <c r="E321" s="6" t="s">
        <v>103</v>
      </c>
      <c r="F321" s="6" t="str">
        <f t="shared" si="8"/>
        <v>NYK</v>
      </c>
      <c r="G321" s="7"/>
      <c r="I321" s="7"/>
    </row>
    <row r="322" spans="3:9" x14ac:dyDescent="0.35">
      <c r="C322" s="6"/>
      <c r="D322" s="6" t="s">
        <v>104</v>
      </c>
      <c r="E322" s="6" t="s">
        <v>104</v>
      </c>
      <c r="F322" s="6" t="str">
        <f t="shared" si="8"/>
        <v>NYK</v>
      </c>
      <c r="G322" s="7"/>
      <c r="I322" s="7"/>
    </row>
    <row r="323" spans="3:9" x14ac:dyDescent="0.35">
      <c r="C323" s="6"/>
      <c r="D323" s="6" t="s">
        <v>194</v>
      </c>
      <c r="E323" s="6" t="s">
        <v>194</v>
      </c>
      <c r="F323" s="6" t="str">
        <f t="shared" ref="F323:F386" si="9">VLOOKUP(VLOOKUP(E323,Roster_Range,2,FALSE),Abbreviations, 2, FALSE)</f>
        <v>NYK</v>
      </c>
      <c r="G323" s="7"/>
      <c r="I323" s="7"/>
    </row>
    <row r="324" spans="3:9" x14ac:dyDescent="0.35">
      <c r="C324" s="6"/>
      <c r="D324" s="6" t="s">
        <v>260</v>
      </c>
      <c r="E324" s="6" t="s">
        <v>260</v>
      </c>
      <c r="F324" s="6" t="str">
        <f t="shared" si="9"/>
        <v>NYK</v>
      </c>
      <c r="G324" s="7"/>
      <c r="I324" s="7"/>
    </row>
    <row r="325" spans="3:9" x14ac:dyDescent="0.35">
      <c r="C325" s="6"/>
      <c r="D325" s="6" t="s">
        <v>332</v>
      </c>
      <c r="E325" s="6" t="s">
        <v>332</v>
      </c>
      <c r="F325" s="6" t="str">
        <f t="shared" si="9"/>
        <v>NYK</v>
      </c>
      <c r="G325" s="7"/>
      <c r="I325" s="7"/>
    </row>
    <row r="326" spans="3:9" x14ac:dyDescent="0.35">
      <c r="C326" s="6"/>
      <c r="D326" s="6" t="s">
        <v>334</v>
      </c>
      <c r="E326" s="6" t="s">
        <v>334</v>
      </c>
      <c r="F326" s="6" t="str">
        <f t="shared" si="9"/>
        <v>NYK</v>
      </c>
      <c r="G326" s="7"/>
      <c r="I326" s="7"/>
    </row>
    <row r="327" spans="3:9" x14ac:dyDescent="0.35">
      <c r="C327" s="6"/>
      <c r="D327" s="6" t="s">
        <v>351</v>
      </c>
      <c r="E327" s="6" t="s">
        <v>351</v>
      </c>
      <c r="F327" s="6" t="str">
        <f t="shared" si="9"/>
        <v>NYK</v>
      </c>
      <c r="G327" s="7"/>
      <c r="I327" s="7"/>
    </row>
    <row r="328" spans="3:9" x14ac:dyDescent="0.35">
      <c r="C328" s="6"/>
      <c r="D328" s="6" t="s">
        <v>354</v>
      </c>
      <c r="E328" s="6" t="s">
        <v>354</v>
      </c>
      <c r="F328" s="6" t="str">
        <f t="shared" si="9"/>
        <v>NYK</v>
      </c>
      <c r="G328" s="7"/>
      <c r="I328" s="7"/>
    </row>
    <row r="329" spans="3:9" x14ac:dyDescent="0.35">
      <c r="C329" s="6"/>
      <c r="D329" s="6" t="s">
        <v>364</v>
      </c>
      <c r="E329" s="6" t="s">
        <v>364</v>
      </c>
      <c r="F329" s="6" t="str">
        <f t="shared" si="9"/>
        <v>NYK</v>
      </c>
      <c r="G329" s="7"/>
      <c r="I329" s="7"/>
    </row>
    <row r="330" spans="3:9" x14ac:dyDescent="0.35">
      <c r="C330" s="6"/>
      <c r="D330" s="6" t="s">
        <v>370</v>
      </c>
      <c r="E330" s="6" t="s">
        <v>370</v>
      </c>
      <c r="F330" s="6" t="str">
        <f t="shared" si="9"/>
        <v>NYK</v>
      </c>
      <c r="G330" s="7"/>
      <c r="I330" s="7"/>
    </row>
    <row r="331" spans="3:9" x14ac:dyDescent="0.35">
      <c r="C331" s="6"/>
      <c r="D331" s="6" t="s">
        <v>374</v>
      </c>
      <c r="E331" s="6" t="s">
        <v>374</v>
      </c>
      <c r="F331" s="6" t="str">
        <f t="shared" si="9"/>
        <v>NYK</v>
      </c>
      <c r="G331" s="7"/>
      <c r="I331" s="7"/>
    </row>
    <row r="332" spans="3:9" x14ac:dyDescent="0.35">
      <c r="C332" s="6"/>
      <c r="D332" s="62" t="s">
        <v>645</v>
      </c>
      <c r="E332" s="6" t="s">
        <v>393</v>
      </c>
      <c r="F332" s="6" t="str">
        <f t="shared" si="9"/>
        <v>NYK</v>
      </c>
      <c r="G332" s="7"/>
    </row>
    <row r="333" spans="3:9" x14ac:dyDescent="0.35">
      <c r="C333" s="6"/>
      <c r="D333" s="6" t="s">
        <v>396</v>
      </c>
      <c r="E333" s="6" t="s">
        <v>396</v>
      </c>
      <c r="F333" s="6" t="str">
        <f t="shared" si="9"/>
        <v>NYK</v>
      </c>
      <c r="G333" s="7"/>
    </row>
    <row r="334" spans="3:9" x14ac:dyDescent="0.35">
      <c r="C334" s="6"/>
      <c r="D334" s="30" t="s">
        <v>670</v>
      </c>
      <c r="E334" s="30" t="s">
        <v>670</v>
      </c>
      <c r="F334" s="6" t="str">
        <f t="shared" si="9"/>
        <v>NYK</v>
      </c>
      <c r="G334" s="7"/>
    </row>
    <row r="335" spans="3:9" x14ac:dyDescent="0.35">
      <c r="C335" s="6"/>
      <c r="D335" s="6" t="s">
        <v>719</v>
      </c>
      <c r="E335" s="7" t="s">
        <v>719</v>
      </c>
      <c r="F335" s="6" t="str">
        <f t="shared" si="9"/>
        <v>NYK</v>
      </c>
      <c r="G335" s="7"/>
    </row>
    <row r="336" spans="3:9" x14ac:dyDescent="0.35">
      <c r="C336" s="6"/>
      <c r="D336" s="6" t="s">
        <v>48</v>
      </c>
      <c r="E336" s="6" t="s">
        <v>48</v>
      </c>
      <c r="F336" s="6" t="str">
        <f t="shared" si="9"/>
        <v>OKC</v>
      </c>
      <c r="G336" s="7"/>
    </row>
    <row r="337" spans="3:7" x14ac:dyDescent="0.35">
      <c r="C337" s="6"/>
      <c r="D337" s="6" t="s">
        <v>65</v>
      </c>
      <c r="E337" s="6" t="s">
        <v>65</v>
      </c>
      <c r="F337" s="6" t="str">
        <f t="shared" si="9"/>
        <v>OKC</v>
      </c>
      <c r="G337" s="7"/>
    </row>
    <row r="338" spans="3:7" x14ac:dyDescent="0.35">
      <c r="C338" s="6"/>
      <c r="D338" s="6" t="s">
        <v>99</v>
      </c>
      <c r="E338" s="6" t="s">
        <v>99</v>
      </c>
      <c r="F338" s="6" t="str">
        <f t="shared" si="9"/>
        <v>OKC</v>
      </c>
      <c r="G338" s="7"/>
    </row>
    <row r="339" spans="3:7" x14ac:dyDescent="0.35">
      <c r="C339" s="6"/>
      <c r="D339" s="6" t="s">
        <v>137</v>
      </c>
      <c r="E339" s="6" t="s">
        <v>137</v>
      </c>
      <c r="F339" s="6" t="str">
        <f t="shared" si="9"/>
        <v>OKC</v>
      </c>
      <c r="G339" s="7"/>
    </row>
    <row r="340" spans="3:7" x14ac:dyDescent="0.35">
      <c r="C340" s="6"/>
      <c r="D340" s="6" t="s">
        <v>141</v>
      </c>
      <c r="E340" s="6" t="s">
        <v>141</v>
      </c>
      <c r="F340" s="6" t="str">
        <f t="shared" si="9"/>
        <v>OKC</v>
      </c>
      <c r="G340" s="7"/>
    </row>
    <row r="341" spans="3:7" x14ac:dyDescent="0.35">
      <c r="C341" s="6"/>
      <c r="D341" s="6" t="s">
        <v>174</v>
      </c>
      <c r="E341" s="6" t="s">
        <v>174</v>
      </c>
      <c r="F341" s="6" t="str">
        <f t="shared" si="9"/>
        <v>OKC</v>
      </c>
      <c r="G341" s="7"/>
    </row>
    <row r="342" spans="3:7" x14ac:dyDescent="0.35">
      <c r="C342" s="6"/>
      <c r="D342" s="6" t="s">
        <v>211</v>
      </c>
      <c r="E342" s="6" t="s">
        <v>211</v>
      </c>
      <c r="F342" s="6" t="str">
        <f t="shared" si="9"/>
        <v>OKC</v>
      </c>
      <c r="G342" s="7"/>
    </row>
    <row r="343" spans="3:7" x14ac:dyDescent="0.35">
      <c r="C343" s="6"/>
      <c r="D343" s="6" t="s">
        <v>220</v>
      </c>
      <c r="E343" s="6" t="s">
        <v>220</v>
      </c>
      <c r="F343" s="6" t="str">
        <f t="shared" si="9"/>
        <v>OKC</v>
      </c>
      <c r="G343" s="7"/>
    </row>
    <row r="344" spans="3:7" x14ac:dyDescent="0.35">
      <c r="C344" s="6"/>
      <c r="D344" s="6" t="s">
        <v>235</v>
      </c>
      <c r="E344" s="6" t="s">
        <v>235</v>
      </c>
      <c r="F344" s="6" t="str">
        <f t="shared" si="9"/>
        <v>OKC</v>
      </c>
      <c r="G344" s="7"/>
    </row>
    <row r="345" spans="3:7" x14ac:dyDescent="0.35">
      <c r="C345" s="6"/>
      <c r="D345" s="6" t="s">
        <v>240</v>
      </c>
      <c r="E345" s="6" t="s">
        <v>240</v>
      </c>
      <c r="F345" s="6" t="str">
        <f t="shared" si="9"/>
        <v>OKC</v>
      </c>
      <c r="G345" s="7"/>
    </row>
    <row r="346" spans="3:7" x14ac:dyDescent="0.35">
      <c r="C346" s="6"/>
      <c r="D346" s="6" t="s">
        <v>517</v>
      </c>
      <c r="E346" s="6" t="s">
        <v>517</v>
      </c>
      <c r="F346" s="6" t="str">
        <f t="shared" si="9"/>
        <v>OKC</v>
      </c>
      <c r="G346" s="7"/>
    </row>
    <row r="347" spans="3:7" x14ac:dyDescent="0.35">
      <c r="C347" s="6"/>
      <c r="D347" s="6" t="s">
        <v>327</v>
      </c>
      <c r="E347" s="6" t="s">
        <v>327</v>
      </c>
      <c r="F347" s="6" t="str">
        <f t="shared" si="9"/>
        <v>OKC</v>
      </c>
      <c r="G347" s="7"/>
    </row>
    <row r="348" spans="3:7" x14ac:dyDescent="0.35">
      <c r="C348" s="6"/>
      <c r="D348" s="6" t="s">
        <v>456</v>
      </c>
      <c r="E348" s="6" t="s">
        <v>456</v>
      </c>
      <c r="F348" s="6" t="str">
        <f t="shared" si="9"/>
        <v>OKC</v>
      </c>
      <c r="G348" s="7"/>
    </row>
    <row r="349" spans="3:7" x14ac:dyDescent="0.35">
      <c r="C349" s="6"/>
      <c r="D349" s="6" t="s">
        <v>434</v>
      </c>
      <c r="E349" s="6" t="s">
        <v>434</v>
      </c>
      <c r="F349" s="6" t="str">
        <f t="shared" si="9"/>
        <v>OKC</v>
      </c>
      <c r="G349" s="7"/>
    </row>
    <row r="350" spans="3:7" x14ac:dyDescent="0.35">
      <c r="C350" s="6"/>
      <c r="D350" s="6" t="s">
        <v>695</v>
      </c>
      <c r="E350" s="7" t="s">
        <v>695</v>
      </c>
      <c r="F350" s="6" t="str">
        <f t="shared" si="9"/>
        <v>OKC</v>
      </c>
      <c r="G350" s="7"/>
    </row>
    <row r="351" spans="3:7" x14ac:dyDescent="0.35">
      <c r="C351" s="6"/>
      <c r="D351" s="7" t="s">
        <v>703</v>
      </c>
      <c r="E351" s="7" t="s">
        <v>746</v>
      </c>
      <c r="F351" s="6" t="str">
        <f t="shared" si="9"/>
        <v>OKC</v>
      </c>
      <c r="G351" s="7"/>
    </row>
    <row r="352" spans="3:7" x14ac:dyDescent="0.35">
      <c r="C352" s="6"/>
      <c r="D352" s="6" t="s">
        <v>717</v>
      </c>
      <c r="E352" s="7" t="s">
        <v>717</v>
      </c>
      <c r="F352" s="6" t="str">
        <f t="shared" si="9"/>
        <v>OKC</v>
      </c>
      <c r="G352" s="7"/>
    </row>
    <row r="353" spans="3:7" x14ac:dyDescent="0.35">
      <c r="C353" s="6"/>
      <c r="D353" s="6" t="s">
        <v>32</v>
      </c>
      <c r="E353" s="6" t="s">
        <v>32</v>
      </c>
      <c r="F353" s="6" t="str">
        <f t="shared" si="9"/>
        <v>ORL</v>
      </c>
      <c r="G353" s="7"/>
    </row>
    <row r="354" spans="3:7" x14ac:dyDescent="0.35">
      <c r="C354" s="6"/>
      <c r="D354" s="6" t="s">
        <v>53</v>
      </c>
      <c r="E354" s="6" t="s">
        <v>53</v>
      </c>
      <c r="F354" s="6" t="str">
        <f t="shared" si="9"/>
        <v>ORL</v>
      </c>
      <c r="G354" s="7"/>
    </row>
    <row r="355" spans="3:7" x14ac:dyDescent="0.35">
      <c r="C355" s="6"/>
      <c r="D355" s="6" t="s">
        <v>595</v>
      </c>
      <c r="E355" s="6" t="s">
        <v>483</v>
      </c>
      <c r="F355" s="6" t="str">
        <f t="shared" si="9"/>
        <v>ORL</v>
      </c>
      <c r="G355" s="7"/>
    </row>
    <row r="356" spans="3:7" x14ac:dyDescent="0.35">
      <c r="C356" s="6"/>
      <c r="D356" s="6" t="s">
        <v>73</v>
      </c>
      <c r="E356" s="6" t="s">
        <v>73</v>
      </c>
      <c r="F356" s="6" t="str">
        <f t="shared" si="9"/>
        <v>ORL</v>
      </c>
      <c r="G356" s="7"/>
    </row>
    <row r="357" spans="3:7" x14ac:dyDescent="0.35">
      <c r="C357" s="6"/>
      <c r="D357" s="6" t="s">
        <v>81</v>
      </c>
      <c r="E357" s="6" t="s">
        <v>81</v>
      </c>
      <c r="F357" s="6" t="str">
        <f t="shared" si="9"/>
        <v>ORL</v>
      </c>
      <c r="G357" s="7"/>
    </row>
    <row r="358" spans="3:7" x14ac:dyDescent="0.35">
      <c r="C358" s="6"/>
      <c r="D358" s="6" t="s">
        <v>110</v>
      </c>
      <c r="E358" s="6" t="s">
        <v>110</v>
      </c>
      <c r="F358" s="6" t="str">
        <f t="shared" si="9"/>
        <v>ORL</v>
      </c>
      <c r="G358" s="7"/>
    </row>
    <row r="359" spans="3:7" x14ac:dyDescent="0.35">
      <c r="C359" s="6"/>
      <c r="D359" s="6" t="s">
        <v>115</v>
      </c>
      <c r="E359" s="6" t="s">
        <v>115</v>
      </c>
      <c r="F359" s="6" t="str">
        <f t="shared" si="9"/>
        <v>ORL</v>
      </c>
      <c r="G359" s="7"/>
    </row>
    <row r="360" spans="3:7" x14ac:dyDescent="0.35">
      <c r="C360" s="6"/>
      <c r="D360" s="6" t="s">
        <v>150</v>
      </c>
      <c r="E360" s="6" t="s">
        <v>150</v>
      </c>
      <c r="F360" s="6" t="str">
        <f t="shared" si="9"/>
        <v>ORL</v>
      </c>
      <c r="G360" s="7"/>
    </row>
    <row r="361" spans="3:7" x14ac:dyDescent="0.35">
      <c r="C361" s="6"/>
      <c r="D361" s="63" t="s">
        <v>159</v>
      </c>
      <c r="E361" s="6" t="s">
        <v>159</v>
      </c>
      <c r="F361" s="6" t="str">
        <f t="shared" si="9"/>
        <v>ORL</v>
      </c>
      <c r="G361" s="7"/>
    </row>
    <row r="362" spans="3:7" x14ac:dyDescent="0.35">
      <c r="C362" s="6"/>
      <c r="D362" s="6" t="s">
        <v>163</v>
      </c>
      <c r="E362" s="6" t="s">
        <v>163</v>
      </c>
      <c r="F362" s="6" t="str">
        <f t="shared" si="9"/>
        <v>ORL</v>
      </c>
      <c r="G362" s="7"/>
    </row>
    <row r="363" spans="3:7" x14ac:dyDescent="0.35">
      <c r="C363" s="6"/>
      <c r="D363" s="6" t="s">
        <v>177</v>
      </c>
      <c r="E363" s="6" t="s">
        <v>177</v>
      </c>
      <c r="F363" s="6" t="str">
        <f t="shared" si="9"/>
        <v>ORL</v>
      </c>
      <c r="G363" s="7"/>
    </row>
    <row r="364" spans="3:7" x14ac:dyDescent="0.35">
      <c r="C364" s="6"/>
      <c r="D364" s="6" t="s">
        <v>231</v>
      </c>
      <c r="E364" s="6" t="s">
        <v>231</v>
      </c>
      <c r="F364" s="6" t="str">
        <f t="shared" si="9"/>
        <v>ORL</v>
      </c>
      <c r="G364" s="7"/>
    </row>
    <row r="365" spans="3:7" x14ac:dyDescent="0.35">
      <c r="C365" s="6"/>
      <c r="D365" s="6" t="s">
        <v>377</v>
      </c>
      <c r="E365" s="6" t="s">
        <v>377</v>
      </c>
      <c r="F365" s="6" t="str">
        <f t="shared" si="9"/>
        <v>ORL</v>
      </c>
      <c r="G365" s="7"/>
    </row>
    <row r="366" spans="3:7" x14ac:dyDescent="0.35">
      <c r="C366" s="6"/>
      <c r="D366" s="6" t="s">
        <v>624</v>
      </c>
      <c r="E366" s="6" t="s">
        <v>531</v>
      </c>
      <c r="F366" s="6" t="str">
        <f t="shared" si="9"/>
        <v>ORL</v>
      </c>
      <c r="G366" s="7"/>
    </row>
    <row r="367" spans="3:7" x14ac:dyDescent="0.35">
      <c r="C367" s="6"/>
      <c r="D367" s="6" t="s">
        <v>682</v>
      </c>
      <c r="E367" s="7" t="s">
        <v>682</v>
      </c>
      <c r="F367" s="6" t="str">
        <f t="shared" si="9"/>
        <v>ORL</v>
      </c>
      <c r="G367" s="7"/>
    </row>
    <row r="368" spans="3:7" x14ac:dyDescent="0.35">
      <c r="C368" s="6"/>
      <c r="D368" s="7" t="s">
        <v>704</v>
      </c>
      <c r="E368" s="7" t="s">
        <v>747</v>
      </c>
      <c r="F368" s="6" t="str">
        <f t="shared" si="9"/>
        <v>ORL</v>
      </c>
      <c r="G368" s="7"/>
    </row>
    <row r="369" spans="3:7" x14ac:dyDescent="0.35">
      <c r="C369" s="6"/>
      <c r="D369" s="6" t="s">
        <v>714</v>
      </c>
      <c r="E369" s="7" t="s">
        <v>714</v>
      </c>
      <c r="F369" s="6" t="str">
        <f t="shared" si="9"/>
        <v>ORL</v>
      </c>
      <c r="G369" s="7"/>
    </row>
    <row r="370" spans="3:7" x14ac:dyDescent="0.35">
      <c r="C370" s="6"/>
      <c r="D370" s="6" t="s">
        <v>89</v>
      </c>
      <c r="E370" s="6" t="s">
        <v>89</v>
      </c>
      <c r="F370" s="6" t="str">
        <f t="shared" si="9"/>
        <v>PHI</v>
      </c>
      <c r="G370" s="7"/>
    </row>
    <row r="371" spans="3:7" x14ac:dyDescent="0.35">
      <c r="C371" s="6"/>
      <c r="D371" s="6" t="s">
        <v>131</v>
      </c>
      <c r="E371" s="6" t="s">
        <v>131</v>
      </c>
      <c r="F371" s="6" t="str">
        <f t="shared" si="9"/>
        <v>PHI</v>
      </c>
      <c r="G371" s="7"/>
    </row>
    <row r="372" spans="3:7" x14ac:dyDescent="0.35">
      <c r="C372" s="6"/>
      <c r="D372" s="6" t="s">
        <v>149</v>
      </c>
      <c r="E372" s="6" t="s">
        <v>149</v>
      </c>
      <c r="F372" s="6" t="str">
        <f t="shared" si="9"/>
        <v>PHI</v>
      </c>
      <c r="G372" s="7"/>
    </row>
    <row r="373" spans="3:7" x14ac:dyDescent="0.35">
      <c r="C373" s="6"/>
      <c r="D373" s="6" t="s">
        <v>155</v>
      </c>
      <c r="E373" s="6" t="s">
        <v>155</v>
      </c>
      <c r="F373" s="6" t="str">
        <f t="shared" si="9"/>
        <v>PHI</v>
      </c>
      <c r="G373" s="7"/>
    </row>
    <row r="374" spans="3:7" x14ac:dyDescent="0.35">
      <c r="C374" s="6"/>
      <c r="D374" s="6" t="s">
        <v>182</v>
      </c>
      <c r="E374" s="6" t="s">
        <v>182</v>
      </c>
      <c r="F374" s="6" t="str">
        <f t="shared" si="9"/>
        <v>PHI</v>
      </c>
      <c r="G374" s="7"/>
    </row>
    <row r="375" spans="3:7" x14ac:dyDescent="0.35">
      <c r="C375" s="6"/>
      <c r="D375" s="6" t="s">
        <v>198</v>
      </c>
      <c r="E375" s="6" t="s">
        <v>198</v>
      </c>
      <c r="F375" s="6" t="str">
        <f t="shared" si="9"/>
        <v>PHI</v>
      </c>
      <c r="G375" s="7"/>
    </row>
    <row r="376" spans="3:7" x14ac:dyDescent="0.35">
      <c r="C376" s="6"/>
      <c r="D376" s="6" t="s">
        <v>223</v>
      </c>
      <c r="E376" s="6" t="s">
        <v>223</v>
      </c>
      <c r="F376" s="6" t="str">
        <f t="shared" si="9"/>
        <v>PHI</v>
      </c>
      <c r="G376" s="7"/>
    </row>
    <row r="377" spans="3:7" x14ac:dyDescent="0.35">
      <c r="C377" s="6"/>
      <c r="D377" s="6" t="s">
        <v>262</v>
      </c>
      <c r="E377" s="6" t="s">
        <v>262</v>
      </c>
      <c r="F377" s="6" t="str">
        <f t="shared" si="9"/>
        <v>PHI</v>
      </c>
      <c r="G377" s="7"/>
    </row>
    <row r="378" spans="3:7" x14ac:dyDescent="0.35">
      <c r="C378" s="6"/>
      <c r="D378" s="6" t="s">
        <v>312</v>
      </c>
      <c r="E378" s="6" t="s">
        <v>312</v>
      </c>
      <c r="F378" s="6" t="str">
        <f t="shared" si="9"/>
        <v>PHI</v>
      </c>
      <c r="G378" s="7"/>
    </row>
    <row r="379" spans="3:7" x14ac:dyDescent="0.35">
      <c r="C379" s="6"/>
      <c r="D379" s="6" t="s">
        <v>356</v>
      </c>
      <c r="E379" s="6" t="s">
        <v>356</v>
      </c>
      <c r="F379" s="6" t="str">
        <f t="shared" si="9"/>
        <v>PHI</v>
      </c>
      <c r="G379" s="7"/>
    </row>
    <row r="380" spans="3:7" x14ac:dyDescent="0.35">
      <c r="C380" s="6"/>
      <c r="D380" s="6" t="s">
        <v>384</v>
      </c>
      <c r="E380" s="6" t="s">
        <v>384</v>
      </c>
      <c r="F380" s="6" t="str">
        <f t="shared" si="9"/>
        <v>PHI</v>
      </c>
      <c r="G380" s="7"/>
    </row>
    <row r="381" spans="3:7" x14ac:dyDescent="0.35">
      <c r="C381" s="6"/>
      <c r="D381" s="6" t="s">
        <v>390</v>
      </c>
      <c r="E381" s="6" t="s">
        <v>390</v>
      </c>
      <c r="F381" s="6" t="str">
        <f t="shared" si="9"/>
        <v>PHI</v>
      </c>
      <c r="G381" s="7"/>
    </row>
    <row r="382" spans="3:7" x14ac:dyDescent="0.35">
      <c r="C382" s="6"/>
      <c r="D382" s="6" t="s">
        <v>407</v>
      </c>
      <c r="E382" s="6" t="s">
        <v>407</v>
      </c>
      <c r="F382" s="6" t="str">
        <f t="shared" si="9"/>
        <v>PHI</v>
      </c>
      <c r="G382" s="7"/>
    </row>
    <row r="383" spans="3:7" x14ac:dyDescent="0.35">
      <c r="C383" s="6"/>
      <c r="D383" s="6" t="s">
        <v>699</v>
      </c>
      <c r="E383" s="7" t="s">
        <v>699</v>
      </c>
      <c r="F383" s="6" t="str">
        <f t="shared" si="9"/>
        <v>PHI</v>
      </c>
      <c r="G383" s="7"/>
    </row>
    <row r="384" spans="3:7" x14ac:dyDescent="0.35">
      <c r="C384" s="6"/>
      <c r="D384" s="63" t="s">
        <v>705</v>
      </c>
      <c r="E384" s="7" t="s">
        <v>705</v>
      </c>
      <c r="F384" s="6" t="str">
        <f t="shared" si="9"/>
        <v>PHI</v>
      </c>
      <c r="G384" s="7"/>
    </row>
    <row r="385" spans="3:7" x14ac:dyDescent="0.35">
      <c r="C385" s="6"/>
      <c r="D385" s="6" t="s">
        <v>706</v>
      </c>
      <c r="E385" s="7" t="s">
        <v>706</v>
      </c>
      <c r="F385" s="6" t="str">
        <f t="shared" si="9"/>
        <v>PHI</v>
      </c>
      <c r="G385" s="7"/>
    </row>
    <row r="386" spans="3:7" x14ac:dyDescent="0.35">
      <c r="C386" s="6"/>
      <c r="D386" s="7" t="s">
        <v>752</v>
      </c>
      <c r="E386" s="7" t="s">
        <v>752</v>
      </c>
      <c r="F386" s="6" t="str">
        <f t="shared" si="9"/>
        <v>PHI</v>
      </c>
      <c r="G386" s="7"/>
    </row>
    <row r="387" spans="3:7" x14ac:dyDescent="0.35">
      <c r="C387" s="6"/>
      <c r="D387" s="6" t="s">
        <v>51</v>
      </c>
      <c r="E387" s="6" t="s">
        <v>51</v>
      </c>
      <c r="F387" s="6" t="str">
        <f t="shared" ref="F387:F450" si="10">VLOOKUP(VLOOKUP(E387,Roster_Range,2,FALSE),Abbreviations, 2, FALSE)</f>
        <v>PHO</v>
      </c>
      <c r="G387" s="7"/>
    </row>
    <row r="388" spans="3:7" x14ac:dyDescent="0.35">
      <c r="C388" s="6"/>
      <c r="D388" s="6" t="s">
        <v>84</v>
      </c>
      <c r="E388" s="6" t="s">
        <v>84</v>
      </c>
      <c r="F388" s="6" t="str">
        <f t="shared" si="10"/>
        <v>PHO</v>
      </c>
      <c r="G388" s="7"/>
    </row>
    <row r="389" spans="3:7" x14ac:dyDescent="0.35">
      <c r="C389" s="6"/>
      <c r="D389" s="6" t="s">
        <v>92</v>
      </c>
      <c r="E389" s="6" t="s">
        <v>92</v>
      </c>
      <c r="F389" s="6" t="str">
        <f t="shared" si="10"/>
        <v>PHO</v>
      </c>
      <c r="G389" s="7"/>
    </row>
    <row r="390" spans="3:7" x14ac:dyDescent="0.35">
      <c r="C390" s="6"/>
      <c r="D390" s="6" t="s">
        <v>109</v>
      </c>
      <c r="E390" s="6" t="s">
        <v>109</v>
      </c>
      <c r="F390" s="6" t="str">
        <f t="shared" si="10"/>
        <v>PHO</v>
      </c>
      <c r="G390" s="7"/>
    </row>
    <row r="391" spans="3:7" x14ac:dyDescent="0.35">
      <c r="C391" s="6"/>
      <c r="D391" s="6" t="s">
        <v>129</v>
      </c>
      <c r="E391" s="6" t="s">
        <v>129</v>
      </c>
      <c r="F391" s="6" t="str">
        <f t="shared" si="10"/>
        <v>PHO</v>
      </c>
      <c r="G391" s="7"/>
    </row>
    <row r="392" spans="3:7" x14ac:dyDescent="0.35">
      <c r="C392" s="6"/>
      <c r="D392" s="6" t="s">
        <v>167</v>
      </c>
      <c r="E392" s="6" t="s">
        <v>167</v>
      </c>
      <c r="F392" s="6" t="str">
        <f t="shared" si="10"/>
        <v>PHO</v>
      </c>
      <c r="G392" s="7"/>
    </row>
    <row r="393" spans="3:7" x14ac:dyDescent="0.35">
      <c r="C393" s="6"/>
      <c r="D393" s="6" t="s">
        <v>243</v>
      </c>
      <c r="E393" s="6" t="s">
        <v>243</v>
      </c>
      <c r="F393" s="6" t="str">
        <f t="shared" si="10"/>
        <v>PHO</v>
      </c>
      <c r="G393" s="7"/>
    </row>
    <row r="394" spans="3:7" x14ac:dyDescent="0.35">
      <c r="C394" s="6"/>
      <c r="D394" s="6" t="s">
        <v>247</v>
      </c>
      <c r="E394" s="6" t="s">
        <v>247</v>
      </c>
      <c r="F394" s="6" t="str">
        <f t="shared" si="10"/>
        <v>PHO</v>
      </c>
      <c r="G394" s="7"/>
    </row>
    <row r="395" spans="3:7" x14ac:dyDescent="0.35">
      <c r="C395" s="6"/>
      <c r="D395" s="63" t="s">
        <v>253</v>
      </c>
      <c r="E395" s="6" t="s">
        <v>253</v>
      </c>
      <c r="F395" s="6" t="str">
        <f t="shared" si="10"/>
        <v>PHO</v>
      </c>
      <c r="G395" s="7"/>
    </row>
    <row r="396" spans="3:7" x14ac:dyDescent="0.35">
      <c r="C396" s="6"/>
      <c r="D396" s="6" t="s">
        <v>317</v>
      </c>
      <c r="E396" s="6" t="s">
        <v>317</v>
      </c>
      <c r="F396" s="6" t="str">
        <f t="shared" si="10"/>
        <v>PHO</v>
      </c>
      <c r="G396" s="7"/>
    </row>
    <row r="397" spans="3:7" x14ac:dyDescent="0.35">
      <c r="C397" s="6"/>
      <c r="D397" s="6" t="s">
        <v>328</v>
      </c>
      <c r="E397" s="6" t="s">
        <v>328</v>
      </c>
      <c r="F397" s="6" t="str">
        <f t="shared" si="10"/>
        <v>PHO</v>
      </c>
      <c r="G397" s="7"/>
    </row>
    <row r="398" spans="3:7" x14ac:dyDescent="0.35">
      <c r="C398" s="6"/>
      <c r="D398" s="6" t="s">
        <v>350</v>
      </c>
      <c r="E398" s="6" t="s">
        <v>350</v>
      </c>
      <c r="F398" s="6" t="str">
        <f t="shared" si="10"/>
        <v>PHO</v>
      </c>
      <c r="G398" s="7"/>
    </row>
    <row r="399" spans="3:7" x14ac:dyDescent="0.35">
      <c r="C399" s="6"/>
      <c r="D399" s="6" t="s">
        <v>619</v>
      </c>
      <c r="E399" s="6" t="s">
        <v>524</v>
      </c>
      <c r="F399" s="6" t="str">
        <f t="shared" si="10"/>
        <v>PHO</v>
      </c>
      <c r="G399" s="7"/>
    </row>
    <row r="400" spans="3:7" x14ac:dyDescent="0.35">
      <c r="C400" s="6"/>
      <c r="D400" s="65" t="s">
        <v>647</v>
      </c>
      <c r="E400" s="7" t="s">
        <v>647</v>
      </c>
      <c r="F400" s="6" t="str">
        <f t="shared" si="10"/>
        <v>PHO</v>
      </c>
      <c r="G400" s="7"/>
    </row>
    <row r="401" spans="3:7" x14ac:dyDescent="0.35">
      <c r="C401" s="6"/>
      <c r="D401" s="6" t="s">
        <v>681</v>
      </c>
      <c r="E401" s="7" t="s">
        <v>681</v>
      </c>
      <c r="F401" s="6" t="str">
        <f t="shared" si="10"/>
        <v>PHO</v>
      </c>
      <c r="G401" s="7"/>
    </row>
    <row r="402" spans="3:7" x14ac:dyDescent="0.35">
      <c r="C402" s="6"/>
      <c r="D402" s="6" t="s">
        <v>722</v>
      </c>
      <c r="E402" s="7" t="s">
        <v>722</v>
      </c>
      <c r="F402" s="6" t="str">
        <f t="shared" si="10"/>
        <v>PHO</v>
      </c>
      <c r="G402" s="7"/>
    </row>
    <row r="403" spans="3:7" x14ac:dyDescent="0.35">
      <c r="C403" s="6"/>
      <c r="D403" s="63" t="s">
        <v>42</v>
      </c>
      <c r="E403" s="6" t="s">
        <v>42</v>
      </c>
      <c r="F403" s="6" t="str">
        <f t="shared" si="10"/>
        <v>POR</v>
      </c>
      <c r="G403" s="7"/>
    </row>
    <row r="404" spans="3:7" x14ac:dyDescent="0.35">
      <c r="C404" s="6"/>
      <c r="D404" s="63" t="s">
        <v>123</v>
      </c>
      <c r="E404" s="6" t="s">
        <v>123</v>
      </c>
      <c r="F404" s="6" t="str">
        <f t="shared" si="10"/>
        <v>POR</v>
      </c>
      <c r="G404" s="7"/>
    </row>
    <row r="405" spans="3:7" x14ac:dyDescent="0.35">
      <c r="C405" s="6"/>
      <c r="D405" s="6" t="s">
        <v>127</v>
      </c>
      <c r="E405" s="6" t="s">
        <v>127</v>
      </c>
      <c r="F405" s="6" t="str">
        <f t="shared" si="10"/>
        <v>POR</v>
      </c>
      <c r="G405" s="7"/>
    </row>
    <row r="406" spans="3:7" x14ac:dyDescent="0.35">
      <c r="C406" s="6"/>
      <c r="D406" s="6" t="s">
        <v>173</v>
      </c>
      <c r="E406" s="6" t="s">
        <v>173</v>
      </c>
      <c r="F406" s="6" t="str">
        <f t="shared" si="10"/>
        <v>POR</v>
      </c>
      <c r="G406" s="7"/>
    </row>
    <row r="407" spans="3:7" x14ac:dyDescent="0.35">
      <c r="C407" s="6"/>
      <c r="D407" s="6" t="s">
        <v>219</v>
      </c>
      <c r="E407" s="6" t="s">
        <v>219</v>
      </c>
      <c r="F407" s="6" t="str">
        <f t="shared" si="10"/>
        <v>POR</v>
      </c>
      <c r="G407" s="7"/>
    </row>
    <row r="408" spans="3:7" x14ac:dyDescent="0.35">
      <c r="C408" s="6"/>
      <c r="D408" s="62" t="s">
        <v>639</v>
      </c>
      <c r="E408" s="6" t="s">
        <v>248</v>
      </c>
      <c r="F408" s="6" t="str">
        <f t="shared" si="10"/>
        <v>POR</v>
      </c>
      <c r="G408" s="7"/>
    </row>
    <row r="409" spans="3:7" x14ac:dyDescent="0.35">
      <c r="C409" s="6"/>
      <c r="D409" s="6" t="s">
        <v>254</v>
      </c>
      <c r="E409" s="6" t="s">
        <v>254</v>
      </c>
      <c r="F409" s="6" t="str">
        <f t="shared" si="10"/>
        <v>POR</v>
      </c>
      <c r="G409" s="7"/>
    </row>
    <row r="410" spans="3:7" x14ac:dyDescent="0.35">
      <c r="C410" s="6"/>
      <c r="D410" s="6" t="s">
        <v>279</v>
      </c>
      <c r="E410" s="6" t="s">
        <v>279</v>
      </c>
      <c r="F410" s="6" t="str">
        <f t="shared" si="10"/>
        <v>POR</v>
      </c>
      <c r="G410" s="7"/>
    </row>
    <row r="411" spans="3:7" x14ac:dyDescent="0.35">
      <c r="C411" s="6"/>
      <c r="D411" s="6" t="s">
        <v>280</v>
      </c>
      <c r="E411" s="6" t="s">
        <v>280</v>
      </c>
      <c r="F411" s="6" t="str">
        <f t="shared" si="10"/>
        <v>POR</v>
      </c>
      <c r="G411" s="7"/>
    </row>
    <row r="412" spans="3:7" x14ac:dyDescent="0.35">
      <c r="C412" s="6"/>
      <c r="D412" s="6" t="s">
        <v>612</v>
      </c>
      <c r="E412" s="6" t="s">
        <v>515</v>
      </c>
      <c r="F412" s="6" t="str">
        <f t="shared" si="10"/>
        <v>POR</v>
      </c>
      <c r="G412" s="7"/>
    </row>
    <row r="413" spans="3:7" x14ac:dyDescent="0.35">
      <c r="C413" s="6"/>
      <c r="D413" s="6" t="s">
        <v>627</v>
      </c>
      <c r="E413" s="6" t="s">
        <v>518</v>
      </c>
      <c r="F413" s="6" t="str">
        <f t="shared" si="10"/>
        <v>POR</v>
      </c>
      <c r="G413" s="7"/>
    </row>
    <row r="414" spans="3:7" x14ac:dyDescent="0.35">
      <c r="C414" s="6"/>
      <c r="D414" s="6" t="s">
        <v>391</v>
      </c>
      <c r="E414" s="6" t="s">
        <v>391</v>
      </c>
      <c r="F414" s="6" t="str">
        <f t="shared" si="10"/>
        <v>POR</v>
      </c>
      <c r="G414" s="7"/>
    </row>
    <row r="415" spans="3:7" x14ac:dyDescent="0.35">
      <c r="C415" s="6"/>
      <c r="D415" s="62" t="s">
        <v>646</v>
      </c>
      <c r="E415" s="6" t="s">
        <v>592</v>
      </c>
      <c r="F415" s="6" t="str">
        <f t="shared" si="10"/>
        <v>POR</v>
      </c>
      <c r="G415" s="7"/>
    </row>
    <row r="416" spans="3:7" x14ac:dyDescent="0.35">
      <c r="C416" s="6"/>
      <c r="D416" s="6" t="s">
        <v>686</v>
      </c>
      <c r="E416" s="7" t="s">
        <v>686</v>
      </c>
      <c r="F416" s="6" t="str">
        <f t="shared" si="10"/>
        <v>POR</v>
      </c>
      <c r="G416" s="7"/>
    </row>
    <row r="417" spans="3:7" x14ac:dyDescent="0.35">
      <c r="C417" s="6"/>
      <c r="D417" s="7" t="s">
        <v>691</v>
      </c>
      <c r="E417" s="7" t="s">
        <v>737</v>
      </c>
      <c r="F417" s="6" t="str">
        <f t="shared" si="10"/>
        <v>POR</v>
      </c>
      <c r="G417" s="7"/>
    </row>
    <row r="418" spans="3:7" x14ac:dyDescent="0.35">
      <c r="C418" s="6"/>
      <c r="D418" s="62" t="s">
        <v>578</v>
      </c>
      <c r="E418" s="6" t="s">
        <v>578</v>
      </c>
      <c r="F418" s="6" t="str">
        <f t="shared" si="10"/>
        <v>SAC</v>
      </c>
      <c r="G418" s="7"/>
    </row>
    <row r="419" spans="3:7" x14ac:dyDescent="0.35">
      <c r="C419" s="6"/>
      <c r="D419" s="6" t="s">
        <v>57</v>
      </c>
      <c r="E419" s="6" t="s">
        <v>57</v>
      </c>
      <c r="F419" s="6" t="str">
        <f t="shared" si="10"/>
        <v>SAC</v>
      </c>
      <c r="G419" s="7"/>
    </row>
    <row r="420" spans="3:7" x14ac:dyDescent="0.35">
      <c r="C420" s="6"/>
      <c r="D420" s="63" t="s">
        <v>77</v>
      </c>
      <c r="E420" s="6" t="s">
        <v>77</v>
      </c>
      <c r="F420" s="6" t="str">
        <f t="shared" si="10"/>
        <v>SAC</v>
      </c>
      <c r="G420" s="7"/>
    </row>
    <row r="421" spans="3:7" x14ac:dyDescent="0.35">
      <c r="C421" s="6"/>
      <c r="D421" s="6" t="s">
        <v>160</v>
      </c>
      <c r="E421" s="6" t="s">
        <v>160</v>
      </c>
      <c r="F421" s="6" t="str">
        <f t="shared" si="10"/>
        <v>SAC</v>
      </c>
      <c r="G421" s="7"/>
    </row>
    <row r="422" spans="3:7" x14ac:dyDescent="0.35">
      <c r="C422" s="6"/>
      <c r="D422" s="6" t="s">
        <v>189</v>
      </c>
      <c r="E422" s="6" t="s">
        <v>189</v>
      </c>
      <c r="F422" s="6" t="str">
        <f t="shared" si="10"/>
        <v>SAC</v>
      </c>
      <c r="G422" s="7"/>
    </row>
    <row r="423" spans="3:7" x14ac:dyDescent="0.35">
      <c r="C423" s="6"/>
      <c r="D423" s="6" t="s">
        <v>210</v>
      </c>
      <c r="E423" s="6" t="s">
        <v>210</v>
      </c>
      <c r="F423" s="6" t="str">
        <f t="shared" si="10"/>
        <v>SAC</v>
      </c>
      <c r="G423" s="7"/>
    </row>
    <row r="424" spans="3:7" x14ac:dyDescent="0.35">
      <c r="C424" s="6"/>
      <c r="D424" s="6" t="s">
        <v>218</v>
      </c>
      <c r="E424" s="6" t="s">
        <v>218</v>
      </c>
      <c r="F424" s="6" t="str">
        <f t="shared" si="10"/>
        <v>SAC</v>
      </c>
      <c r="G424" s="7"/>
    </row>
    <row r="425" spans="3:7" x14ac:dyDescent="0.35">
      <c r="C425" s="6"/>
      <c r="D425" s="6" t="s">
        <v>237</v>
      </c>
      <c r="E425" s="6" t="s">
        <v>237</v>
      </c>
      <c r="F425" s="6" t="str">
        <f t="shared" si="10"/>
        <v>SAC</v>
      </c>
      <c r="G425" s="7"/>
    </row>
    <row r="426" spans="3:7" x14ac:dyDescent="0.35">
      <c r="C426" s="6"/>
      <c r="D426" s="6" t="s">
        <v>239</v>
      </c>
      <c r="E426" s="6" t="s">
        <v>239</v>
      </c>
      <c r="F426" s="6" t="str">
        <f t="shared" si="10"/>
        <v>SAC</v>
      </c>
      <c r="G426" s="7"/>
    </row>
    <row r="427" spans="3:7" x14ac:dyDescent="0.35">
      <c r="C427" s="6"/>
      <c r="D427" s="6" t="s">
        <v>251</v>
      </c>
      <c r="E427" s="6" t="s">
        <v>251</v>
      </c>
      <c r="F427" s="6" t="str">
        <f t="shared" si="10"/>
        <v>SAC</v>
      </c>
      <c r="G427" s="7"/>
    </row>
    <row r="428" spans="3:7" x14ac:dyDescent="0.35">
      <c r="C428" s="6"/>
      <c r="D428" s="6" t="s">
        <v>307</v>
      </c>
      <c r="E428" s="6" t="s">
        <v>307</v>
      </c>
      <c r="F428" s="6" t="str">
        <f t="shared" si="10"/>
        <v>SAC</v>
      </c>
      <c r="G428" s="7"/>
    </row>
    <row r="429" spans="3:7" x14ac:dyDescent="0.35">
      <c r="C429" s="6"/>
      <c r="D429" s="6" t="s">
        <v>347</v>
      </c>
      <c r="E429" s="6" t="s">
        <v>347</v>
      </c>
      <c r="F429" s="6" t="str">
        <f t="shared" si="10"/>
        <v>SAC</v>
      </c>
      <c r="G429" s="7"/>
    </row>
    <row r="430" spans="3:7" x14ac:dyDescent="0.35">
      <c r="C430" s="6"/>
      <c r="D430" s="64" t="s">
        <v>644</v>
      </c>
      <c r="E430" s="6" t="s">
        <v>372</v>
      </c>
      <c r="F430" s="6" t="str">
        <f t="shared" si="10"/>
        <v>SAC</v>
      </c>
      <c r="G430" s="7"/>
    </row>
    <row r="431" spans="3:7" x14ac:dyDescent="0.35">
      <c r="C431" s="6"/>
      <c r="D431" s="6" t="s">
        <v>430</v>
      </c>
      <c r="E431" s="6" t="s">
        <v>430</v>
      </c>
      <c r="F431" s="6" t="str">
        <f t="shared" si="10"/>
        <v>SAC</v>
      </c>
      <c r="G431" s="7"/>
    </row>
    <row r="432" spans="3:7" x14ac:dyDescent="0.35">
      <c r="C432" s="6"/>
      <c r="D432" s="30" t="s">
        <v>671</v>
      </c>
      <c r="E432" s="30" t="s">
        <v>671</v>
      </c>
      <c r="F432" s="6" t="str">
        <f t="shared" si="10"/>
        <v>SAC</v>
      </c>
      <c r="G432" s="7"/>
    </row>
    <row r="433" spans="3:7" x14ac:dyDescent="0.35">
      <c r="C433" s="6"/>
      <c r="D433" s="6" t="s">
        <v>720</v>
      </c>
      <c r="E433" s="7" t="s">
        <v>720</v>
      </c>
      <c r="F433" s="6" t="str">
        <f t="shared" si="10"/>
        <v>SAC</v>
      </c>
      <c r="G433" s="7"/>
    </row>
    <row r="434" spans="3:7" x14ac:dyDescent="0.35">
      <c r="C434" s="6"/>
      <c r="D434" s="7" t="s">
        <v>731</v>
      </c>
      <c r="E434" s="7" t="s">
        <v>762</v>
      </c>
      <c r="F434" s="6" t="str">
        <f t="shared" si="10"/>
        <v>SAC</v>
      </c>
      <c r="G434" s="7"/>
    </row>
    <row r="435" spans="3:7" x14ac:dyDescent="0.35">
      <c r="C435" s="6"/>
      <c r="D435" s="6" t="s">
        <v>22</v>
      </c>
      <c r="E435" s="6" t="s">
        <v>22</v>
      </c>
      <c r="F435" s="6" t="str">
        <f t="shared" si="10"/>
        <v>SAS</v>
      </c>
      <c r="G435" s="7"/>
    </row>
    <row r="436" spans="3:7" x14ac:dyDescent="0.35">
      <c r="C436" s="6"/>
      <c r="D436" s="6" t="s">
        <v>60</v>
      </c>
      <c r="E436" s="6" t="s">
        <v>60</v>
      </c>
      <c r="F436" s="6" t="str">
        <f t="shared" si="10"/>
        <v>SAS</v>
      </c>
      <c r="G436" s="7"/>
    </row>
    <row r="437" spans="3:7" x14ac:dyDescent="0.35">
      <c r="C437" s="6"/>
      <c r="D437" s="6" t="s">
        <v>136</v>
      </c>
      <c r="E437" s="6" t="s">
        <v>136</v>
      </c>
      <c r="F437" s="6" t="str">
        <f t="shared" si="10"/>
        <v>SAS</v>
      </c>
      <c r="G437" s="7"/>
    </row>
    <row r="438" spans="3:7" x14ac:dyDescent="0.35">
      <c r="C438" s="6"/>
      <c r="D438" s="6" t="s">
        <v>151</v>
      </c>
      <c r="E438" s="6" t="s">
        <v>151</v>
      </c>
      <c r="F438" s="6" t="str">
        <f t="shared" si="10"/>
        <v>SAS</v>
      </c>
      <c r="G438" s="7"/>
    </row>
    <row r="439" spans="3:7" x14ac:dyDescent="0.35">
      <c r="C439" s="6"/>
      <c r="D439" s="6" t="s">
        <v>170</v>
      </c>
      <c r="E439" s="6" t="s">
        <v>170</v>
      </c>
      <c r="F439" s="6" t="str">
        <f t="shared" si="10"/>
        <v>SAS</v>
      </c>
      <c r="G439" s="7"/>
    </row>
    <row r="440" spans="3:7" x14ac:dyDescent="0.35">
      <c r="C440" s="6"/>
      <c r="D440" s="6" t="s">
        <v>245</v>
      </c>
      <c r="E440" s="6" t="s">
        <v>245</v>
      </c>
      <c r="F440" s="6" t="str">
        <f t="shared" si="10"/>
        <v>SAS</v>
      </c>
      <c r="G440" s="7"/>
    </row>
    <row r="441" spans="3:7" x14ac:dyDescent="0.35">
      <c r="C441" s="6"/>
      <c r="D441" s="6" t="s">
        <v>286</v>
      </c>
      <c r="E441" s="6" t="s">
        <v>286</v>
      </c>
      <c r="F441" s="6" t="str">
        <f t="shared" si="10"/>
        <v>SAS</v>
      </c>
      <c r="G441" s="7"/>
    </row>
    <row r="442" spans="3:7" x14ac:dyDescent="0.35">
      <c r="C442" s="6"/>
      <c r="D442" s="6" t="s">
        <v>310</v>
      </c>
      <c r="E442" s="6" t="s">
        <v>310</v>
      </c>
      <c r="F442" s="6" t="str">
        <f t="shared" si="10"/>
        <v>SAS</v>
      </c>
      <c r="G442" s="7"/>
    </row>
    <row r="443" spans="3:7" x14ac:dyDescent="0.35">
      <c r="C443" s="6"/>
      <c r="D443" s="6" t="s">
        <v>325</v>
      </c>
      <c r="E443" s="6" t="s">
        <v>325</v>
      </c>
      <c r="F443" s="6" t="str">
        <f t="shared" si="10"/>
        <v>SAS</v>
      </c>
      <c r="G443" s="7"/>
    </row>
    <row r="444" spans="3:7" x14ac:dyDescent="0.35">
      <c r="C444" s="6"/>
      <c r="D444" s="64" t="s">
        <v>520</v>
      </c>
      <c r="E444" s="6" t="s">
        <v>520</v>
      </c>
      <c r="F444" s="6" t="str">
        <f t="shared" si="10"/>
        <v>SAS</v>
      </c>
      <c r="G444" s="7"/>
    </row>
    <row r="445" spans="3:7" x14ac:dyDescent="0.35">
      <c r="C445" s="6"/>
      <c r="D445" s="6" t="s">
        <v>618</v>
      </c>
      <c r="E445" s="6" t="s">
        <v>523</v>
      </c>
      <c r="F445" s="6" t="str">
        <f t="shared" si="10"/>
        <v>SAS</v>
      </c>
      <c r="G445" s="7"/>
    </row>
    <row r="446" spans="3:7" x14ac:dyDescent="0.35">
      <c r="C446" s="6"/>
      <c r="D446" s="6" t="s">
        <v>421</v>
      </c>
      <c r="E446" s="6" t="s">
        <v>421</v>
      </c>
      <c r="F446" s="6" t="str">
        <f t="shared" si="10"/>
        <v>SAS</v>
      </c>
      <c r="G446" s="7"/>
    </row>
    <row r="447" spans="3:7" x14ac:dyDescent="0.35">
      <c r="C447" s="6"/>
      <c r="D447" s="6" t="s">
        <v>461</v>
      </c>
      <c r="E447" s="6" t="s">
        <v>461</v>
      </c>
      <c r="F447" s="6" t="str">
        <f t="shared" si="10"/>
        <v>SAS</v>
      </c>
      <c r="G447" s="7"/>
    </row>
    <row r="448" spans="3:7" x14ac:dyDescent="0.35">
      <c r="C448" s="6"/>
      <c r="D448" s="6" t="s">
        <v>429</v>
      </c>
      <c r="E448" s="6" t="s">
        <v>429</v>
      </c>
      <c r="F448" s="6" t="str">
        <f t="shared" si="10"/>
        <v>SAS</v>
      </c>
      <c r="G448" s="7"/>
    </row>
    <row r="449" spans="3:7" x14ac:dyDescent="0.35">
      <c r="C449" s="6"/>
      <c r="D449" s="6" t="s">
        <v>700</v>
      </c>
      <c r="E449" s="7" t="s">
        <v>700</v>
      </c>
      <c r="F449" s="6" t="str">
        <f t="shared" si="10"/>
        <v>SAS</v>
      </c>
      <c r="G449" s="7"/>
    </row>
    <row r="450" spans="3:7" x14ac:dyDescent="0.35">
      <c r="C450" s="6"/>
      <c r="D450" s="6" t="s">
        <v>729</v>
      </c>
      <c r="E450" s="7" t="s">
        <v>729</v>
      </c>
      <c r="F450" s="6" t="str">
        <f t="shared" si="10"/>
        <v>SAS</v>
      </c>
      <c r="G450" s="7"/>
    </row>
    <row r="451" spans="3:7" x14ac:dyDescent="0.35">
      <c r="C451" s="6"/>
      <c r="D451" s="63" t="s">
        <v>594</v>
      </c>
      <c r="E451" s="6" t="s">
        <v>477</v>
      </c>
      <c r="F451" s="6" t="str">
        <f t="shared" ref="F451:F500" si="11">VLOOKUP(VLOOKUP(E451,Roster_Range,2,FALSE),Abbreviations, 2, FALSE)</f>
        <v>TOR</v>
      </c>
      <c r="G451" s="7"/>
    </row>
    <row r="452" spans="3:7" x14ac:dyDescent="0.35">
      <c r="C452" s="6"/>
      <c r="D452" s="6" t="s">
        <v>63</v>
      </c>
      <c r="E452" s="6" t="s">
        <v>63</v>
      </c>
      <c r="F452" s="6" t="str">
        <f t="shared" si="11"/>
        <v>TOR</v>
      </c>
      <c r="G452" s="7"/>
    </row>
    <row r="453" spans="3:7" x14ac:dyDescent="0.35">
      <c r="C453" s="6"/>
      <c r="D453" s="6" t="s">
        <v>69</v>
      </c>
      <c r="E453" s="6" t="s">
        <v>69</v>
      </c>
      <c r="F453" s="6" t="str">
        <f t="shared" si="11"/>
        <v>TOR</v>
      </c>
      <c r="G453" s="7"/>
    </row>
    <row r="454" spans="3:7" x14ac:dyDescent="0.35">
      <c r="C454" s="6"/>
      <c r="D454" s="6" t="s">
        <v>85</v>
      </c>
      <c r="E454" s="6" t="s">
        <v>85</v>
      </c>
      <c r="F454" s="6" t="str">
        <f t="shared" si="11"/>
        <v>TOR</v>
      </c>
      <c r="G454" s="7"/>
    </row>
    <row r="455" spans="3:7" x14ac:dyDescent="0.35">
      <c r="C455" s="6"/>
      <c r="D455" s="6" t="s">
        <v>135</v>
      </c>
      <c r="E455" s="6" t="s">
        <v>135</v>
      </c>
      <c r="F455" s="6" t="str">
        <f t="shared" si="11"/>
        <v>TOR</v>
      </c>
      <c r="G455" s="7"/>
    </row>
    <row r="456" spans="3:7" x14ac:dyDescent="0.35">
      <c r="C456" s="6"/>
      <c r="D456" s="6" t="s">
        <v>246</v>
      </c>
      <c r="E456" s="6" t="s">
        <v>246</v>
      </c>
      <c r="F456" s="6" t="str">
        <f t="shared" si="11"/>
        <v>TOR</v>
      </c>
      <c r="G456" s="7"/>
    </row>
    <row r="457" spans="3:7" x14ac:dyDescent="0.35">
      <c r="C457" s="6"/>
      <c r="D457" s="6" t="s">
        <v>275</v>
      </c>
      <c r="E457" s="6" t="s">
        <v>275</v>
      </c>
      <c r="F457" s="6" t="str">
        <f t="shared" si="11"/>
        <v>TOR</v>
      </c>
      <c r="G457" s="7"/>
    </row>
    <row r="458" spans="3:7" x14ac:dyDescent="0.35">
      <c r="C458" s="6"/>
      <c r="D458" s="6" t="s">
        <v>285</v>
      </c>
      <c r="E458" s="6" t="s">
        <v>285</v>
      </c>
      <c r="F458" s="6" t="str">
        <f t="shared" si="11"/>
        <v>TOR</v>
      </c>
      <c r="G458" s="7"/>
    </row>
    <row r="459" spans="3:7" x14ac:dyDescent="0.35">
      <c r="C459" s="6"/>
      <c r="D459" s="6" t="s">
        <v>297</v>
      </c>
      <c r="E459" s="6" t="s">
        <v>297</v>
      </c>
      <c r="F459" s="6" t="str">
        <f t="shared" si="11"/>
        <v>TOR</v>
      </c>
      <c r="G459" s="7"/>
    </row>
    <row r="460" spans="3:7" x14ac:dyDescent="0.35">
      <c r="C460" s="6"/>
      <c r="D460" s="6" t="s">
        <v>363</v>
      </c>
      <c r="E460" s="6" t="s">
        <v>363</v>
      </c>
      <c r="F460" s="6" t="str">
        <f t="shared" si="11"/>
        <v>TOR</v>
      </c>
      <c r="G460" s="7"/>
    </row>
    <row r="461" spans="3:7" x14ac:dyDescent="0.35">
      <c r="C461" s="6"/>
      <c r="D461" s="6" t="s">
        <v>388</v>
      </c>
      <c r="E461" s="6" t="s">
        <v>388</v>
      </c>
      <c r="F461" s="6" t="str">
        <f t="shared" si="11"/>
        <v>TOR</v>
      </c>
      <c r="G461" s="7"/>
    </row>
    <row r="462" spans="3:7" x14ac:dyDescent="0.35">
      <c r="C462" s="6"/>
      <c r="D462" s="6" t="s">
        <v>405</v>
      </c>
      <c r="E462" s="6" t="s">
        <v>405</v>
      </c>
      <c r="F462" s="6" t="str">
        <f t="shared" si="11"/>
        <v>TOR</v>
      </c>
      <c r="G462" s="7"/>
    </row>
    <row r="463" spans="3:7" x14ac:dyDescent="0.35">
      <c r="C463" s="6"/>
      <c r="D463" s="6" t="s">
        <v>417</v>
      </c>
      <c r="E463" s="6" t="s">
        <v>417</v>
      </c>
      <c r="F463" s="6" t="str">
        <f t="shared" si="11"/>
        <v>TOR</v>
      </c>
      <c r="G463" s="7"/>
    </row>
    <row r="464" spans="3:7" x14ac:dyDescent="0.35">
      <c r="C464" s="6"/>
      <c r="D464" s="6" t="s">
        <v>424</v>
      </c>
      <c r="E464" s="6" t="s">
        <v>424</v>
      </c>
      <c r="F464" s="6" t="str">
        <f t="shared" si="11"/>
        <v>TOR</v>
      </c>
      <c r="G464" s="7"/>
    </row>
    <row r="465" spans="3:7" x14ac:dyDescent="0.35">
      <c r="C465" s="6"/>
      <c r="D465" s="6" t="s">
        <v>426</v>
      </c>
      <c r="E465" s="6" t="s">
        <v>426</v>
      </c>
      <c r="F465" s="6" t="str">
        <f t="shared" si="11"/>
        <v>TOR</v>
      </c>
      <c r="G465" s="7"/>
    </row>
    <row r="466" spans="3:7" x14ac:dyDescent="0.35">
      <c r="C466" s="6"/>
      <c r="D466" s="6" t="s">
        <v>692</v>
      </c>
      <c r="E466" s="7" t="s">
        <v>692</v>
      </c>
      <c r="F466" s="6" t="str">
        <f t="shared" si="11"/>
        <v>TOR</v>
      </c>
      <c r="G466" s="7"/>
    </row>
    <row r="467" spans="3:7" x14ac:dyDescent="0.35">
      <c r="C467" s="6"/>
      <c r="D467" s="7" t="s">
        <v>740</v>
      </c>
      <c r="E467" s="7" t="s">
        <v>740</v>
      </c>
      <c r="F467" s="6" t="str">
        <f t="shared" si="11"/>
        <v>TOR</v>
      </c>
      <c r="G467" s="7"/>
    </row>
    <row r="468" spans="3:7" x14ac:dyDescent="0.35">
      <c r="C468" s="6"/>
      <c r="D468" s="6" t="s">
        <v>599</v>
      </c>
      <c r="E468" s="6" t="s">
        <v>495</v>
      </c>
      <c r="F468" s="6" t="str">
        <f t="shared" si="11"/>
        <v>UTA</v>
      </c>
      <c r="G468" s="7"/>
    </row>
    <row r="469" spans="3:7" x14ac:dyDescent="0.35">
      <c r="C469" s="6"/>
      <c r="D469" s="6" t="s">
        <v>90</v>
      </c>
      <c r="E469" s="6" t="s">
        <v>90</v>
      </c>
      <c r="F469" s="6" t="str">
        <f t="shared" si="11"/>
        <v>UTA</v>
      </c>
      <c r="G469" s="7"/>
    </row>
    <row r="470" spans="3:7" x14ac:dyDescent="0.35">
      <c r="C470" s="6"/>
      <c r="D470" s="6" t="s">
        <v>117</v>
      </c>
      <c r="E470" s="6" t="s">
        <v>117</v>
      </c>
      <c r="F470" s="6" t="str">
        <f t="shared" si="11"/>
        <v>UTA</v>
      </c>
      <c r="G470" s="7"/>
    </row>
    <row r="471" spans="3:7" x14ac:dyDescent="0.35">
      <c r="C471" s="6"/>
      <c r="D471" s="6" t="s">
        <v>124</v>
      </c>
      <c r="E471" s="6" t="s">
        <v>124</v>
      </c>
      <c r="F471" s="6" t="str">
        <f t="shared" si="11"/>
        <v>UTA</v>
      </c>
      <c r="G471" s="7"/>
    </row>
    <row r="472" spans="3:7" x14ac:dyDescent="0.35">
      <c r="C472" s="6"/>
      <c r="D472" s="6" t="s">
        <v>154</v>
      </c>
      <c r="E472" s="6" t="s">
        <v>154</v>
      </c>
      <c r="F472" s="6" t="str">
        <f t="shared" si="11"/>
        <v>UTA</v>
      </c>
      <c r="G472" s="7"/>
    </row>
    <row r="473" spans="3:7" x14ac:dyDescent="0.35">
      <c r="C473" s="6"/>
      <c r="D473" s="63" t="s">
        <v>175</v>
      </c>
      <c r="E473" s="6" t="s">
        <v>175</v>
      </c>
      <c r="F473" s="6" t="str">
        <f t="shared" si="11"/>
        <v>UTA</v>
      </c>
      <c r="G473" s="7"/>
    </row>
    <row r="474" spans="3:7" x14ac:dyDescent="0.35">
      <c r="C474" s="6"/>
      <c r="D474" s="6" t="s">
        <v>199</v>
      </c>
      <c r="E474" s="6" t="s">
        <v>199</v>
      </c>
      <c r="F474" s="6" t="str">
        <f t="shared" si="11"/>
        <v>UTA</v>
      </c>
      <c r="G474" s="7"/>
    </row>
    <row r="475" spans="3:7" x14ac:dyDescent="0.35">
      <c r="C475" s="6"/>
      <c r="D475" s="6" t="s">
        <v>228</v>
      </c>
      <c r="E475" s="6" t="s">
        <v>228</v>
      </c>
      <c r="F475" s="6" t="str">
        <f t="shared" si="11"/>
        <v>UTA</v>
      </c>
      <c r="G475" s="7"/>
    </row>
    <row r="476" spans="3:7" x14ac:dyDescent="0.35">
      <c r="C476" s="6"/>
      <c r="D476" s="6" t="s">
        <v>313</v>
      </c>
      <c r="E476" s="6" t="s">
        <v>313</v>
      </c>
      <c r="F476" s="6" t="str">
        <f t="shared" si="11"/>
        <v>UTA</v>
      </c>
      <c r="G476" s="7"/>
    </row>
    <row r="477" spans="3:7" x14ac:dyDescent="0.35">
      <c r="C477" s="6"/>
      <c r="D477" s="6" t="s">
        <v>319</v>
      </c>
      <c r="E477" s="6" t="s">
        <v>319</v>
      </c>
      <c r="F477" s="6" t="str">
        <f t="shared" si="11"/>
        <v>UTA</v>
      </c>
      <c r="G477" s="7"/>
    </row>
    <row r="478" spans="3:7" x14ac:dyDescent="0.35">
      <c r="C478" s="6"/>
      <c r="D478" s="6" t="s">
        <v>331</v>
      </c>
      <c r="E478" s="6" t="s">
        <v>331</v>
      </c>
      <c r="F478" s="6" t="str">
        <f t="shared" si="11"/>
        <v>UTA</v>
      </c>
      <c r="G478" s="7"/>
    </row>
    <row r="479" spans="3:7" x14ac:dyDescent="0.35">
      <c r="C479" s="6"/>
      <c r="D479" s="6" t="s">
        <v>336</v>
      </c>
      <c r="E479" s="6" t="s">
        <v>336</v>
      </c>
      <c r="F479" s="6" t="str">
        <f t="shared" si="11"/>
        <v>UTA</v>
      </c>
      <c r="G479" s="7"/>
    </row>
    <row r="480" spans="3:7" x14ac:dyDescent="0.35">
      <c r="C480" s="6"/>
      <c r="D480" s="6" t="s">
        <v>344</v>
      </c>
      <c r="E480" s="6" t="s">
        <v>344</v>
      </c>
      <c r="F480" s="6" t="str">
        <f t="shared" si="11"/>
        <v>UTA</v>
      </c>
      <c r="G480" s="7"/>
    </row>
    <row r="481" spans="3:7" x14ac:dyDescent="0.35">
      <c r="C481" s="6"/>
      <c r="D481" s="6" t="s">
        <v>683</v>
      </c>
      <c r="E481" s="7" t="s">
        <v>683</v>
      </c>
      <c r="F481" s="6" t="str">
        <f t="shared" si="11"/>
        <v>UTA</v>
      </c>
      <c r="G481" s="7"/>
    </row>
    <row r="482" spans="3:7" x14ac:dyDescent="0.35">
      <c r="C482" s="6"/>
      <c r="D482" s="7" t="s">
        <v>738</v>
      </c>
      <c r="E482" s="7" t="s">
        <v>738</v>
      </c>
      <c r="F482" s="6" t="str">
        <f t="shared" si="11"/>
        <v>UTA</v>
      </c>
      <c r="G482" s="7"/>
    </row>
    <row r="483" spans="3:7" x14ac:dyDescent="0.35">
      <c r="C483" s="6"/>
      <c r="D483" s="6" t="s">
        <v>698</v>
      </c>
      <c r="E483" s="7" t="s">
        <v>698</v>
      </c>
      <c r="F483" s="6" t="str">
        <f t="shared" si="11"/>
        <v>UTA</v>
      </c>
      <c r="G483" s="7"/>
    </row>
    <row r="484" spans="3:7" x14ac:dyDescent="0.35">
      <c r="C484" s="6"/>
      <c r="D484" s="6" t="s">
        <v>66</v>
      </c>
      <c r="E484" s="6" t="s">
        <v>66</v>
      </c>
      <c r="F484" s="6" t="str">
        <f t="shared" si="11"/>
        <v>WAS</v>
      </c>
      <c r="G484" s="7"/>
    </row>
    <row r="485" spans="3:7" x14ac:dyDescent="0.35">
      <c r="C485" s="6"/>
      <c r="D485" s="6" t="s">
        <v>597</v>
      </c>
      <c r="E485" s="6" t="s">
        <v>491</v>
      </c>
      <c r="F485" s="6" t="str">
        <f t="shared" si="11"/>
        <v>WAS</v>
      </c>
      <c r="G485" s="7"/>
    </row>
    <row r="486" spans="3:7" x14ac:dyDescent="0.35">
      <c r="C486" s="6"/>
      <c r="D486" s="6" t="s">
        <v>83</v>
      </c>
      <c r="E486" s="6" t="s">
        <v>83</v>
      </c>
      <c r="F486" s="6" t="str">
        <f t="shared" si="11"/>
        <v>WAS</v>
      </c>
      <c r="G486" s="7"/>
    </row>
    <row r="487" spans="3:7" x14ac:dyDescent="0.35">
      <c r="C487" s="6"/>
      <c r="D487" s="62" t="s">
        <v>636</v>
      </c>
      <c r="E487" s="6" t="s">
        <v>581</v>
      </c>
      <c r="F487" s="6" t="str">
        <f t="shared" si="11"/>
        <v>WAS</v>
      </c>
      <c r="G487" s="7"/>
    </row>
    <row r="488" spans="3:7" x14ac:dyDescent="0.35">
      <c r="C488" s="6"/>
      <c r="D488" s="6" t="s">
        <v>102</v>
      </c>
      <c r="E488" s="6" t="s">
        <v>102</v>
      </c>
      <c r="F488" s="6" t="str">
        <f t="shared" si="11"/>
        <v>WAS</v>
      </c>
      <c r="G488" s="7"/>
    </row>
    <row r="489" spans="3:7" x14ac:dyDescent="0.35">
      <c r="C489" s="6"/>
      <c r="D489" s="6" t="s">
        <v>190</v>
      </c>
      <c r="E489" s="6" t="s">
        <v>190</v>
      </c>
      <c r="F489" s="6" t="str">
        <f t="shared" si="11"/>
        <v>WAS</v>
      </c>
      <c r="G489" s="7"/>
    </row>
    <row r="490" spans="3:7" x14ac:dyDescent="0.35">
      <c r="C490" s="6"/>
      <c r="D490" s="6" t="s">
        <v>283</v>
      </c>
      <c r="E490" s="6" t="s">
        <v>283</v>
      </c>
      <c r="F490" s="6" t="str">
        <f t="shared" si="11"/>
        <v>WAS</v>
      </c>
      <c r="G490" s="7"/>
    </row>
    <row r="491" spans="3:7" x14ac:dyDescent="0.35">
      <c r="C491" s="6"/>
      <c r="D491" s="6" t="s">
        <v>295</v>
      </c>
      <c r="E491" s="6" t="s">
        <v>295</v>
      </c>
      <c r="F491" s="6" t="str">
        <f t="shared" si="11"/>
        <v>WAS</v>
      </c>
      <c r="G491" s="7"/>
    </row>
    <row r="492" spans="3:7" x14ac:dyDescent="0.35">
      <c r="C492" s="6"/>
      <c r="D492" s="6" t="s">
        <v>561</v>
      </c>
      <c r="E492" s="6" t="s">
        <v>588</v>
      </c>
      <c r="F492" s="6" t="str">
        <f t="shared" si="11"/>
        <v>WAS</v>
      </c>
      <c r="G492" s="7"/>
    </row>
    <row r="493" spans="3:7" x14ac:dyDescent="0.35">
      <c r="C493" s="6"/>
      <c r="D493" s="6" t="s">
        <v>615</v>
      </c>
      <c r="E493" s="6" t="s">
        <v>519</v>
      </c>
      <c r="F493" s="6" t="str">
        <f t="shared" si="11"/>
        <v>WAS</v>
      </c>
      <c r="G493" s="7"/>
    </row>
    <row r="494" spans="3:7" x14ac:dyDescent="0.35">
      <c r="C494" s="6"/>
      <c r="D494" s="63" t="s">
        <v>373</v>
      </c>
      <c r="E494" s="6" t="s">
        <v>373</v>
      </c>
      <c r="F494" s="6" t="str">
        <f t="shared" si="11"/>
        <v>WAS</v>
      </c>
      <c r="G494" s="7"/>
    </row>
    <row r="495" spans="3:7" x14ac:dyDescent="0.35">
      <c r="C495" s="6"/>
      <c r="D495" s="6" t="s">
        <v>394</v>
      </c>
      <c r="E495" s="6" t="s">
        <v>394</v>
      </c>
      <c r="F495" s="6" t="str">
        <f t="shared" si="11"/>
        <v>WAS</v>
      </c>
      <c r="G495" s="7"/>
    </row>
    <row r="496" spans="3:7" x14ac:dyDescent="0.35">
      <c r="C496" s="6"/>
      <c r="D496" s="6" t="s">
        <v>574</v>
      </c>
      <c r="E496" s="6" t="s">
        <v>593</v>
      </c>
      <c r="F496" s="6" t="str">
        <f t="shared" si="11"/>
        <v>WAS</v>
      </c>
      <c r="G496" s="7"/>
    </row>
    <row r="497" spans="3:7" x14ac:dyDescent="0.35">
      <c r="C497" s="6"/>
      <c r="D497" s="6" t="s">
        <v>427</v>
      </c>
      <c r="E497" s="6" t="s">
        <v>427</v>
      </c>
      <c r="F497" s="6" t="str">
        <f t="shared" si="11"/>
        <v>WAS</v>
      </c>
      <c r="G497" s="7"/>
    </row>
    <row r="498" spans="3:7" x14ac:dyDescent="0.35">
      <c r="C498" s="6"/>
      <c r="D498" s="30" t="s">
        <v>673</v>
      </c>
      <c r="E498" s="30" t="s">
        <v>673</v>
      </c>
      <c r="F498" s="6" t="str">
        <f t="shared" si="11"/>
        <v>WAS</v>
      </c>
      <c r="G498" s="7"/>
    </row>
    <row r="499" spans="3:7" x14ac:dyDescent="0.35">
      <c r="C499" s="6"/>
      <c r="D499" s="6" t="s">
        <v>693</v>
      </c>
      <c r="E499" s="7" t="s">
        <v>693</v>
      </c>
      <c r="F499" s="6" t="str">
        <f t="shared" si="11"/>
        <v>WAS</v>
      </c>
      <c r="G499" s="7"/>
    </row>
    <row r="500" spans="3:7" x14ac:dyDescent="0.35">
      <c r="C500" s="6"/>
      <c r="D500" s="7" t="s">
        <v>761</v>
      </c>
      <c r="E500" s="7" t="s">
        <v>761</v>
      </c>
      <c r="F500" s="6" t="str">
        <f t="shared" si="11"/>
        <v>WAS</v>
      </c>
      <c r="G500" s="7"/>
    </row>
  </sheetData>
  <sortState xmlns:xlrd2="http://schemas.microsoft.com/office/spreadsheetml/2017/richdata2" ref="D3:F500">
    <sortCondition ref="F7:F500"/>
  </sortState>
  <mergeCells count="2">
    <mergeCell ref="A1:B1"/>
    <mergeCell ref="D1:F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7949F-06F6-4C8F-8085-D1A2734A2C0E}">
  <sheetPr codeName="Sheet1"/>
  <dimension ref="A1:B624"/>
  <sheetViews>
    <sheetView zoomScale="63" workbookViewId="0">
      <selection activeCell="E6" sqref="E6"/>
    </sheetView>
  </sheetViews>
  <sheetFormatPr defaultRowHeight="14.5" x14ac:dyDescent="0.35"/>
  <cols>
    <col min="1" max="1" width="23.36328125" bestFit="1" customWidth="1"/>
    <col min="2" max="2" width="21.26953125" customWidth="1"/>
  </cols>
  <sheetData>
    <row r="1" spans="1:2" x14ac:dyDescent="0.35">
      <c r="A1" t="s">
        <v>0</v>
      </c>
      <c r="B1" t="s">
        <v>634</v>
      </c>
    </row>
    <row r="201" spans="1:2" x14ac:dyDescent="0.35">
      <c r="A201" t="s">
        <v>158</v>
      </c>
      <c r="B201" t="s">
        <v>635</v>
      </c>
    </row>
    <row r="202" spans="1:2" x14ac:dyDescent="0.35">
      <c r="A202" t="s">
        <v>159</v>
      </c>
      <c r="B202" t="s">
        <v>635</v>
      </c>
    </row>
    <row r="203" spans="1:2" x14ac:dyDescent="0.35">
      <c r="A203" t="s">
        <v>160</v>
      </c>
      <c r="B203" t="s">
        <v>635</v>
      </c>
    </row>
    <row r="204" spans="1:2" x14ac:dyDescent="0.35">
      <c r="A204" t="s">
        <v>161</v>
      </c>
      <c r="B204" t="s">
        <v>635</v>
      </c>
    </row>
    <row r="205" spans="1:2" x14ac:dyDescent="0.35">
      <c r="A205" t="s">
        <v>162</v>
      </c>
      <c r="B205" t="s">
        <v>635</v>
      </c>
    </row>
    <row r="206" spans="1:2" x14ac:dyDescent="0.35">
      <c r="A206" t="s">
        <v>546</v>
      </c>
      <c r="B206" t="s">
        <v>635</v>
      </c>
    </row>
    <row r="207" spans="1:2" x14ac:dyDescent="0.35">
      <c r="A207" t="s">
        <v>163</v>
      </c>
      <c r="B207" t="s">
        <v>635</v>
      </c>
    </row>
    <row r="208" spans="1:2" x14ac:dyDescent="0.35">
      <c r="A208" t="s">
        <v>164</v>
      </c>
      <c r="B208" t="s">
        <v>635</v>
      </c>
    </row>
    <row r="209" spans="1:2" x14ac:dyDescent="0.35">
      <c r="A209" t="s">
        <v>164</v>
      </c>
      <c r="B209" t="s">
        <v>635</v>
      </c>
    </row>
    <row r="210" spans="1:2" x14ac:dyDescent="0.35">
      <c r="A210" t="s">
        <v>164</v>
      </c>
      <c r="B210" t="s">
        <v>635</v>
      </c>
    </row>
    <row r="211" spans="1:2" x14ac:dyDescent="0.35">
      <c r="A211" t="s">
        <v>165</v>
      </c>
      <c r="B211" t="s">
        <v>635</v>
      </c>
    </row>
    <row r="212" spans="1:2" x14ac:dyDescent="0.35">
      <c r="A212" t="s">
        <v>166</v>
      </c>
      <c r="B212" t="s">
        <v>635</v>
      </c>
    </row>
    <row r="213" spans="1:2" x14ac:dyDescent="0.35">
      <c r="A213" t="s">
        <v>167</v>
      </c>
      <c r="B213" t="s">
        <v>635</v>
      </c>
    </row>
    <row r="214" spans="1:2" x14ac:dyDescent="0.35">
      <c r="A214" t="s">
        <v>168</v>
      </c>
      <c r="B214" t="s">
        <v>635</v>
      </c>
    </row>
    <row r="215" spans="1:2" x14ac:dyDescent="0.35">
      <c r="A215" t="s">
        <v>169</v>
      </c>
      <c r="B215" t="s">
        <v>635</v>
      </c>
    </row>
    <row r="216" spans="1:2" x14ac:dyDescent="0.35">
      <c r="A216" t="s">
        <v>170</v>
      </c>
      <c r="B216" t="s">
        <v>635</v>
      </c>
    </row>
    <row r="217" spans="1:2" x14ac:dyDescent="0.35">
      <c r="A217" t="s">
        <v>171</v>
      </c>
      <c r="B217" t="s">
        <v>635</v>
      </c>
    </row>
    <row r="218" spans="1:2" x14ac:dyDescent="0.35">
      <c r="A218" t="s">
        <v>172</v>
      </c>
      <c r="B218" t="s">
        <v>635</v>
      </c>
    </row>
    <row r="219" spans="1:2" x14ac:dyDescent="0.35">
      <c r="A219" t="s">
        <v>173</v>
      </c>
      <c r="B219" t="s">
        <v>635</v>
      </c>
    </row>
    <row r="220" spans="1:2" x14ac:dyDescent="0.35">
      <c r="A220" t="s">
        <v>174</v>
      </c>
      <c r="B220" t="s">
        <v>635</v>
      </c>
    </row>
    <row r="221" spans="1:2" x14ac:dyDescent="0.35">
      <c r="A221" t="s">
        <v>175</v>
      </c>
      <c r="B221" t="s">
        <v>635</v>
      </c>
    </row>
    <row r="222" spans="1:2" x14ac:dyDescent="0.35">
      <c r="A222" t="s">
        <v>176</v>
      </c>
      <c r="B222" t="s">
        <v>635</v>
      </c>
    </row>
    <row r="223" spans="1:2" x14ac:dyDescent="0.35">
      <c r="A223" t="s">
        <v>177</v>
      </c>
      <c r="B223" t="s">
        <v>635</v>
      </c>
    </row>
    <row r="224" spans="1:2" x14ac:dyDescent="0.35">
      <c r="A224" t="s">
        <v>178</v>
      </c>
      <c r="B224" t="s">
        <v>635</v>
      </c>
    </row>
    <row r="225" spans="1:2" x14ac:dyDescent="0.35">
      <c r="A225" t="s">
        <v>179</v>
      </c>
      <c r="B225" t="s">
        <v>635</v>
      </c>
    </row>
    <row r="226" spans="1:2" x14ac:dyDescent="0.35">
      <c r="A226" t="s">
        <v>180</v>
      </c>
      <c r="B226" t="s">
        <v>635</v>
      </c>
    </row>
    <row r="227" spans="1:2" x14ac:dyDescent="0.35">
      <c r="A227" t="s">
        <v>180</v>
      </c>
      <c r="B227" t="s">
        <v>635</v>
      </c>
    </row>
    <row r="228" spans="1:2" x14ac:dyDescent="0.35">
      <c r="A228" t="s">
        <v>180</v>
      </c>
      <c r="B228" t="s">
        <v>635</v>
      </c>
    </row>
    <row r="229" spans="1:2" x14ac:dyDescent="0.35">
      <c r="A229" t="s">
        <v>181</v>
      </c>
      <c r="B229" t="s">
        <v>635</v>
      </c>
    </row>
    <row r="230" spans="1:2" x14ac:dyDescent="0.35">
      <c r="A230" t="s">
        <v>547</v>
      </c>
      <c r="B230" t="s">
        <v>635</v>
      </c>
    </row>
    <row r="231" spans="1:2" x14ac:dyDescent="0.35">
      <c r="A231" t="s">
        <v>182</v>
      </c>
      <c r="B231" t="s">
        <v>635</v>
      </c>
    </row>
    <row r="232" spans="1:2" x14ac:dyDescent="0.35">
      <c r="A232" t="s">
        <v>183</v>
      </c>
      <c r="B232" t="s">
        <v>635</v>
      </c>
    </row>
    <row r="233" spans="1:2" x14ac:dyDescent="0.35">
      <c r="A233" t="s">
        <v>184</v>
      </c>
      <c r="B233" t="s">
        <v>635</v>
      </c>
    </row>
    <row r="234" spans="1:2" x14ac:dyDescent="0.35">
      <c r="A234" t="s">
        <v>185</v>
      </c>
      <c r="B234" t="s">
        <v>635</v>
      </c>
    </row>
    <row r="235" spans="1:2" x14ac:dyDescent="0.35">
      <c r="A235" t="s">
        <v>186</v>
      </c>
      <c r="B235" t="s">
        <v>635</v>
      </c>
    </row>
    <row r="236" spans="1:2" x14ac:dyDescent="0.35">
      <c r="A236" t="s">
        <v>186</v>
      </c>
      <c r="B236" t="s">
        <v>635</v>
      </c>
    </row>
    <row r="237" spans="1:2" x14ac:dyDescent="0.35">
      <c r="A237" t="s">
        <v>186</v>
      </c>
      <c r="B237" t="s">
        <v>635</v>
      </c>
    </row>
    <row r="238" spans="1:2" x14ac:dyDescent="0.35">
      <c r="A238" t="s">
        <v>187</v>
      </c>
      <c r="B238" t="s">
        <v>635</v>
      </c>
    </row>
    <row r="239" spans="1:2" x14ac:dyDescent="0.35">
      <c r="A239" t="s">
        <v>188</v>
      </c>
      <c r="B239" t="s">
        <v>635</v>
      </c>
    </row>
    <row r="240" spans="1:2" x14ac:dyDescent="0.35">
      <c r="A240" t="s">
        <v>189</v>
      </c>
      <c r="B240" t="s">
        <v>635</v>
      </c>
    </row>
    <row r="241" spans="1:2" x14ac:dyDescent="0.35">
      <c r="A241" t="s">
        <v>190</v>
      </c>
      <c r="B241" t="s">
        <v>635</v>
      </c>
    </row>
    <row r="242" spans="1:2" x14ac:dyDescent="0.35">
      <c r="A242" t="s">
        <v>548</v>
      </c>
      <c r="B242" t="s">
        <v>635</v>
      </c>
    </row>
    <row r="243" spans="1:2" x14ac:dyDescent="0.35">
      <c r="A243" t="s">
        <v>463</v>
      </c>
      <c r="B243" t="s">
        <v>635</v>
      </c>
    </row>
    <row r="244" spans="1:2" x14ac:dyDescent="0.35">
      <c r="A244" t="s">
        <v>549</v>
      </c>
      <c r="B244" t="s">
        <v>635</v>
      </c>
    </row>
    <row r="245" spans="1:2" x14ac:dyDescent="0.35">
      <c r="A245" t="s">
        <v>191</v>
      </c>
      <c r="B245" t="s">
        <v>635</v>
      </c>
    </row>
    <row r="246" spans="1:2" x14ac:dyDescent="0.35">
      <c r="A246" t="s">
        <v>192</v>
      </c>
      <c r="B246" t="s">
        <v>635</v>
      </c>
    </row>
    <row r="247" spans="1:2" x14ac:dyDescent="0.35">
      <c r="A247" t="s">
        <v>193</v>
      </c>
      <c r="B247" t="s">
        <v>635</v>
      </c>
    </row>
    <row r="248" spans="1:2" x14ac:dyDescent="0.35">
      <c r="A248" t="s">
        <v>193</v>
      </c>
      <c r="B248" t="s">
        <v>635</v>
      </c>
    </row>
    <row r="249" spans="1:2" x14ac:dyDescent="0.35">
      <c r="A249" t="s">
        <v>193</v>
      </c>
      <c r="B249" t="s">
        <v>635</v>
      </c>
    </row>
    <row r="250" spans="1:2" x14ac:dyDescent="0.35">
      <c r="A250" t="s">
        <v>194</v>
      </c>
      <c r="B250" t="s">
        <v>635</v>
      </c>
    </row>
    <row r="251" spans="1:2" x14ac:dyDescent="0.35">
      <c r="A251" t="s">
        <v>195</v>
      </c>
      <c r="B251" t="s">
        <v>635</v>
      </c>
    </row>
    <row r="252" spans="1:2" x14ac:dyDescent="0.35">
      <c r="A252" t="s">
        <v>196</v>
      </c>
      <c r="B252" t="s">
        <v>635</v>
      </c>
    </row>
    <row r="253" spans="1:2" x14ac:dyDescent="0.35">
      <c r="A253" t="s">
        <v>197</v>
      </c>
      <c r="B253" t="s">
        <v>635</v>
      </c>
    </row>
    <row r="254" spans="1:2" x14ac:dyDescent="0.35">
      <c r="A254" t="s">
        <v>198</v>
      </c>
      <c r="B254" t="s">
        <v>635</v>
      </c>
    </row>
    <row r="255" spans="1:2" x14ac:dyDescent="0.35">
      <c r="A255" t="s">
        <v>199</v>
      </c>
      <c r="B255" t="s">
        <v>635</v>
      </c>
    </row>
    <row r="256" spans="1:2" x14ac:dyDescent="0.35">
      <c r="A256" t="s">
        <v>200</v>
      </c>
      <c r="B256" t="s">
        <v>635</v>
      </c>
    </row>
    <row r="257" spans="1:2" x14ac:dyDescent="0.35">
      <c r="A257" t="s">
        <v>201</v>
      </c>
      <c r="B257" t="s">
        <v>635</v>
      </c>
    </row>
    <row r="258" spans="1:2" x14ac:dyDescent="0.35">
      <c r="A258" t="s">
        <v>202</v>
      </c>
      <c r="B258" t="s">
        <v>635</v>
      </c>
    </row>
    <row r="259" spans="1:2" x14ac:dyDescent="0.35">
      <c r="A259" t="s">
        <v>203</v>
      </c>
      <c r="B259" t="s">
        <v>635</v>
      </c>
    </row>
    <row r="260" spans="1:2" x14ac:dyDescent="0.35">
      <c r="A260" t="s">
        <v>204</v>
      </c>
      <c r="B260" t="s">
        <v>635</v>
      </c>
    </row>
    <row r="261" spans="1:2" x14ac:dyDescent="0.35">
      <c r="A261" t="s">
        <v>205</v>
      </c>
      <c r="B261" t="s">
        <v>635</v>
      </c>
    </row>
    <row r="262" spans="1:2" x14ac:dyDescent="0.35">
      <c r="A262" t="s">
        <v>205</v>
      </c>
      <c r="B262" t="s">
        <v>635</v>
      </c>
    </row>
    <row r="263" spans="1:2" x14ac:dyDescent="0.35">
      <c r="A263" t="s">
        <v>205</v>
      </c>
      <c r="B263" t="s">
        <v>635</v>
      </c>
    </row>
    <row r="264" spans="1:2" x14ac:dyDescent="0.35">
      <c r="A264" t="s">
        <v>206</v>
      </c>
      <c r="B264" t="s">
        <v>635</v>
      </c>
    </row>
    <row r="265" spans="1:2" x14ac:dyDescent="0.35">
      <c r="A265" t="s">
        <v>605</v>
      </c>
      <c r="B265" t="s">
        <v>635</v>
      </c>
    </row>
    <row r="266" spans="1:2" x14ac:dyDescent="0.35">
      <c r="A266" t="s">
        <v>605</v>
      </c>
      <c r="B266" t="s">
        <v>635</v>
      </c>
    </row>
    <row r="267" spans="1:2" x14ac:dyDescent="0.35">
      <c r="A267" t="s">
        <v>605</v>
      </c>
      <c r="B267" t="s">
        <v>635</v>
      </c>
    </row>
    <row r="268" spans="1:2" x14ac:dyDescent="0.35">
      <c r="A268" t="s">
        <v>606</v>
      </c>
      <c r="B268" t="s">
        <v>635</v>
      </c>
    </row>
    <row r="269" spans="1:2" x14ac:dyDescent="0.35">
      <c r="A269" t="s">
        <v>207</v>
      </c>
      <c r="B269" t="s">
        <v>635</v>
      </c>
    </row>
    <row r="270" spans="1:2" x14ac:dyDescent="0.35">
      <c r="A270" t="s">
        <v>208</v>
      </c>
      <c r="B270" t="s">
        <v>635</v>
      </c>
    </row>
    <row r="271" spans="1:2" x14ac:dyDescent="0.35">
      <c r="A271" t="s">
        <v>209</v>
      </c>
      <c r="B271" t="s">
        <v>635</v>
      </c>
    </row>
    <row r="272" spans="1:2" x14ac:dyDescent="0.35">
      <c r="A272" t="s">
        <v>210</v>
      </c>
      <c r="B272" t="s">
        <v>635</v>
      </c>
    </row>
    <row r="273" spans="1:2" x14ac:dyDescent="0.35">
      <c r="A273" t="s">
        <v>211</v>
      </c>
      <c r="B273" t="s">
        <v>635</v>
      </c>
    </row>
    <row r="274" spans="1:2" x14ac:dyDescent="0.35">
      <c r="A274" t="s">
        <v>212</v>
      </c>
      <c r="B274" t="s">
        <v>635</v>
      </c>
    </row>
    <row r="275" spans="1:2" x14ac:dyDescent="0.35">
      <c r="A275" t="s">
        <v>212</v>
      </c>
      <c r="B275" t="s">
        <v>635</v>
      </c>
    </row>
    <row r="276" spans="1:2" x14ac:dyDescent="0.35">
      <c r="A276" t="s">
        <v>212</v>
      </c>
      <c r="B276" t="s">
        <v>635</v>
      </c>
    </row>
    <row r="277" spans="1:2" x14ac:dyDescent="0.35">
      <c r="A277" t="s">
        <v>213</v>
      </c>
      <c r="B277" t="s">
        <v>635</v>
      </c>
    </row>
    <row r="278" spans="1:2" x14ac:dyDescent="0.35">
      <c r="A278" t="s">
        <v>214</v>
      </c>
      <c r="B278" t="s">
        <v>635</v>
      </c>
    </row>
    <row r="279" spans="1:2" x14ac:dyDescent="0.35">
      <c r="A279" t="s">
        <v>215</v>
      </c>
      <c r="B279" t="s">
        <v>635</v>
      </c>
    </row>
    <row r="280" spans="1:2" x14ac:dyDescent="0.35">
      <c r="A280" t="s">
        <v>216</v>
      </c>
      <c r="B280" t="s">
        <v>635</v>
      </c>
    </row>
    <row r="281" spans="1:2" x14ac:dyDescent="0.35">
      <c r="A281" t="s">
        <v>217</v>
      </c>
      <c r="B281" t="s">
        <v>635</v>
      </c>
    </row>
    <row r="282" spans="1:2" x14ac:dyDescent="0.35">
      <c r="A282" t="s">
        <v>218</v>
      </c>
      <c r="B282" t="s">
        <v>635</v>
      </c>
    </row>
    <row r="283" spans="1:2" x14ac:dyDescent="0.35">
      <c r="A283" t="s">
        <v>219</v>
      </c>
      <c r="B283" t="s">
        <v>635</v>
      </c>
    </row>
    <row r="284" spans="1:2" x14ac:dyDescent="0.35">
      <c r="A284" t="s">
        <v>220</v>
      </c>
      <c r="B284" t="s">
        <v>635</v>
      </c>
    </row>
    <row r="285" spans="1:2" x14ac:dyDescent="0.35">
      <c r="A285" t="s">
        <v>221</v>
      </c>
      <c r="B285" t="s">
        <v>635</v>
      </c>
    </row>
    <row r="286" spans="1:2" x14ac:dyDescent="0.35">
      <c r="A286" t="s">
        <v>222</v>
      </c>
      <c r="B286" t="s">
        <v>635</v>
      </c>
    </row>
    <row r="287" spans="1:2" x14ac:dyDescent="0.35">
      <c r="A287" t="s">
        <v>223</v>
      </c>
      <c r="B287" t="s">
        <v>635</v>
      </c>
    </row>
    <row r="288" spans="1:2" x14ac:dyDescent="0.35">
      <c r="A288" t="s">
        <v>450</v>
      </c>
      <c r="B288" t="s">
        <v>635</v>
      </c>
    </row>
    <row r="289" spans="1:2" x14ac:dyDescent="0.35">
      <c r="A289" t="s">
        <v>224</v>
      </c>
      <c r="B289" t="s">
        <v>635</v>
      </c>
    </row>
    <row r="290" spans="1:2" x14ac:dyDescent="0.35">
      <c r="A290" t="s">
        <v>225</v>
      </c>
      <c r="B290" t="s">
        <v>635</v>
      </c>
    </row>
    <row r="291" spans="1:2" x14ac:dyDescent="0.35">
      <c r="A291" t="s">
        <v>226</v>
      </c>
      <c r="B291" t="s">
        <v>635</v>
      </c>
    </row>
    <row r="292" spans="1:2" x14ac:dyDescent="0.35">
      <c r="A292" t="s">
        <v>227</v>
      </c>
      <c r="B292" t="s">
        <v>635</v>
      </c>
    </row>
    <row r="293" spans="1:2" x14ac:dyDescent="0.35">
      <c r="A293" t="s">
        <v>451</v>
      </c>
      <c r="B293" t="s">
        <v>635</v>
      </c>
    </row>
    <row r="294" spans="1:2" x14ac:dyDescent="0.35">
      <c r="A294" t="s">
        <v>607</v>
      </c>
      <c r="B294" t="s">
        <v>635</v>
      </c>
    </row>
    <row r="295" spans="1:2" x14ac:dyDescent="0.35">
      <c r="A295" t="s">
        <v>228</v>
      </c>
      <c r="B295" t="s">
        <v>635</v>
      </c>
    </row>
    <row r="296" spans="1:2" x14ac:dyDescent="0.35">
      <c r="A296" t="s">
        <v>229</v>
      </c>
      <c r="B296" t="s">
        <v>635</v>
      </c>
    </row>
    <row r="297" spans="1:2" x14ac:dyDescent="0.35">
      <c r="A297" t="s">
        <v>230</v>
      </c>
      <c r="B297" t="s">
        <v>635</v>
      </c>
    </row>
    <row r="298" spans="1:2" x14ac:dyDescent="0.35">
      <c r="A298" t="s">
        <v>231</v>
      </c>
      <c r="B298" t="s">
        <v>635</v>
      </c>
    </row>
    <row r="299" spans="1:2" x14ac:dyDescent="0.35">
      <c r="A299" t="s">
        <v>232</v>
      </c>
      <c r="B299" t="s">
        <v>635</v>
      </c>
    </row>
    <row r="300" spans="1:2" x14ac:dyDescent="0.35">
      <c r="A300" t="s">
        <v>233</v>
      </c>
      <c r="B300" t="s">
        <v>635</v>
      </c>
    </row>
    <row r="301" spans="1:2" x14ac:dyDescent="0.35">
      <c r="A301" t="s">
        <v>234</v>
      </c>
      <c r="B301" t="s">
        <v>635</v>
      </c>
    </row>
    <row r="302" spans="1:2" x14ac:dyDescent="0.35">
      <c r="A302" t="s">
        <v>452</v>
      </c>
      <c r="B302" t="s">
        <v>635</v>
      </c>
    </row>
    <row r="303" spans="1:2" x14ac:dyDescent="0.35">
      <c r="A303" t="s">
        <v>235</v>
      </c>
      <c r="B303" t="s">
        <v>635</v>
      </c>
    </row>
    <row r="304" spans="1:2" x14ac:dyDescent="0.35">
      <c r="A304" t="s">
        <v>236</v>
      </c>
      <c r="B304" t="s">
        <v>635</v>
      </c>
    </row>
    <row r="305" spans="1:2" x14ac:dyDescent="0.35">
      <c r="A305" t="s">
        <v>236</v>
      </c>
      <c r="B305" t="s">
        <v>635</v>
      </c>
    </row>
    <row r="306" spans="1:2" x14ac:dyDescent="0.35">
      <c r="A306" t="s">
        <v>236</v>
      </c>
      <c r="B306" t="s">
        <v>635</v>
      </c>
    </row>
    <row r="307" spans="1:2" x14ac:dyDescent="0.35">
      <c r="A307" t="s">
        <v>237</v>
      </c>
      <c r="B307" t="s">
        <v>635</v>
      </c>
    </row>
    <row r="308" spans="1:2" x14ac:dyDescent="0.35">
      <c r="A308" t="s">
        <v>238</v>
      </c>
      <c r="B308" t="s">
        <v>635</v>
      </c>
    </row>
    <row r="309" spans="1:2" x14ac:dyDescent="0.35">
      <c r="A309" t="s">
        <v>550</v>
      </c>
      <c r="B309" t="s">
        <v>635</v>
      </c>
    </row>
    <row r="310" spans="1:2" x14ac:dyDescent="0.35">
      <c r="A310" t="s">
        <v>239</v>
      </c>
      <c r="B310" t="s">
        <v>635</v>
      </c>
    </row>
    <row r="311" spans="1:2" x14ac:dyDescent="0.35">
      <c r="A311" t="s">
        <v>240</v>
      </c>
      <c r="B311" t="s">
        <v>635</v>
      </c>
    </row>
    <row r="312" spans="1:2" x14ac:dyDescent="0.35">
      <c r="A312" t="s">
        <v>241</v>
      </c>
      <c r="B312" t="s">
        <v>635</v>
      </c>
    </row>
    <row r="313" spans="1:2" x14ac:dyDescent="0.35">
      <c r="A313" t="s">
        <v>242</v>
      </c>
      <c r="B313" t="s">
        <v>635</v>
      </c>
    </row>
    <row r="314" spans="1:2" x14ac:dyDescent="0.35">
      <c r="A314" t="s">
        <v>243</v>
      </c>
      <c r="B314" t="s">
        <v>635</v>
      </c>
    </row>
    <row r="315" spans="1:2" x14ac:dyDescent="0.35">
      <c r="A315" t="s">
        <v>244</v>
      </c>
      <c r="B315" t="s">
        <v>635</v>
      </c>
    </row>
    <row r="316" spans="1:2" x14ac:dyDescent="0.35">
      <c r="A316" t="s">
        <v>244</v>
      </c>
      <c r="B316" t="s">
        <v>635</v>
      </c>
    </row>
    <row r="317" spans="1:2" x14ac:dyDescent="0.35">
      <c r="A317" t="s">
        <v>244</v>
      </c>
      <c r="B317" t="s">
        <v>635</v>
      </c>
    </row>
    <row r="318" spans="1:2" x14ac:dyDescent="0.35">
      <c r="A318" t="s">
        <v>245</v>
      </c>
      <c r="B318" t="s">
        <v>635</v>
      </c>
    </row>
    <row r="319" spans="1:2" x14ac:dyDescent="0.35">
      <c r="A319" t="s">
        <v>246</v>
      </c>
      <c r="B319" t="s">
        <v>635</v>
      </c>
    </row>
    <row r="320" spans="1:2" x14ac:dyDescent="0.35">
      <c r="A320" t="s">
        <v>551</v>
      </c>
      <c r="B320" t="s">
        <v>635</v>
      </c>
    </row>
    <row r="321" spans="1:2" x14ac:dyDescent="0.35">
      <c r="A321" t="s">
        <v>608</v>
      </c>
      <c r="B321" t="s">
        <v>635</v>
      </c>
    </row>
    <row r="322" spans="1:2" x14ac:dyDescent="0.35">
      <c r="A322" t="s">
        <v>247</v>
      </c>
      <c r="B322" t="s">
        <v>635</v>
      </c>
    </row>
    <row r="323" spans="1:2" x14ac:dyDescent="0.35">
      <c r="A323" t="s">
        <v>248</v>
      </c>
      <c r="B323" t="s">
        <v>635</v>
      </c>
    </row>
    <row r="324" spans="1:2" x14ac:dyDescent="0.35">
      <c r="A324" t="s">
        <v>249</v>
      </c>
      <c r="B324" t="s">
        <v>635</v>
      </c>
    </row>
    <row r="325" spans="1:2" x14ac:dyDescent="0.35">
      <c r="A325" t="s">
        <v>250</v>
      </c>
      <c r="B325" t="s">
        <v>635</v>
      </c>
    </row>
    <row r="326" spans="1:2" x14ac:dyDescent="0.35">
      <c r="A326" t="s">
        <v>251</v>
      </c>
      <c r="B326" t="s">
        <v>635</v>
      </c>
    </row>
    <row r="327" spans="1:2" x14ac:dyDescent="0.35">
      <c r="A327" t="s">
        <v>252</v>
      </c>
      <c r="B327" t="s">
        <v>635</v>
      </c>
    </row>
    <row r="328" spans="1:2" x14ac:dyDescent="0.35">
      <c r="A328" t="s">
        <v>253</v>
      </c>
      <c r="B328" t="s">
        <v>635</v>
      </c>
    </row>
    <row r="329" spans="1:2" x14ac:dyDescent="0.35">
      <c r="A329" t="s">
        <v>254</v>
      </c>
      <c r="B329" t="s">
        <v>635</v>
      </c>
    </row>
    <row r="330" spans="1:2" x14ac:dyDescent="0.35">
      <c r="A330" t="s">
        <v>255</v>
      </c>
      <c r="B330" t="s">
        <v>635</v>
      </c>
    </row>
    <row r="331" spans="1:2" x14ac:dyDescent="0.35">
      <c r="A331" t="s">
        <v>552</v>
      </c>
      <c r="B331" t="s">
        <v>635</v>
      </c>
    </row>
    <row r="332" spans="1:2" x14ac:dyDescent="0.35">
      <c r="A332" t="s">
        <v>256</v>
      </c>
      <c r="B332" t="s">
        <v>635</v>
      </c>
    </row>
    <row r="333" spans="1:2" x14ac:dyDescent="0.35">
      <c r="A333" t="s">
        <v>256</v>
      </c>
      <c r="B333" t="s">
        <v>635</v>
      </c>
    </row>
    <row r="334" spans="1:2" x14ac:dyDescent="0.35">
      <c r="A334" t="s">
        <v>256</v>
      </c>
      <c r="B334" t="s">
        <v>635</v>
      </c>
    </row>
    <row r="335" spans="1:2" x14ac:dyDescent="0.35">
      <c r="A335" t="s">
        <v>257</v>
      </c>
      <c r="B335" t="s">
        <v>635</v>
      </c>
    </row>
    <row r="336" spans="1:2" x14ac:dyDescent="0.35">
      <c r="A336" t="s">
        <v>258</v>
      </c>
      <c r="B336" t="s">
        <v>635</v>
      </c>
    </row>
    <row r="337" spans="1:2" x14ac:dyDescent="0.35">
      <c r="A337" t="s">
        <v>259</v>
      </c>
      <c r="B337" t="s">
        <v>635</v>
      </c>
    </row>
    <row r="338" spans="1:2" x14ac:dyDescent="0.35">
      <c r="A338" t="s">
        <v>259</v>
      </c>
      <c r="B338" t="s">
        <v>635</v>
      </c>
    </row>
    <row r="339" spans="1:2" x14ac:dyDescent="0.35">
      <c r="A339" t="s">
        <v>259</v>
      </c>
      <c r="B339" t="s">
        <v>635</v>
      </c>
    </row>
    <row r="340" spans="1:2" x14ac:dyDescent="0.35">
      <c r="A340" t="s">
        <v>260</v>
      </c>
      <c r="B340" t="s">
        <v>635</v>
      </c>
    </row>
    <row r="341" spans="1:2" x14ac:dyDescent="0.35">
      <c r="A341" t="s">
        <v>261</v>
      </c>
      <c r="B341" t="s">
        <v>635</v>
      </c>
    </row>
    <row r="342" spans="1:2" x14ac:dyDescent="0.35">
      <c r="A342" t="s">
        <v>262</v>
      </c>
      <c r="B342" t="s">
        <v>635</v>
      </c>
    </row>
    <row r="343" spans="1:2" x14ac:dyDescent="0.35">
      <c r="A343" t="s">
        <v>263</v>
      </c>
      <c r="B343" t="s">
        <v>635</v>
      </c>
    </row>
    <row r="344" spans="1:2" x14ac:dyDescent="0.35">
      <c r="A344" t="s">
        <v>264</v>
      </c>
      <c r="B344" t="s">
        <v>635</v>
      </c>
    </row>
    <row r="345" spans="1:2" x14ac:dyDescent="0.35">
      <c r="A345" t="s">
        <v>265</v>
      </c>
      <c r="B345" t="s">
        <v>635</v>
      </c>
    </row>
    <row r="346" spans="1:2" x14ac:dyDescent="0.35">
      <c r="A346" t="s">
        <v>266</v>
      </c>
      <c r="B346" t="s">
        <v>635</v>
      </c>
    </row>
    <row r="347" spans="1:2" x14ac:dyDescent="0.35">
      <c r="A347" t="s">
        <v>609</v>
      </c>
      <c r="B347" t="s">
        <v>635</v>
      </c>
    </row>
    <row r="348" spans="1:2" x14ac:dyDescent="0.35">
      <c r="A348" t="s">
        <v>267</v>
      </c>
      <c r="B348" t="s">
        <v>635</v>
      </c>
    </row>
    <row r="349" spans="1:2" x14ac:dyDescent="0.35">
      <c r="A349" t="s">
        <v>268</v>
      </c>
      <c r="B349" t="s">
        <v>635</v>
      </c>
    </row>
    <row r="350" spans="1:2" x14ac:dyDescent="0.35">
      <c r="A350" t="s">
        <v>269</v>
      </c>
      <c r="B350" t="s">
        <v>635</v>
      </c>
    </row>
    <row r="351" spans="1:2" x14ac:dyDescent="0.35">
      <c r="A351" t="s">
        <v>449</v>
      </c>
      <c r="B351" t="s">
        <v>635</v>
      </c>
    </row>
    <row r="352" spans="1:2" x14ac:dyDescent="0.35">
      <c r="A352" t="s">
        <v>270</v>
      </c>
      <c r="B352" t="s">
        <v>635</v>
      </c>
    </row>
    <row r="353" spans="1:2" x14ac:dyDescent="0.35">
      <c r="A353" t="s">
        <v>271</v>
      </c>
      <c r="B353" t="s">
        <v>635</v>
      </c>
    </row>
    <row r="354" spans="1:2" x14ac:dyDescent="0.35">
      <c r="A354" t="s">
        <v>272</v>
      </c>
      <c r="B354" t="s">
        <v>635</v>
      </c>
    </row>
    <row r="355" spans="1:2" x14ac:dyDescent="0.35">
      <c r="A355" t="s">
        <v>273</v>
      </c>
      <c r="B355" t="s">
        <v>635</v>
      </c>
    </row>
    <row r="356" spans="1:2" x14ac:dyDescent="0.35">
      <c r="A356" t="s">
        <v>274</v>
      </c>
      <c r="B356" t="s">
        <v>635</v>
      </c>
    </row>
    <row r="357" spans="1:2" x14ac:dyDescent="0.35">
      <c r="A357" t="s">
        <v>275</v>
      </c>
      <c r="B357" t="s">
        <v>635</v>
      </c>
    </row>
    <row r="358" spans="1:2" x14ac:dyDescent="0.35">
      <c r="A358" t="s">
        <v>275</v>
      </c>
      <c r="B358" t="s">
        <v>635</v>
      </c>
    </row>
    <row r="359" spans="1:2" x14ac:dyDescent="0.35">
      <c r="A359" t="s">
        <v>275</v>
      </c>
      <c r="B359" t="s">
        <v>635</v>
      </c>
    </row>
    <row r="360" spans="1:2" x14ac:dyDescent="0.35">
      <c r="A360" t="s">
        <v>276</v>
      </c>
      <c r="B360" t="s">
        <v>635</v>
      </c>
    </row>
    <row r="361" spans="1:2" x14ac:dyDescent="0.35">
      <c r="A361" t="s">
        <v>277</v>
      </c>
      <c r="B361" t="s">
        <v>635</v>
      </c>
    </row>
    <row r="362" spans="1:2" x14ac:dyDescent="0.35">
      <c r="A362" t="s">
        <v>278</v>
      </c>
      <c r="B362" t="s">
        <v>635</v>
      </c>
    </row>
    <row r="363" spans="1:2" x14ac:dyDescent="0.35">
      <c r="A363" t="s">
        <v>279</v>
      </c>
      <c r="B363" t="s">
        <v>635</v>
      </c>
    </row>
    <row r="364" spans="1:2" x14ac:dyDescent="0.35">
      <c r="A364" t="s">
        <v>280</v>
      </c>
      <c r="B364" t="s">
        <v>635</v>
      </c>
    </row>
    <row r="365" spans="1:2" x14ac:dyDescent="0.35">
      <c r="A365" t="s">
        <v>281</v>
      </c>
      <c r="B365" t="s">
        <v>635</v>
      </c>
    </row>
    <row r="366" spans="1:2" x14ac:dyDescent="0.35">
      <c r="A366" t="s">
        <v>282</v>
      </c>
      <c r="B366" t="s">
        <v>635</v>
      </c>
    </row>
    <row r="367" spans="1:2" x14ac:dyDescent="0.35">
      <c r="A367" t="s">
        <v>283</v>
      </c>
      <c r="B367" t="s">
        <v>635</v>
      </c>
    </row>
    <row r="368" spans="1:2" x14ac:dyDescent="0.35">
      <c r="A368" t="s">
        <v>284</v>
      </c>
      <c r="B368" t="s">
        <v>635</v>
      </c>
    </row>
    <row r="369" spans="1:2" x14ac:dyDescent="0.35">
      <c r="A369" t="s">
        <v>285</v>
      </c>
      <c r="B369" t="s">
        <v>635</v>
      </c>
    </row>
    <row r="370" spans="1:2" x14ac:dyDescent="0.35">
      <c r="A370" t="s">
        <v>610</v>
      </c>
      <c r="B370" t="s">
        <v>635</v>
      </c>
    </row>
    <row r="371" spans="1:2" x14ac:dyDescent="0.35">
      <c r="A371" t="s">
        <v>286</v>
      </c>
      <c r="B371" t="s">
        <v>635</v>
      </c>
    </row>
    <row r="372" spans="1:2" x14ac:dyDescent="0.35">
      <c r="A372" t="s">
        <v>553</v>
      </c>
      <c r="B372" t="s">
        <v>635</v>
      </c>
    </row>
    <row r="373" spans="1:2" x14ac:dyDescent="0.35">
      <c r="A373" t="s">
        <v>554</v>
      </c>
      <c r="B373" t="s">
        <v>635</v>
      </c>
    </row>
    <row r="374" spans="1:2" x14ac:dyDescent="0.35">
      <c r="A374" t="s">
        <v>555</v>
      </c>
      <c r="B374" t="s">
        <v>635</v>
      </c>
    </row>
    <row r="375" spans="1:2" x14ac:dyDescent="0.35">
      <c r="A375" t="s">
        <v>287</v>
      </c>
      <c r="B375" t="s">
        <v>635</v>
      </c>
    </row>
    <row r="376" spans="1:2" x14ac:dyDescent="0.35">
      <c r="A376" t="s">
        <v>288</v>
      </c>
      <c r="B376" t="s">
        <v>635</v>
      </c>
    </row>
    <row r="377" spans="1:2" x14ac:dyDescent="0.35">
      <c r="A377" t="s">
        <v>289</v>
      </c>
      <c r="B377" t="s">
        <v>635</v>
      </c>
    </row>
    <row r="378" spans="1:2" x14ac:dyDescent="0.35">
      <c r="A378" t="s">
        <v>611</v>
      </c>
      <c r="B378" t="s">
        <v>635</v>
      </c>
    </row>
    <row r="379" spans="1:2" x14ac:dyDescent="0.35">
      <c r="A379" t="s">
        <v>290</v>
      </c>
      <c r="B379" t="s">
        <v>635</v>
      </c>
    </row>
    <row r="380" spans="1:2" x14ac:dyDescent="0.35">
      <c r="A380" t="s">
        <v>291</v>
      </c>
      <c r="B380" t="s">
        <v>635</v>
      </c>
    </row>
    <row r="381" spans="1:2" x14ac:dyDescent="0.35">
      <c r="A381" t="s">
        <v>292</v>
      </c>
      <c r="B381" t="s">
        <v>635</v>
      </c>
    </row>
    <row r="382" spans="1:2" x14ac:dyDescent="0.35">
      <c r="A382" t="s">
        <v>453</v>
      </c>
      <c r="B382" t="s">
        <v>635</v>
      </c>
    </row>
    <row r="383" spans="1:2" x14ac:dyDescent="0.35">
      <c r="A383" t="s">
        <v>293</v>
      </c>
      <c r="B383" t="s">
        <v>635</v>
      </c>
    </row>
    <row r="384" spans="1:2" x14ac:dyDescent="0.35">
      <c r="A384" t="s">
        <v>294</v>
      </c>
      <c r="B384" t="s">
        <v>635</v>
      </c>
    </row>
    <row r="385" spans="1:2" x14ac:dyDescent="0.35">
      <c r="A385" t="s">
        <v>295</v>
      </c>
      <c r="B385" t="s">
        <v>635</v>
      </c>
    </row>
    <row r="386" spans="1:2" x14ac:dyDescent="0.35">
      <c r="A386" t="s">
        <v>296</v>
      </c>
      <c r="B386" t="s">
        <v>635</v>
      </c>
    </row>
    <row r="387" spans="1:2" x14ac:dyDescent="0.35">
      <c r="A387" t="s">
        <v>297</v>
      </c>
      <c r="B387" t="s">
        <v>635</v>
      </c>
    </row>
    <row r="388" spans="1:2" x14ac:dyDescent="0.35">
      <c r="A388" t="s">
        <v>612</v>
      </c>
      <c r="B388" t="s">
        <v>635</v>
      </c>
    </row>
    <row r="389" spans="1:2" x14ac:dyDescent="0.35">
      <c r="A389" t="s">
        <v>298</v>
      </c>
      <c r="B389" t="s">
        <v>635</v>
      </c>
    </row>
    <row r="390" spans="1:2" x14ac:dyDescent="0.35">
      <c r="A390" t="s">
        <v>299</v>
      </c>
      <c r="B390" t="s">
        <v>635</v>
      </c>
    </row>
    <row r="391" spans="1:2" x14ac:dyDescent="0.35">
      <c r="A391" t="s">
        <v>300</v>
      </c>
      <c r="B391" t="s">
        <v>635</v>
      </c>
    </row>
    <row r="392" spans="1:2" x14ac:dyDescent="0.35">
      <c r="A392" t="s">
        <v>301</v>
      </c>
      <c r="B392" t="s">
        <v>635</v>
      </c>
    </row>
    <row r="393" spans="1:2" x14ac:dyDescent="0.35">
      <c r="A393" t="s">
        <v>302</v>
      </c>
      <c r="B393" t="s">
        <v>635</v>
      </c>
    </row>
    <row r="394" spans="1:2" x14ac:dyDescent="0.35">
      <c r="A394" t="s">
        <v>303</v>
      </c>
      <c r="B394" t="s">
        <v>635</v>
      </c>
    </row>
    <row r="395" spans="1:2" x14ac:dyDescent="0.35">
      <c r="A395" t="s">
        <v>304</v>
      </c>
      <c r="B395" t="s">
        <v>635</v>
      </c>
    </row>
    <row r="396" spans="1:2" x14ac:dyDescent="0.35">
      <c r="A396" t="s">
        <v>305</v>
      </c>
      <c r="B396" t="s">
        <v>635</v>
      </c>
    </row>
    <row r="397" spans="1:2" x14ac:dyDescent="0.35">
      <c r="A397" t="s">
        <v>556</v>
      </c>
      <c r="B397" t="s">
        <v>635</v>
      </c>
    </row>
    <row r="398" spans="1:2" x14ac:dyDescent="0.35">
      <c r="A398" t="s">
        <v>556</v>
      </c>
      <c r="B398" t="s">
        <v>635</v>
      </c>
    </row>
    <row r="399" spans="1:2" x14ac:dyDescent="0.35">
      <c r="A399" t="s">
        <v>556</v>
      </c>
      <c r="B399" t="s">
        <v>635</v>
      </c>
    </row>
    <row r="400" spans="1:2" x14ac:dyDescent="0.35">
      <c r="A400" t="s">
        <v>556</v>
      </c>
      <c r="B400" t="s">
        <v>635</v>
      </c>
    </row>
    <row r="401" spans="1:2" x14ac:dyDescent="0.35">
      <c r="A401" t="s">
        <v>613</v>
      </c>
      <c r="B401" t="s">
        <v>635</v>
      </c>
    </row>
    <row r="402" spans="1:2" x14ac:dyDescent="0.35">
      <c r="A402" t="s">
        <v>306</v>
      </c>
      <c r="B402" t="s">
        <v>635</v>
      </c>
    </row>
    <row r="403" spans="1:2" x14ac:dyDescent="0.35">
      <c r="A403" t="s">
        <v>307</v>
      </c>
      <c r="B403" t="s">
        <v>635</v>
      </c>
    </row>
    <row r="404" spans="1:2" x14ac:dyDescent="0.35">
      <c r="A404" t="s">
        <v>308</v>
      </c>
      <c r="B404" t="s">
        <v>635</v>
      </c>
    </row>
    <row r="405" spans="1:2" x14ac:dyDescent="0.35">
      <c r="A405" t="s">
        <v>557</v>
      </c>
      <c r="B405" t="s">
        <v>635</v>
      </c>
    </row>
    <row r="406" spans="1:2" x14ac:dyDescent="0.35">
      <c r="A406" t="s">
        <v>558</v>
      </c>
      <c r="B406" t="s">
        <v>635</v>
      </c>
    </row>
    <row r="407" spans="1:2" x14ac:dyDescent="0.35">
      <c r="A407" t="s">
        <v>309</v>
      </c>
      <c r="B407" t="s">
        <v>635</v>
      </c>
    </row>
    <row r="408" spans="1:2" x14ac:dyDescent="0.35">
      <c r="A408" t="s">
        <v>310</v>
      </c>
      <c r="B408" t="s">
        <v>635</v>
      </c>
    </row>
    <row r="409" spans="1:2" x14ac:dyDescent="0.35">
      <c r="A409" t="s">
        <v>311</v>
      </c>
      <c r="B409" t="s">
        <v>635</v>
      </c>
    </row>
    <row r="410" spans="1:2" x14ac:dyDescent="0.35">
      <c r="A410" t="s">
        <v>312</v>
      </c>
      <c r="B410" t="s">
        <v>635</v>
      </c>
    </row>
    <row r="411" spans="1:2" x14ac:dyDescent="0.35">
      <c r="A411" t="s">
        <v>313</v>
      </c>
      <c r="B411" t="s">
        <v>635</v>
      </c>
    </row>
    <row r="412" spans="1:2" x14ac:dyDescent="0.35">
      <c r="A412" t="s">
        <v>559</v>
      </c>
      <c r="B412" t="s">
        <v>635</v>
      </c>
    </row>
    <row r="413" spans="1:2" x14ac:dyDescent="0.35">
      <c r="A413" t="s">
        <v>314</v>
      </c>
      <c r="B413" t="s">
        <v>635</v>
      </c>
    </row>
    <row r="414" spans="1:2" x14ac:dyDescent="0.35">
      <c r="A414" t="s">
        <v>315</v>
      </c>
      <c r="B414" t="s">
        <v>635</v>
      </c>
    </row>
    <row r="415" spans="1:2" x14ac:dyDescent="0.35">
      <c r="A415" t="s">
        <v>316</v>
      </c>
      <c r="B415" t="s">
        <v>635</v>
      </c>
    </row>
    <row r="416" spans="1:2" x14ac:dyDescent="0.35">
      <c r="A416" t="s">
        <v>317</v>
      </c>
      <c r="B416" t="s">
        <v>635</v>
      </c>
    </row>
    <row r="417" spans="1:2" x14ac:dyDescent="0.35">
      <c r="A417" t="s">
        <v>318</v>
      </c>
      <c r="B417" t="s">
        <v>635</v>
      </c>
    </row>
    <row r="418" spans="1:2" x14ac:dyDescent="0.35">
      <c r="A418" t="s">
        <v>319</v>
      </c>
      <c r="B418" t="s">
        <v>635</v>
      </c>
    </row>
    <row r="419" spans="1:2" x14ac:dyDescent="0.35">
      <c r="A419" t="s">
        <v>320</v>
      </c>
      <c r="B419" t="s">
        <v>635</v>
      </c>
    </row>
    <row r="420" spans="1:2" x14ac:dyDescent="0.35">
      <c r="A420" t="s">
        <v>320</v>
      </c>
      <c r="B420" t="s">
        <v>635</v>
      </c>
    </row>
    <row r="421" spans="1:2" x14ac:dyDescent="0.35">
      <c r="A421" t="s">
        <v>320</v>
      </c>
      <c r="B421" t="s">
        <v>635</v>
      </c>
    </row>
    <row r="422" spans="1:2" x14ac:dyDescent="0.35">
      <c r="A422" t="s">
        <v>321</v>
      </c>
      <c r="B422" t="s">
        <v>635</v>
      </c>
    </row>
    <row r="423" spans="1:2" x14ac:dyDescent="0.35">
      <c r="A423" t="s">
        <v>321</v>
      </c>
      <c r="B423" t="s">
        <v>635</v>
      </c>
    </row>
    <row r="424" spans="1:2" x14ac:dyDescent="0.35">
      <c r="A424" t="s">
        <v>321</v>
      </c>
      <c r="B424" t="s">
        <v>635</v>
      </c>
    </row>
    <row r="425" spans="1:2" x14ac:dyDescent="0.35">
      <c r="A425" t="s">
        <v>322</v>
      </c>
      <c r="B425" t="s">
        <v>635</v>
      </c>
    </row>
    <row r="426" spans="1:2" x14ac:dyDescent="0.35">
      <c r="A426" t="s">
        <v>323</v>
      </c>
      <c r="B426" t="s">
        <v>635</v>
      </c>
    </row>
    <row r="427" spans="1:2" x14ac:dyDescent="0.35">
      <c r="A427" t="s">
        <v>324</v>
      </c>
      <c r="B427" t="s">
        <v>635</v>
      </c>
    </row>
    <row r="428" spans="1:2" x14ac:dyDescent="0.35">
      <c r="A428" t="s">
        <v>464</v>
      </c>
      <c r="B428" t="s">
        <v>635</v>
      </c>
    </row>
    <row r="429" spans="1:2" x14ac:dyDescent="0.35">
      <c r="A429" t="s">
        <v>325</v>
      </c>
      <c r="B429" t="s">
        <v>635</v>
      </c>
    </row>
    <row r="430" spans="1:2" x14ac:dyDescent="0.35">
      <c r="A430" t="s">
        <v>326</v>
      </c>
      <c r="B430" t="s">
        <v>635</v>
      </c>
    </row>
    <row r="431" spans="1:2" x14ac:dyDescent="0.35">
      <c r="A431" t="s">
        <v>614</v>
      </c>
      <c r="B431" t="s">
        <v>635</v>
      </c>
    </row>
    <row r="432" spans="1:2" x14ac:dyDescent="0.35">
      <c r="A432" t="s">
        <v>327</v>
      </c>
      <c r="B432" t="s">
        <v>635</v>
      </c>
    </row>
    <row r="433" spans="1:2" x14ac:dyDescent="0.35">
      <c r="A433" t="s">
        <v>560</v>
      </c>
      <c r="B433" t="s">
        <v>635</v>
      </c>
    </row>
    <row r="434" spans="1:2" x14ac:dyDescent="0.35">
      <c r="A434" t="s">
        <v>328</v>
      </c>
      <c r="B434" t="s">
        <v>635</v>
      </c>
    </row>
    <row r="435" spans="1:2" x14ac:dyDescent="0.35">
      <c r="A435" t="s">
        <v>329</v>
      </c>
      <c r="B435" t="s">
        <v>635</v>
      </c>
    </row>
    <row r="436" spans="1:2" x14ac:dyDescent="0.35">
      <c r="A436" t="s">
        <v>330</v>
      </c>
      <c r="B436" t="s">
        <v>635</v>
      </c>
    </row>
    <row r="437" spans="1:2" x14ac:dyDescent="0.35">
      <c r="A437" t="s">
        <v>330</v>
      </c>
      <c r="B437" t="s">
        <v>635</v>
      </c>
    </row>
    <row r="438" spans="1:2" x14ac:dyDescent="0.35">
      <c r="A438" t="s">
        <v>330</v>
      </c>
      <c r="B438" t="s">
        <v>635</v>
      </c>
    </row>
    <row r="439" spans="1:2" x14ac:dyDescent="0.35">
      <c r="A439" t="s">
        <v>561</v>
      </c>
      <c r="B439" t="s">
        <v>635</v>
      </c>
    </row>
    <row r="440" spans="1:2" x14ac:dyDescent="0.35">
      <c r="A440" t="s">
        <v>562</v>
      </c>
      <c r="B440" t="s">
        <v>635</v>
      </c>
    </row>
    <row r="441" spans="1:2" x14ac:dyDescent="0.35">
      <c r="A441" t="s">
        <v>331</v>
      </c>
      <c r="B441" t="s">
        <v>635</v>
      </c>
    </row>
    <row r="442" spans="1:2" x14ac:dyDescent="0.35">
      <c r="A442" t="s">
        <v>332</v>
      </c>
      <c r="B442" t="s">
        <v>635</v>
      </c>
    </row>
    <row r="443" spans="1:2" x14ac:dyDescent="0.35">
      <c r="A443" t="s">
        <v>563</v>
      </c>
      <c r="B443" t="s">
        <v>635</v>
      </c>
    </row>
    <row r="444" spans="1:2" x14ac:dyDescent="0.35">
      <c r="A444" t="s">
        <v>563</v>
      </c>
      <c r="B444" t="s">
        <v>635</v>
      </c>
    </row>
    <row r="445" spans="1:2" x14ac:dyDescent="0.35">
      <c r="A445" t="s">
        <v>563</v>
      </c>
      <c r="B445" t="s">
        <v>635</v>
      </c>
    </row>
    <row r="446" spans="1:2" x14ac:dyDescent="0.35">
      <c r="A446" t="s">
        <v>333</v>
      </c>
      <c r="B446" t="s">
        <v>635</v>
      </c>
    </row>
    <row r="447" spans="1:2" x14ac:dyDescent="0.35">
      <c r="A447" t="s">
        <v>334</v>
      </c>
      <c r="B447" t="s">
        <v>635</v>
      </c>
    </row>
    <row r="448" spans="1:2" x14ac:dyDescent="0.35">
      <c r="A448" t="s">
        <v>335</v>
      </c>
      <c r="B448" t="s">
        <v>635</v>
      </c>
    </row>
    <row r="449" spans="1:2" x14ac:dyDescent="0.35">
      <c r="A449" t="s">
        <v>564</v>
      </c>
      <c r="B449" t="s">
        <v>635</v>
      </c>
    </row>
    <row r="450" spans="1:2" x14ac:dyDescent="0.35">
      <c r="A450" t="s">
        <v>336</v>
      </c>
      <c r="B450" t="s">
        <v>635</v>
      </c>
    </row>
    <row r="451" spans="1:2" x14ac:dyDescent="0.35">
      <c r="A451" t="s">
        <v>337</v>
      </c>
      <c r="B451" t="s">
        <v>635</v>
      </c>
    </row>
    <row r="452" spans="1:2" x14ac:dyDescent="0.35">
      <c r="A452" t="s">
        <v>338</v>
      </c>
      <c r="B452" t="s">
        <v>635</v>
      </c>
    </row>
    <row r="453" spans="1:2" x14ac:dyDescent="0.35">
      <c r="A453" t="s">
        <v>339</v>
      </c>
      <c r="B453" t="s">
        <v>635</v>
      </c>
    </row>
    <row r="454" spans="1:2" x14ac:dyDescent="0.35">
      <c r="A454" t="s">
        <v>340</v>
      </c>
      <c r="B454" t="s">
        <v>635</v>
      </c>
    </row>
    <row r="455" spans="1:2" x14ac:dyDescent="0.35">
      <c r="A455" t="s">
        <v>341</v>
      </c>
      <c r="B455" t="s">
        <v>635</v>
      </c>
    </row>
    <row r="456" spans="1:2" x14ac:dyDescent="0.35">
      <c r="A456" t="s">
        <v>342</v>
      </c>
      <c r="B456" t="s">
        <v>635</v>
      </c>
    </row>
    <row r="457" spans="1:2" x14ac:dyDescent="0.35">
      <c r="A457" t="s">
        <v>454</v>
      </c>
      <c r="B457" t="s">
        <v>635</v>
      </c>
    </row>
    <row r="458" spans="1:2" x14ac:dyDescent="0.35">
      <c r="A458" t="s">
        <v>343</v>
      </c>
      <c r="B458" t="s">
        <v>635</v>
      </c>
    </row>
    <row r="459" spans="1:2" x14ac:dyDescent="0.35">
      <c r="A459" t="s">
        <v>344</v>
      </c>
      <c r="B459" t="s">
        <v>635</v>
      </c>
    </row>
    <row r="460" spans="1:2" x14ac:dyDescent="0.35">
      <c r="A460" t="s">
        <v>345</v>
      </c>
      <c r="B460" t="s">
        <v>635</v>
      </c>
    </row>
    <row r="461" spans="1:2" x14ac:dyDescent="0.35">
      <c r="A461" t="s">
        <v>346</v>
      </c>
      <c r="B461" t="s">
        <v>635</v>
      </c>
    </row>
    <row r="462" spans="1:2" x14ac:dyDescent="0.35">
      <c r="A462" t="s">
        <v>455</v>
      </c>
      <c r="B462" t="s">
        <v>635</v>
      </c>
    </row>
    <row r="463" spans="1:2" x14ac:dyDescent="0.35">
      <c r="A463" t="s">
        <v>565</v>
      </c>
      <c r="B463" t="s">
        <v>635</v>
      </c>
    </row>
    <row r="464" spans="1:2" x14ac:dyDescent="0.35">
      <c r="A464" t="s">
        <v>347</v>
      </c>
      <c r="B464" t="s">
        <v>635</v>
      </c>
    </row>
    <row r="465" spans="1:2" x14ac:dyDescent="0.35">
      <c r="A465" t="s">
        <v>347</v>
      </c>
      <c r="B465" t="s">
        <v>635</v>
      </c>
    </row>
    <row r="466" spans="1:2" x14ac:dyDescent="0.35">
      <c r="A466" t="s">
        <v>347</v>
      </c>
      <c r="B466" t="s">
        <v>635</v>
      </c>
    </row>
    <row r="467" spans="1:2" x14ac:dyDescent="0.35">
      <c r="A467" t="s">
        <v>566</v>
      </c>
      <c r="B467" t="s">
        <v>635</v>
      </c>
    </row>
    <row r="468" spans="1:2" x14ac:dyDescent="0.35">
      <c r="A468" t="s">
        <v>348</v>
      </c>
      <c r="B468" t="s">
        <v>635</v>
      </c>
    </row>
    <row r="469" spans="1:2" x14ac:dyDescent="0.35">
      <c r="A469" t="s">
        <v>615</v>
      </c>
      <c r="B469" t="s">
        <v>635</v>
      </c>
    </row>
    <row r="470" spans="1:2" x14ac:dyDescent="0.35">
      <c r="A470" t="s">
        <v>349</v>
      </c>
      <c r="B470" t="s">
        <v>635</v>
      </c>
    </row>
    <row r="471" spans="1:2" x14ac:dyDescent="0.35">
      <c r="A471" t="s">
        <v>567</v>
      </c>
      <c r="B471" t="s">
        <v>635</v>
      </c>
    </row>
    <row r="472" spans="1:2" x14ac:dyDescent="0.35">
      <c r="A472" t="s">
        <v>350</v>
      </c>
      <c r="B472" t="s">
        <v>635</v>
      </c>
    </row>
    <row r="473" spans="1:2" x14ac:dyDescent="0.35">
      <c r="A473" t="s">
        <v>351</v>
      </c>
      <c r="B473" t="s">
        <v>635</v>
      </c>
    </row>
    <row r="474" spans="1:2" x14ac:dyDescent="0.35">
      <c r="A474" t="s">
        <v>352</v>
      </c>
      <c r="B474" t="s">
        <v>635</v>
      </c>
    </row>
    <row r="475" spans="1:2" x14ac:dyDescent="0.35">
      <c r="A475" t="s">
        <v>353</v>
      </c>
      <c r="B475" t="s">
        <v>635</v>
      </c>
    </row>
    <row r="476" spans="1:2" x14ac:dyDescent="0.35">
      <c r="A476" t="s">
        <v>354</v>
      </c>
      <c r="B476" t="s">
        <v>635</v>
      </c>
    </row>
    <row r="477" spans="1:2" x14ac:dyDescent="0.35">
      <c r="A477" t="s">
        <v>355</v>
      </c>
      <c r="B477" t="s">
        <v>635</v>
      </c>
    </row>
    <row r="478" spans="1:2" x14ac:dyDescent="0.35">
      <c r="A478" t="s">
        <v>356</v>
      </c>
      <c r="B478" t="s">
        <v>635</v>
      </c>
    </row>
    <row r="479" spans="1:2" x14ac:dyDescent="0.35">
      <c r="A479" t="s">
        <v>616</v>
      </c>
      <c r="B479" t="s">
        <v>635</v>
      </c>
    </row>
    <row r="480" spans="1:2" x14ac:dyDescent="0.35">
      <c r="A480" t="s">
        <v>568</v>
      </c>
      <c r="B480" t="s">
        <v>635</v>
      </c>
    </row>
    <row r="481" spans="1:2" x14ac:dyDescent="0.35">
      <c r="A481" t="s">
        <v>357</v>
      </c>
      <c r="B481" t="s">
        <v>635</v>
      </c>
    </row>
    <row r="482" spans="1:2" x14ac:dyDescent="0.35">
      <c r="A482" t="s">
        <v>358</v>
      </c>
      <c r="B482" t="s">
        <v>635</v>
      </c>
    </row>
    <row r="483" spans="1:2" x14ac:dyDescent="0.35">
      <c r="A483" t="s">
        <v>359</v>
      </c>
      <c r="B483" t="s">
        <v>635</v>
      </c>
    </row>
    <row r="484" spans="1:2" x14ac:dyDescent="0.35">
      <c r="A484" t="s">
        <v>360</v>
      </c>
      <c r="B484" t="s">
        <v>635</v>
      </c>
    </row>
    <row r="485" spans="1:2" x14ac:dyDescent="0.35">
      <c r="A485" t="s">
        <v>361</v>
      </c>
      <c r="B485" t="s">
        <v>635</v>
      </c>
    </row>
    <row r="486" spans="1:2" x14ac:dyDescent="0.35">
      <c r="A486" t="s">
        <v>617</v>
      </c>
      <c r="B486" t="s">
        <v>635</v>
      </c>
    </row>
    <row r="487" spans="1:2" x14ac:dyDescent="0.35">
      <c r="A487" t="s">
        <v>362</v>
      </c>
      <c r="B487" t="s">
        <v>635</v>
      </c>
    </row>
    <row r="488" spans="1:2" x14ac:dyDescent="0.35">
      <c r="A488" t="s">
        <v>363</v>
      </c>
      <c r="B488" t="s">
        <v>635</v>
      </c>
    </row>
    <row r="489" spans="1:2" x14ac:dyDescent="0.35">
      <c r="A489" t="s">
        <v>569</v>
      </c>
      <c r="B489" t="s">
        <v>635</v>
      </c>
    </row>
    <row r="490" spans="1:2" x14ac:dyDescent="0.35">
      <c r="A490" t="s">
        <v>364</v>
      </c>
      <c r="B490" t="s">
        <v>635</v>
      </c>
    </row>
    <row r="491" spans="1:2" x14ac:dyDescent="0.35">
      <c r="A491" t="s">
        <v>365</v>
      </c>
      <c r="B491" t="s">
        <v>635</v>
      </c>
    </row>
    <row r="492" spans="1:2" x14ac:dyDescent="0.35">
      <c r="A492" t="s">
        <v>366</v>
      </c>
      <c r="B492" t="s">
        <v>635</v>
      </c>
    </row>
    <row r="493" spans="1:2" x14ac:dyDescent="0.35">
      <c r="A493" t="s">
        <v>367</v>
      </c>
      <c r="B493" t="s">
        <v>635</v>
      </c>
    </row>
    <row r="494" spans="1:2" x14ac:dyDescent="0.35">
      <c r="A494" t="s">
        <v>368</v>
      </c>
      <c r="B494" t="s">
        <v>635</v>
      </c>
    </row>
    <row r="495" spans="1:2" x14ac:dyDescent="0.35">
      <c r="A495" t="s">
        <v>369</v>
      </c>
      <c r="B495" t="s">
        <v>635</v>
      </c>
    </row>
    <row r="496" spans="1:2" x14ac:dyDescent="0.35">
      <c r="A496" t="s">
        <v>370</v>
      </c>
      <c r="B496" t="s">
        <v>635</v>
      </c>
    </row>
    <row r="497" spans="1:2" x14ac:dyDescent="0.35">
      <c r="A497" t="s">
        <v>371</v>
      </c>
      <c r="B497" t="s">
        <v>635</v>
      </c>
    </row>
    <row r="498" spans="1:2" x14ac:dyDescent="0.35">
      <c r="A498" t="s">
        <v>372</v>
      </c>
      <c r="B498" t="s">
        <v>635</v>
      </c>
    </row>
    <row r="499" spans="1:2" x14ac:dyDescent="0.35">
      <c r="A499" t="s">
        <v>372</v>
      </c>
      <c r="B499" t="s">
        <v>635</v>
      </c>
    </row>
    <row r="500" spans="1:2" x14ac:dyDescent="0.35">
      <c r="A500" t="s">
        <v>372</v>
      </c>
      <c r="B500" t="s">
        <v>635</v>
      </c>
    </row>
    <row r="501" spans="1:2" x14ac:dyDescent="0.35">
      <c r="A501" t="s">
        <v>373</v>
      </c>
      <c r="B501" t="s">
        <v>635</v>
      </c>
    </row>
    <row r="502" spans="1:2" x14ac:dyDescent="0.35">
      <c r="A502" t="s">
        <v>373</v>
      </c>
      <c r="B502" t="s">
        <v>635</v>
      </c>
    </row>
    <row r="503" spans="1:2" x14ac:dyDescent="0.35">
      <c r="A503" t="s">
        <v>373</v>
      </c>
      <c r="B503" t="s">
        <v>635</v>
      </c>
    </row>
    <row r="504" spans="1:2" x14ac:dyDescent="0.35">
      <c r="A504" t="s">
        <v>570</v>
      </c>
      <c r="B504" t="s">
        <v>635</v>
      </c>
    </row>
    <row r="505" spans="1:2" x14ac:dyDescent="0.35">
      <c r="A505" t="s">
        <v>374</v>
      </c>
      <c r="B505" t="s">
        <v>635</v>
      </c>
    </row>
    <row r="506" spans="1:2" x14ac:dyDescent="0.35">
      <c r="A506" t="s">
        <v>456</v>
      </c>
      <c r="B506" t="s">
        <v>635</v>
      </c>
    </row>
    <row r="507" spans="1:2" x14ac:dyDescent="0.35">
      <c r="A507" t="s">
        <v>375</v>
      </c>
      <c r="B507" t="s">
        <v>635</v>
      </c>
    </row>
    <row r="508" spans="1:2" x14ac:dyDescent="0.35">
      <c r="A508" t="s">
        <v>376</v>
      </c>
      <c r="B508" t="s">
        <v>635</v>
      </c>
    </row>
    <row r="509" spans="1:2" x14ac:dyDescent="0.35">
      <c r="A509" t="s">
        <v>377</v>
      </c>
      <c r="B509" t="s">
        <v>635</v>
      </c>
    </row>
    <row r="510" spans="1:2" x14ac:dyDescent="0.35">
      <c r="A510" t="s">
        <v>378</v>
      </c>
      <c r="B510" t="s">
        <v>635</v>
      </c>
    </row>
    <row r="511" spans="1:2" x14ac:dyDescent="0.35">
      <c r="A511" t="s">
        <v>379</v>
      </c>
      <c r="B511" t="s">
        <v>635</v>
      </c>
    </row>
    <row r="512" spans="1:2" x14ac:dyDescent="0.35">
      <c r="A512" t="s">
        <v>380</v>
      </c>
      <c r="B512" t="s">
        <v>635</v>
      </c>
    </row>
    <row r="513" spans="1:2" x14ac:dyDescent="0.35">
      <c r="A513" t="s">
        <v>380</v>
      </c>
      <c r="B513" t="s">
        <v>635</v>
      </c>
    </row>
    <row r="514" spans="1:2" x14ac:dyDescent="0.35">
      <c r="A514" t="s">
        <v>380</v>
      </c>
      <c r="B514" t="s">
        <v>635</v>
      </c>
    </row>
    <row r="515" spans="1:2" x14ac:dyDescent="0.35">
      <c r="A515" t="s">
        <v>381</v>
      </c>
      <c r="B515" t="s">
        <v>635</v>
      </c>
    </row>
    <row r="516" spans="1:2" x14ac:dyDescent="0.35">
      <c r="A516" t="s">
        <v>618</v>
      </c>
      <c r="B516" t="s">
        <v>635</v>
      </c>
    </row>
    <row r="517" spans="1:2" x14ac:dyDescent="0.35">
      <c r="A517" t="s">
        <v>382</v>
      </c>
      <c r="B517" t="s">
        <v>635</v>
      </c>
    </row>
    <row r="518" spans="1:2" x14ac:dyDescent="0.35">
      <c r="A518" t="s">
        <v>619</v>
      </c>
      <c r="B518" t="s">
        <v>635</v>
      </c>
    </row>
    <row r="519" spans="1:2" x14ac:dyDescent="0.35">
      <c r="A519" t="s">
        <v>620</v>
      </c>
      <c r="B519" t="s">
        <v>635</v>
      </c>
    </row>
    <row r="520" spans="1:2" x14ac:dyDescent="0.35">
      <c r="A520" t="s">
        <v>383</v>
      </c>
      <c r="B520" t="s">
        <v>635</v>
      </c>
    </row>
    <row r="521" spans="1:2" x14ac:dyDescent="0.35">
      <c r="A521" t="s">
        <v>621</v>
      </c>
      <c r="B521" t="s">
        <v>635</v>
      </c>
    </row>
    <row r="522" spans="1:2" x14ac:dyDescent="0.35">
      <c r="A522" t="s">
        <v>384</v>
      </c>
      <c r="B522" t="s">
        <v>635</v>
      </c>
    </row>
    <row r="523" spans="1:2" x14ac:dyDescent="0.35">
      <c r="A523" t="s">
        <v>385</v>
      </c>
      <c r="B523" t="s">
        <v>635</v>
      </c>
    </row>
    <row r="524" spans="1:2" x14ac:dyDescent="0.35">
      <c r="A524" t="s">
        <v>386</v>
      </c>
      <c r="B524" t="s">
        <v>635</v>
      </c>
    </row>
    <row r="525" spans="1:2" x14ac:dyDescent="0.35">
      <c r="A525" t="s">
        <v>387</v>
      </c>
      <c r="B525" t="s">
        <v>635</v>
      </c>
    </row>
    <row r="526" spans="1:2" x14ac:dyDescent="0.35">
      <c r="A526" t="s">
        <v>457</v>
      </c>
      <c r="B526" t="s">
        <v>635</v>
      </c>
    </row>
    <row r="527" spans="1:2" x14ac:dyDescent="0.35">
      <c r="A527" t="s">
        <v>571</v>
      </c>
      <c r="B527" t="s">
        <v>635</v>
      </c>
    </row>
    <row r="528" spans="1:2" x14ac:dyDescent="0.35">
      <c r="A528" t="s">
        <v>388</v>
      </c>
      <c r="B528" t="s">
        <v>635</v>
      </c>
    </row>
    <row r="529" spans="1:2" x14ac:dyDescent="0.35">
      <c r="A529" t="s">
        <v>389</v>
      </c>
      <c r="B529" t="s">
        <v>635</v>
      </c>
    </row>
    <row r="530" spans="1:2" x14ac:dyDescent="0.35">
      <c r="A530" t="s">
        <v>390</v>
      </c>
      <c r="B530" t="s">
        <v>635</v>
      </c>
    </row>
    <row r="531" spans="1:2" x14ac:dyDescent="0.35">
      <c r="A531" t="s">
        <v>391</v>
      </c>
      <c r="B531" t="s">
        <v>635</v>
      </c>
    </row>
    <row r="532" spans="1:2" x14ac:dyDescent="0.35">
      <c r="A532" t="s">
        <v>622</v>
      </c>
      <c r="B532" t="s">
        <v>635</v>
      </c>
    </row>
    <row r="533" spans="1:2" x14ac:dyDescent="0.35">
      <c r="A533" t="s">
        <v>392</v>
      </c>
      <c r="B533" t="s">
        <v>635</v>
      </c>
    </row>
    <row r="534" spans="1:2" x14ac:dyDescent="0.35">
      <c r="A534" t="s">
        <v>393</v>
      </c>
      <c r="B534" t="s">
        <v>635</v>
      </c>
    </row>
    <row r="535" spans="1:2" x14ac:dyDescent="0.35">
      <c r="A535" t="s">
        <v>394</v>
      </c>
      <c r="B535" t="s">
        <v>635</v>
      </c>
    </row>
    <row r="536" spans="1:2" x14ac:dyDescent="0.35">
      <c r="A536" t="s">
        <v>448</v>
      </c>
      <c r="B536" t="s">
        <v>635</v>
      </c>
    </row>
    <row r="537" spans="1:2" x14ac:dyDescent="0.35">
      <c r="A537" t="s">
        <v>395</v>
      </c>
      <c r="B537" t="s">
        <v>635</v>
      </c>
    </row>
    <row r="538" spans="1:2" x14ac:dyDescent="0.35">
      <c r="A538" t="s">
        <v>396</v>
      </c>
      <c r="B538" t="s">
        <v>635</v>
      </c>
    </row>
    <row r="539" spans="1:2" x14ac:dyDescent="0.35">
      <c r="A539" t="s">
        <v>397</v>
      </c>
      <c r="B539" t="s">
        <v>635</v>
      </c>
    </row>
    <row r="540" spans="1:2" x14ac:dyDescent="0.35">
      <c r="A540" t="s">
        <v>398</v>
      </c>
      <c r="B540" t="s">
        <v>635</v>
      </c>
    </row>
    <row r="541" spans="1:2" x14ac:dyDescent="0.35">
      <c r="A541" t="s">
        <v>399</v>
      </c>
      <c r="B541" t="s">
        <v>635</v>
      </c>
    </row>
    <row r="542" spans="1:2" x14ac:dyDescent="0.35">
      <c r="A542" t="s">
        <v>399</v>
      </c>
      <c r="B542" t="s">
        <v>635</v>
      </c>
    </row>
    <row r="543" spans="1:2" x14ac:dyDescent="0.35">
      <c r="A543" t="s">
        <v>399</v>
      </c>
      <c r="B543" t="s">
        <v>635</v>
      </c>
    </row>
    <row r="544" spans="1:2" x14ac:dyDescent="0.35">
      <c r="A544" t="s">
        <v>400</v>
      </c>
      <c r="B544" t="s">
        <v>635</v>
      </c>
    </row>
    <row r="545" spans="1:2" x14ac:dyDescent="0.35">
      <c r="A545" t="s">
        <v>401</v>
      </c>
      <c r="B545" t="s">
        <v>635</v>
      </c>
    </row>
    <row r="546" spans="1:2" x14ac:dyDescent="0.35">
      <c r="A546" t="s">
        <v>401</v>
      </c>
      <c r="B546" t="s">
        <v>635</v>
      </c>
    </row>
    <row r="547" spans="1:2" x14ac:dyDescent="0.35">
      <c r="A547" t="s">
        <v>401</v>
      </c>
      <c r="B547" t="s">
        <v>635</v>
      </c>
    </row>
    <row r="548" spans="1:2" x14ac:dyDescent="0.35">
      <c r="A548" t="s">
        <v>402</v>
      </c>
      <c r="B548" t="s">
        <v>635</v>
      </c>
    </row>
    <row r="549" spans="1:2" x14ac:dyDescent="0.35">
      <c r="A549" t="s">
        <v>403</v>
      </c>
      <c r="B549" t="s">
        <v>635</v>
      </c>
    </row>
    <row r="550" spans="1:2" x14ac:dyDescent="0.35">
      <c r="A550" t="s">
        <v>572</v>
      </c>
      <c r="B550" t="s">
        <v>635</v>
      </c>
    </row>
    <row r="551" spans="1:2" x14ac:dyDescent="0.35">
      <c r="A551" t="s">
        <v>404</v>
      </c>
      <c r="B551" t="s">
        <v>635</v>
      </c>
    </row>
    <row r="552" spans="1:2" x14ac:dyDescent="0.35">
      <c r="A552" t="s">
        <v>405</v>
      </c>
      <c r="B552" t="s">
        <v>635</v>
      </c>
    </row>
    <row r="553" spans="1:2" x14ac:dyDescent="0.35">
      <c r="A553" t="s">
        <v>406</v>
      </c>
      <c r="B553" t="s">
        <v>635</v>
      </c>
    </row>
    <row r="554" spans="1:2" x14ac:dyDescent="0.35">
      <c r="A554" t="s">
        <v>407</v>
      </c>
      <c r="B554" t="s">
        <v>635</v>
      </c>
    </row>
    <row r="555" spans="1:2" x14ac:dyDescent="0.35">
      <c r="A555" t="s">
        <v>573</v>
      </c>
      <c r="B555" t="s">
        <v>635</v>
      </c>
    </row>
    <row r="556" spans="1:2" x14ac:dyDescent="0.35">
      <c r="A556" t="s">
        <v>573</v>
      </c>
      <c r="B556" t="s">
        <v>635</v>
      </c>
    </row>
    <row r="557" spans="1:2" x14ac:dyDescent="0.35">
      <c r="A557" t="s">
        <v>573</v>
      </c>
      <c r="B557" t="s">
        <v>635</v>
      </c>
    </row>
    <row r="558" spans="1:2" x14ac:dyDescent="0.35">
      <c r="A558" t="s">
        <v>573</v>
      </c>
      <c r="B558" t="s">
        <v>635</v>
      </c>
    </row>
    <row r="559" spans="1:2" x14ac:dyDescent="0.35">
      <c r="A559" t="s">
        <v>458</v>
      </c>
      <c r="B559" t="s">
        <v>635</v>
      </c>
    </row>
    <row r="560" spans="1:2" x14ac:dyDescent="0.35">
      <c r="A560" t="s">
        <v>408</v>
      </c>
      <c r="B560" t="s">
        <v>635</v>
      </c>
    </row>
    <row r="561" spans="1:2" x14ac:dyDescent="0.35">
      <c r="A561" t="s">
        <v>409</v>
      </c>
      <c r="B561" t="s">
        <v>635</v>
      </c>
    </row>
    <row r="562" spans="1:2" x14ac:dyDescent="0.35">
      <c r="A562" t="s">
        <v>410</v>
      </c>
      <c r="B562" t="s">
        <v>635</v>
      </c>
    </row>
    <row r="563" spans="1:2" x14ac:dyDescent="0.35">
      <c r="A563" t="s">
        <v>411</v>
      </c>
      <c r="B563" t="s">
        <v>635</v>
      </c>
    </row>
    <row r="564" spans="1:2" x14ac:dyDescent="0.35">
      <c r="A564" t="s">
        <v>412</v>
      </c>
      <c r="B564" t="s">
        <v>635</v>
      </c>
    </row>
    <row r="565" spans="1:2" x14ac:dyDescent="0.35">
      <c r="A565" t="s">
        <v>413</v>
      </c>
      <c r="B565" t="s">
        <v>635</v>
      </c>
    </row>
    <row r="566" spans="1:2" x14ac:dyDescent="0.35">
      <c r="A566" t="s">
        <v>414</v>
      </c>
      <c r="B566" t="s">
        <v>635</v>
      </c>
    </row>
    <row r="567" spans="1:2" x14ac:dyDescent="0.35">
      <c r="A567" t="s">
        <v>529</v>
      </c>
      <c r="B567" t="s">
        <v>635</v>
      </c>
    </row>
    <row r="568" spans="1:2" x14ac:dyDescent="0.35">
      <c r="A568" t="s">
        <v>623</v>
      </c>
      <c r="B568" t="s">
        <v>635</v>
      </c>
    </row>
    <row r="569" spans="1:2" x14ac:dyDescent="0.35">
      <c r="A569" t="s">
        <v>415</v>
      </c>
      <c r="B569" t="s">
        <v>635</v>
      </c>
    </row>
    <row r="570" spans="1:2" x14ac:dyDescent="0.35">
      <c r="A570" t="s">
        <v>416</v>
      </c>
      <c r="B570" t="s">
        <v>635</v>
      </c>
    </row>
    <row r="571" spans="1:2" x14ac:dyDescent="0.35">
      <c r="A571" t="s">
        <v>416</v>
      </c>
      <c r="B571" t="s">
        <v>635</v>
      </c>
    </row>
    <row r="572" spans="1:2" x14ac:dyDescent="0.35">
      <c r="A572" t="s">
        <v>416</v>
      </c>
      <c r="B572" t="s">
        <v>635</v>
      </c>
    </row>
    <row r="573" spans="1:2" x14ac:dyDescent="0.35">
      <c r="A573" t="s">
        <v>417</v>
      </c>
      <c r="B573" t="s">
        <v>635</v>
      </c>
    </row>
    <row r="574" spans="1:2" x14ac:dyDescent="0.35">
      <c r="A574" t="s">
        <v>459</v>
      </c>
      <c r="B574" t="s">
        <v>635</v>
      </c>
    </row>
    <row r="575" spans="1:2" x14ac:dyDescent="0.35">
      <c r="A575" t="s">
        <v>418</v>
      </c>
      <c r="B575" t="s">
        <v>635</v>
      </c>
    </row>
    <row r="576" spans="1:2" x14ac:dyDescent="0.35">
      <c r="A576" t="s">
        <v>418</v>
      </c>
      <c r="B576" t="s">
        <v>635</v>
      </c>
    </row>
    <row r="577" spans="1:2" x14ac:dyDescent="0.35">
      <c r="A577" t="s">
        <v>418</v>
      </c>
      <c r="B577" t="s">
        <v>635</v>
      </c>
    </row>
    <row r="578" spans="1:2" x14ac:dyDescent="0.35">
      <c r="A578" t="s">
        <v>624</v>
      </c>
      <c r="B578" t="s">
        <v>635</v>
      </c>
    </row>
    <row r="579" spans="1:2" x14ac:dyDescent="0.35">
      <c r="A579" t="s">
        <v>419</v>
      </c>
      <c r="B579" t="s">
        <v>635</v>
      </c>
    </row>
    <row r="580" spans="1:2" x14ac:dyDescent="0.35">
      <c r="A580" t="s">
        <v>574</v>
      </c>
      <c r="B580" t="s">
        <v>635</v>
      </c>
    </row>
    <row r="581" spans="1:2" x14ac:dyDescent="0.35">
      <c r="A581" t="s">
        <v>575</v>
      </c>
      <c r="B581" t="s">
        <v>635</v>
      </c>
    </row>
    <row r="582" spans="1:2" x14ac:dyDescent="0.35">
      <c r="A582" t="s">
        <v>420</v>
      </c>
      <c r="B582" t="s">
        <v>635</v>
      </c>
    </row>
    <row r="583" spans="1:2" x14ac:dyDescent="0.35">
      <c r="A583" t="s">
        <v>421</v>
      </c>
      <c r="B583" t="s">
        <v>635</v>
      </c>
    </row>
    <row r="584" spans="1:2" x14ac:dyDescent="0.35">
      <c r="A584" t="s">
        <v>576</v>
      </c>
      <c r="B584" t="s">
        <v>635</v>
      </c>
    </row>
    <row r="585" spans="1:2" x14ac:dyDescent="0.35">
      <c r="A585" t="s">
        <v>625</v>
      </c>
      <c r="B585" t="s">
        <v>635</v>
      </c>
    </row>
    <row r="586" spans="1:2" x14ac:dyDescent="0.35">
      <c r="A586" t="s">
        <v>577</v>
      </c>
      <c r="B586" t="s">
        <v>635</v>
      </c>
    </row>
    <row r="587" spans="1:2" x14ac:dyDescent="0.35">
      <c r="A587" t="s">
        <v>577</v>
      </c>
      <c r="B587" t="s">
        <v>635</v>
      </c>
    </row>
    <row r="588" spans="1:2" x14ac:dyDescent="0.35">
      <c r="A588" t="s">
        <v>577</v>
      </c>
      <c r="B588" t="s">
        <v>635</v>
      </c>
    </row>
    <row r="589" spans="1:2" x14ac:dyDescent="0.35">
      <c r="A589" t="s">
        <v>422</v>
      </c>
      <c r="B589" t="s">
        <v>635</v>
      </c>
    </row>
    <row r="590" spans="1:2" x14ac:dyDescent="0.35">
      <c r="A590" t="s">
        <v>423</v>
      </c>
      <c r="B590" t="s">
        <v>635</v>
      </c>
    </row>
    <row r="591" spans="1:2" x14ac:dyDescent="0.35">
      <c r="A591" t="s">
        <v>460</v>
      </c>
      <c r="B591" t="s">
        <v>635</v>
      </c>
    </row>
    <row r="592" spans="1:2" x14ac:dyDescent="0.35">
      <c r="A592" t="s">
        <v>424</v>
      </c>
      <c r="B592" t="s">
        <v>635</v>
      </c>
    </row>
    <row r="593" spans="1:2" x14ac:dyDescent="0.35">
      <c r="A593" t="s">
        <v>425</v>
      </c>
      <c r="B593" t="s">
        <v>635</v>
      </c>
    </row>
    <row r="594" spans="1:2" x14ac:dyDescent="0.35">
      <c r="A594" t="s">
        <v>426</v>
      </c>
      <c r="B594" t="s">
        <v>635</v>
      </c>
    </row>
    <row r="595" spans="1:2" x14ac:dyDescent="0.35">
      <c r="A595" t="s">
        <v>426</v>
      </c>
      <c r="B595" t="s">
        <v>635</v>
      </c>
    </row>
    <row r="596" spans="1:2" x14ac:dyDescent="0.35">
      <c r="A596" t="s">
        <v>426</v>
      </c>
      <c r="B596" t="s">
        <v>635</v>
      </c>
    </row>
    <row r="597" spans="1:2" x14ac:dyDescent="0.35">
      <c r="A597" t="s">
        <v>461</v>
      </c>
      <c r="B597" t="s">
        <v>635</v>
      </c>
    </row>
    <row r="598" spans="1:2" x14ac:dyDescent="0.35">
      <c r="A598" t="s">
        <v>427</v>
      </c>
      <c r="B598" t="s">
        <v>635</v>
      </c>
    </row>
    <row r="599" spans="1:2" x14ac:dyDescent="0.35">
      <c r="A599" t="s">
        <v>428</v>
      </c>
      <c r="B599" t="s">
        <v>635</v>
      </c>
    </row>
    <row r="600" spans="1:2" x14ac:dyDescent="0.35">
      <c r="A600" t="s">
        <v>429</v>
      </c>
      <c r="B600" t="s">
        <v>635</v>
      </c>
    </row>
    <row r="601" spans="1:2" x14ac:dyDescent="0.35">
      <c r="A601" t="s">
        <v>430</v>
      </c>
      <c r="B601" t="s">
        <v>635</v>
      </c>
    </row>
    <row r="602" spans="1:2" x14ac:dyDescent="0.35">
      <c r="A602" t="s">
        <v>431</v>
      </c>
      <c r="B602" t="s">
        <v>635</v>
      </c>
    </row>
    <row r="603" spans="1:2" x14ac:dyDescent="0.35">
      <c r="A603" t="s">
        <v>431</v>
      </c>
      <c r="B603" t="s">
        <v>635</v>
      </c>
    </row>
    <row r="604" spans="1:2" x14ac:dyDescent="0.35">
      <c r="A604" t="s">
        <v>431</v>
      </c>
      <c r="B604" t="s">
        <v>635</v>
      </c>
    </row>
    <row r="605" spans="1:2" x14ac:dyDescent="0.35">
      <c r="A605" t="s">
        <v>432</v>
      </c>
      <c r="B605" t="s">
        <v>635</v>
      </c>
    </row>
    <row r="606" spans="1:2" x14ac:dyDescent="0.35">
      <c r="A606" t="s">
        <v>433</v>
      </c>
      <c r="B606" t="s">
        <v>635</v>
      </c>
    </row>
    <row r="607" spans="1:2" x14ac:dyDescent="0.35">
      <c r="A607" t="s">
        <v>434</v>
      </c>
      <c r="B607" t="s">
        <v>635</v>
      </c>
    </row>
    <row r="608" spans="1:2" x14ac:dyDescent="0.35">
      <c r="A608" t="s">
        <v>435</v>
      </c>
      <c r="B608" t="s">
        <v>635</v>
      </c>
    </row>
    <row r="609" spans="1:2" x14ac:dyDescent="0.35">
      <c r="A609" t="s">
        <v>436</v>
      </c>
      <c r="B609" t="s">
        <v>635</v>
      </c>
    </row>
    <row r="610" spans="1:2" x14ac:dyDescent="0.35">
      <c r="A610" t="s">
        <v>436</v>
      </c>
      <c r="B610" t="s">
        <v>635</v>
      </c>
    </row>
    <row r="611" spans="1:2" x14ac:dyDescent="0.35">
      <c r="A611" t="s">
        <v>436</v>
      </c>
      <c r="B611" t="s">
        <v>635</v>
      </c>
    </row>
    <row r="612" spans="1:2" x14ac:dyDescent="0.35">
      <c r="A612" t="s">
        <v>437</v>
      </c>
      <c r="B612" t="s">
        <v>635</v>
      </c>
    </row>
    <row r="613" spans="1:2" x14ac:dyDescent="0.35">
      <c r="A613" t="s">
        <v>438</v>
      </c>
      <c r="B613" t="s">
        <v>635</v>
      </c>
    </row>
    <row r="614" spans="1:2" x14ac:dyDescent="0.35">
      <c r="A614" t="s">
        <v>439</v>
      </c>
      <c r="B614" t="s">
        <v>635</v>
      </c>
    </row>
    <row r="615" spans="1:2" x14ac:dyDescent="0.35">
      <c r="A615" t="s">
        <v>440</v>
      </c>
      <c r="B615" t="s">
        <v>635</v>
      </c>
    </row>
    <row r="616" spans="1:2" x14ac:dyDescent="0.35">
      <c r="A616" t="s">
        <v>441</v>
      </c>
      <c r="B616" t="s">
        <v>635</v>
      </c>
    </row>
    <row r="617" spans="1:2" x14ac:dyDescent="0.35">
      <c r="A617" t="s">
        <v>442</v>
      </c>
      <c r="B617" t="s">
        <v>635</v>
      </c>
    </row>
    <row r="618" spans="1:2" x14ac:dyDescent="0.35">
      <c r="A618" t="s">
        <v>443</v>
      </c>
      <c r="B618" t="s">
        <v>635</v>
      </c>
    </row>
    <row r="619" spans="1:2" x14ac:dyDescent="0.35">
      <c r="A619" t="s">
        <v>462</v>
      </c>
      <c r="B619" t="s">
        <v>635</v>
      </c>
    </row>
    <row r="620" spans="1:2" x14ac:dyDescent="0.35">
      <c r="A620" t="s">
        <v>444</v>
      </c>
      <c r="B620" t="s">
        <v>635</v>
      </c>
    </row>
    <row r="621" spans="1:2" x14ac:dyDescent="0.35">
      <c r="A621" t="s">
        <v>445</v>
      </c>
      <c r="B621" t="s">
        <v>635</v>
      </c>
    </row>
    <row r="622" spans="1:2" x14ac:dyDescent="0.35">
      <c r="A622" t="s">
        <v>446</v>
      </c>
      <c r="B622" t="s">
        <v>635</v>
      </c>
    </row>
    <row r="623" spans="1:2" x14ac:dyDescent="0.35">
      <c r="A623" t="s">
        <v>626</v>
      </c>
      <c r="B623" t="s">
        <v>635</v>
      </c>
    </row>
    <row r="624" spans="1:2" x14ac:dyDescent="0.35">
      <c r="A624" t="s">
        <v>447</v>
      </c>
      <c r="B624" t="s">
        <v>635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043F85-65F1-4B3B-B3C4-88E24BF39C7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Per Game Stats</vt:lpstr>
      <vt:lpstr>Current Teams</vt:lpstr>
      <vt:lpstr>Rankings</vt:lpstr>
      <vt:lpstr>Test Draft</vt:lpstr>
      <vt:lpstr>Lookup Tables</vt:lpstr>
      <vt:lpstr>Results</vt:lpstr>
      <vt:lpstr>Abbreviations</vt:lpstr>
      <vt:lpstr>Add_Player</vt:lpstr>
      <vt:lpstr>Ast_Range</vt:lpstr>
      <vt:lpstr>Blk_Range</vt:lpstr>
      <vt:lpstr>Compare_Range</vt:lpstr>
      <vt:lpstr>DropDownPlayers</vt:lpstr>
      <vt:lpstr>FG_Range</vt:lpstr>
      <vt:lpstr>FT_RANGE</vt:lpstr>
      <vt:lpstr>Player_Names</vt:lpstr>
      <vt:lpstr>Pts_Range</vt:lpstr>
      <vt:lpstr>Reb_Range</vt:lpstr>
      <vt:lpstr>Roster_Range</vt:lpstr>
      <vt:lpstr>Stl_Range</vt:lpstr>
      <vt:lpstr>Three_Range</vt:lpstr>
      <vt:lpstr>Tov_Range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chann</dc:creator>
  <cp:lastModifiedBy>chann</cp:lastModifiedBy>
  <dcterms:created xsi:type="dcterms:W3CDTF">2020-01-26T02:36:29Z</dcterms:created>
  <dcterms:modified xsi:type="dcterms:W3CDTF">2021-01-13T23:57:50Z</dcterms:modified>
</cp:coreProperties>
</file>